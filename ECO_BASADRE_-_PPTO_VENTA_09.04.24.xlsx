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Jose project\"/>
    </mc:Choice>
  </mc:AlternateContent>
  <xr:revisionPtr revIDLastSave="0" documentId="13_ncr:1_{E820EA54-653F-4EFE-8D92-644B5C29E142}" xr6:coauthVersionLast="47" xr6:coauthVersionMax="47" xr10:uidLastSave="{00000000-0000-0000-0000-000000000000}"/>
  <bookViews>
    <workbookView xWindow="32460" yWindow="-8910" windowWidth="21600" windowHeight="12645" xr2:uid="{00000000-000D-0000-FFFF-FFFF00000000}"/>
  </bookViews>
  <sheets>
    <sheet name="OP" sheetId="2" r:id="rId1"/>
    <sheet name="EST" sheetId="3" r:id="rId2"/>
    <sheet name="ARQ" sheetId="4" r:id="rId3"/>
    <sheet name="AC" sheetId="5" r:id="rId4"/>
    <sheet name="IIEE" sheetId="6" r:id="rId5"/>
    <sheet name="IISS" sheetId="7" r:id="rId6"/>
    <sheet name="GAS" sheetId="8" r:id="rId7"/>
    <sheet name="EQ" sheetId="9" r:id="rId8"/>
    <sheet name="OEX" sheetId="10" r:id="rId9"/>
    <sheet name="GG" sheetId="11" r:id="rId10"/>
  </sheets>
  <definedNames>
    <definedName name="_xlnm.Print_Area" localSheetId="3">AC!$C$2:$F$51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5" roundtripDataChecksum="ZyxMH0JHVGMPc1VG596BsDUtIM2L3A/mLiyImyerCR0="/>
    </ext>
  </extLst>
</workbook>
</file>

<file path=xl/calcChain.xml><?xml version="1.0" encoding="utf-8"?>
<calcChain xmlns="http://schemas.openxmlformats.org/spreadsheetml/2006/main">
  <c r="G59" i="11" l="1"/>
  <c r="G60" i="11" s="1"/>
  <c r="G46" i="11"/>
  <c r="G44" i="11"/>
  <c r="C39" i="11"/>
  <c r="G39" i="11" s="1"/>
  <c r="C33" i="11"/>
  <c r="G33" i="11" s="1"/>
  <c r="C27" i="11"/>
  <c r="G27" i="11" s="1"/>
  <c r="G26" i="11"/>
  <c r="C26" i="11"/>
  <c r="G25" i="11"/>
  <c r="C25" i="11"/>
  <c r="C24" i="11"/>
  <c r="G24" i="11" s="1"/>
  <c r="C23" i="11"/>
  <c r="G23" i="11" s="1"/>
  <c r="G22" i="11"/>
  <c r="C22" i="11"/>
  <c r="G21" i="11"/>
  <c r="C21" i="11"/>
  <c r="C20" i="11"/>
  <c r="G20" i="11" s="1"/>
  <c r="C19" i="11"/>
  <c r="G19" i="11" s="1"/>
  <c r="G18" i="11"/>
  <c r="C18" i="11"/>
  <c r="G17" i="11"/>
  <c r="C17" i="11"/>
  <c r="C16" i="11"/>
  <c r="G16" i="11" s="1"/>
  <c r="C15" i="11"/>
  <c r="G15" i="11" s="1"/>
  <c r="G14" i="11"/>
  <c r="C14" i="11"/>
  <c r="G13" i="11"/>
  <c r="C13" i="11"/>
  <c r="C12" i="11"/>
  <c r="G12" i="11" s="1"/>
  <c r="C11" i="11"/>
  <c r="G11" i="11" s="1"/>
  <c r="I1" i="10"/>
  <c r="G1" i="10"/>
  <c r="I1" i="9"/>
  <c r="G1" i="9"/>
  <c r="I1" i="8"/>
  <c r="G1" i="8"/>
  <c r="I1" i="7"/>
  <c r="G1" i="7"/>
  <c r="I1" i="6"/>
  <c r="G1" i="6"/>
  <c r="J1" i="5"/>
  <c r="H1" i="5"/>
  <c r="I1" i="4"/>
  <c r="G1" i="4"/>
  <c r="I1" i="3"/>
  <c r="G1" i="3"/>
  <c r="I1" i="2"/>
  <c r="G1" i="2"/>
  <c r="G28" i="11" l="1"/>
  <c r="C32" i="11"/>
  <c r="G32" i="11" s="1"/>
  <c r="C45" i="11"/>
  <c r="G45" i="11" s="1"/>
  <c r="C55" i="11"/>
  <c r="G55" i="11" s="1"/>
  <c r="C40" i="11"/>
  <c r="G40" i="11" s="1"/>
  <c r="C34" i="11"/>
  <c r="G34" i="11" s="1"/>
  <c r="C31" i="11"/>
  <c r="G31" i="11" s="1"/>
  <c r="C35" i="11"/>
  <c r="G35" i="11" s="1"/>
  <c r="G36" i="11" l="1"/>
  <c r="G56" i="11"/>
  <c r="G62" i="11" s="1"/>
  <c r="G47" i="11"/>
  <c r="G41" i="11"/>
  <c r="H53" i="11" l="1"/>
  <c r="H52" i="11"/>
  <c r="H51" i="11"/>
  <c r="H50" i="11"/>
  <c r="H54" i="11"/>
  <c r="H44" i="11"/>
  <c r="H25" i="11"/>
  <c r="H33" i="11"/>
  <c r="H14" i="11"/>
  <c r="H22" i="11"/>
  <c r="H11" i="11"/>
  <c r="H39" i="11"/>
  <c r="H19" i="11"/>
  <c r="H27" i="11"/>
  <c r="H46" i="11"/>
  <c r="H24" i="11"/>
  <c r="H13" i="11"/>
  <c r="H18" i="11"/>
  <c r="H59" i="11"/>
  <c r="H60" i="11" s="1"/>
  <c r="H12" i="11"/>
  <c r="H20" i="11"/>
  <c r="H21" i="11"/>
  <c r="H15" i="11"/>
  <c r="H16" i="11"/>
  <c r="H23" i="11"/>
  <c r="H26" i="11"/>
  <c r="H17" i="11"/>
  <c r="H28" i="11"/>
  <c r="H32" i="11"/>
  <c r="H45" i="11"/>
  <c r="H55" i="11"/>
  <c r="H40" i="11"/>
  <c r="H34" i="11"/>
  <c r="H31" i="11"/>
  <c r="H36" i="11"/>
  <c r="H35" i="11"/>
  <c r="H47" i="11" l="1"/>
  <c r="H56" i="11"/>
  <c r="H41" i="11"/>
  <c r="H62" i="11" l="1"/>
</calcChain>
</file>

<file path=xl/sharedStrings.xml><?xml version="1.0" encoding="utf-8"?>
<sst xmlns="http://schemas.openxmlformats.org/spreadsheetml/2006/main" count="4658" uniqueCount="2733">
  <si>
    <t>Proyecto: ECO BASADRE</t>
  </si>
  <si>
    <t>Cliente: FUNDAMENTA</t>
  </si>
  <si>
    <t>Ubicación: Av. JORGE BASADRE GROHAM 1310, SAN ISIDRO</t>
  </si>
  <si>
    <t>Item</t>
  </si>
  <si>
    <t>Descripción</t>
  </si>
  <si>
    <t>Und.</t>
  </si>
  <si>
    <t>Glb</t>
  </si>
  <si>
    <t>INSTALACIONES SANITARIAS</t>
  </si>
  <si>
    <t>ASCENSORES</t>
  </si>
  <si>
    <t>Metrado</t>
  </si>
  <si>
    <t>Precio (S/.)</t>
  </si>
  <si>
    <t>Parcial (S/.)</t>
  </si>
  <si>
    <t>Precio (U$)</t>
  </si>
  <si>
    <t>Parcial (U$)</t>
  </si>
  <si>
    <t>01</t>
  </si>
  <si>
    <t>OBRAS PRELIMINARES Y PROVISIONALES E2</t>
  </si>
  <si>
    <t>01.01</t>
  </si>
  <si>
    <t>AGUA Y ENERGIA PARA LA OBRA</t>
  </si>
  <si>
    <t>01.01.01</t>
  </si>
  <si>
    <t xml:space="preserve">    INSTALACION PROVISIONAL DE AGUA Y DESAGÜE</t>
  </si>
  <si>
    <t>glb</t>
  </si>
  <si>
    <t>01.01.02</t>
  </si>
  <si>
    <t xml:space="preserve">    INSTALACION PROVISIONAL DE ENERGÍA Y TELEFONÍA</t>
  </si>
  <si>
    <t>01.01.03</t>
  </si>
  <si>
    <t xml:space="preserve">    CONSUMO DE AGUA</t>
  </si>
  <si>
    <t>mes</t>
  </si>
  <si>
    <t>01.01.04</t>
  </si>
  <si>
    <t xml:space="preserve">    CONSUMO DE ENERGÍA</t>
  </si>
  <si>
    <t>01.01.05</t>
  </si>
  <si>
    <t xml:space="preserve">    CONSUMO DE INTERNET</t>
  </si>
  <si>
    <t>01.02</t>
  </si>
  <si>
    <t>OBRAS PRELIMINARES</t>
  </si>
  <si>
    <t>01.02.01</t>
  </si>
  <si>
    <t xml:space="preserve">    CERCO DE OBRA (SOLO MOVILIZACIÓN)</t>
  </si>
  <si>
    <t>m</t>
  </si>
  <si>
    <t>01.02.02</t>
  </si>
  <si>
    <t xml:space="preserve">    CERCO DE OBRA TRAMO DE CASETA DE VENTAS</t>
  </si>
  <si>
    <t>01.02.03</t>
  </si>
  <si>
    <t xml:space="preserve">    ESCUADRAS METALICAS - ALQUILER DE TODO  LO QUE EXISTE ACTUALMENTE</t>
  </si>
  <si>
    <t>01.02.04</t>
  </si>
  <si>
    <t xml:space="preserve">    ESCUADRAS METALICAS - ALQUILER SOLO SALA DE VENTAS</t>
  </si>
  <si>
    <t>01.02.05</t>
  </si>
  <si>
    <t xml:space="preserve">    ESCUADRAS METALICAS - DESMONTAJE</t>
  </si>
  <si>
    <t>01.02.06</t>
  </si>
  <si>
    <t xml:space="preserve">    ALQUILER DE CONTENEDOR DE OFICINA PARA STAFF DE OBRA (2° NIVEL)</t>
  </si>
  <si>
    <t>01.02.07</t>
  </si>
  <si>
    <t xml:space="preserve">    ALQUILER DE OFICINA PARA STAFF DE OBRA</t>
  </si>
  <si>
    <t>01.02.08</t>
  </si>
  <si>
    <t xml:space="preserve">    MONTAJE DE CONTENEDOR DE OFICINA DE STAFF DE OBRA</t>
  </si>
  <si>
    <t>01.02.09</t>
  </si>
  <si>
    <t xml:space="preserve">    DESMONTAJE DE CONTENEDOR DE OFICINA DE STAFF DE OBRA, ALMACEN Y BAÑOS</t>
  </si>
  <si>
    <t>01.02.10</t>
  </si>
  <si>
    <t xml:space="preserve">    OFICINA PARA STAFF DE OBRA (EN SÓTANO)</t>
  </si>
  <si>
    <t>01.02.11</t>
  </si>
  <si>
    <t xml:space="preserve">    OFICINA PARA SUPERVISIÓN DE OBRA (EN SÓTANO)</t>
  </si>
  <si>
    <t>01.02.12</t>
  </si>
  <si>
    <t xml:space="preserve">    EQUIPAMIENTO DE OFICINAS STAFF</t>
  </si>
  <si>
    <t>01.02.13</t>
  </si>
  <si>
    <t xml:space="preserve">    EQUIPAMIENTO DE OFICINAS SUPERVISIÓN</t>
  </si>
  <si>
    <t>01.02.14</t>
  </si>
  <si>
    <t xml:space="preserve">    VESTUARIO PERSONAL OBRERO (E2)</t>
  </si>
  <si>
    <t>01.02.15</t>
  </si>
  <si>
    <t xml:space="preserve">    COMEDOR DE OBREROS (E2)</t>
  </si>
  <si>
    <t>01.02.16</t>
  </si>
  <si>
    <t xml:space="preserve">    ALMACEN DE OBRA (E2)</t>
  </si>
  <si>
    <t>01.02.17</t>
  </si>
  <si>
    <t xml:space="preserve">    CASETA DE GUARDIANIA (E2)</t>
  </si>
  <si>
    <t>01.02.18</t>
  </si>
  <si>
    <t xml:space="preserve">    ESCALERA DE ACCESO A SOTANOS (E2)</t>
  </si>
  <si>
    <t>01.02.19</t>
  </si>
  <si>
    <t xml:space="preserve">    ESCALERA DE ACCESO A SOTANOS (SOLO DESMONTAJE)</t>
  </si>
  <si>
    <t>01.02.20</t>
  </si>
  <si>
    <t xml:space="preserve">    BAÑOS PORTATILES DURANTE LA OBRA (E2)</t>
  </si>
  <si>
    <t>01.03</t>
  </si>
  <si>
    <t>TRABAJOS PRELIMINARES¿</t>
  </si>
  <si>
    <t>01.03.01</t>
  </si>
  <si>
    <t xml:space="preserve">    MOVILIZACION Y DESMOVILIZACION DE EQUIPOS</t>
  </si>
  <si>
    <t>vje</t>
  </si>
  <si>
    <t>01.03.02</t>
  </si>
  <si>
    <t xml:space="preserve">    MOVILIZACION Y DESMOVILIZACION DE EQUIPOS (ENCOFRADO)</t>
  </si>
  <si>
    <t>01.04</t>
  </si>
  <si>
    <t>TRANSPORTE VERTICAL Y HORIZONTAL</t>
  </si>
  <si>
    <t>01.04.01</t>
  </si>
  <si>
    <t xml:space="preserve">    ZAPATA PARA GRUA TORRE ( inc Pies de Empotramiento)</t>
  </si>
  <si>
    <t>01.04.02</t>
  </si>
  <si>
    <t xml:space="preserve">    ALQUILER DE GRUPO ELECTROGENO - 100kw - GRUA </t>
  </si>
  <si>
    <t>01.04.03</t>
  </si>
  <si>
    <t xml:space="preserve">    MONTAJE Y DESMONTAJE  DE GRUA</t>
  </si>
  <si>
    <t>01.04.04</t>
  </si>
  <si>
    <t xml:space="preserve">    TRANSPORTE VERTICAL CON TORRE GRÚA</t>
  </si>
  <si>
    <t>01.05</t>
  </si>
  <si>
    <t>TRAZOS, NIVELES Y REPLANTEO</t>
  </si>
  <si>
    <t>01.05.01</t>
  </si>
  <si>
    <t xml:space="preserve">    TRAZO Y REPLANTEO TOPOGRAFICO</t>
  </si>
  <si>
    <t>01.05.02</t>
  </si>
  <si>
    <t xml:space="preserve">    TRAZO Y REPLANTEO TOPOGRAFICO- ALBAÑILERIA</t>
  </si>
  <si>
    <t>01.06</t>
  </si>
  <si>
    <t>LIMPIEZA</t>
  </si>
  <si>
    <t>01.06.01</t>
  </si>
  <si>
    <t xml:space="preserve">    LIMPIEZA PERMANENTE</t>
  </si>
  <si>
    <t>01.06.02</t>
  </si>
  <si>
    <t xml:space="preserve">    ELIMINACIÓN PERMANENTE DE DESMONTE</t>
  </si>
  <si>
    <t>m3</t>
  </si>
  <si>
    <t>01.06.03</t>
  </si>
  <si>
    <t xml:space="preserve">    LIMPIEZA FINAL DE SÓTANOS  (1 gruesa + 1 fina)</t>
  </si>
  <si>
    <t>m2</t>
  </si>
  <si>
    <t>01.06.04</t>
  </si>
  <si>
    <t xml:space="preserve">    LIMPIEZA FINAL DE TORRE  (1 gruesa + 2 fina)</t>
  </si>
  <si>
    <t>01.07</t>
  </si>
  <si>
    <t>CALIDAD</t>
  </si>
  <si>
    <t>01.07.01</t>
  </si>
  <si>
    <t xml:space="preserve">    ENSAYO DE PROBETAS DE CONCRETO</t>
  </si>
  <si>
    <t>und</t>
  </si>
  <si>
    <t>01.08</t>
  </si>
  <si>
    <t>VIGILANCIA</t>
  </si>
  <si>
    <t>01.08.01</t>
  </si>
  <si>
    <t xml:space="preserve">    GUARDIANIA</t>
  </si>
  <si>
    <t>01.09</t>
  </si>
  <si>
    <t>ELABORACION E IMPLEMENTACION DEL PLAN SSOMA</t>
  </si>
  <si>
    <t>01.09.01</t>
  </si>
  <si>
    <t xml:space="preserve">    EXAMENES MEDICOS</t>
  </si>
  <si>
    <t>01.09.02</t>
  </si>
  <si>
    <t xml:space="preserve">    EQUIPOS DE PROTECCION INDIVIDUAL (EPI)</t>
  </si>
  <si>
    <t>01.09.03</t>
  </si>
  <si>
    <t xml:space="preserve">    EQUIPOS DE PROTECCION COLECTIVA (EPC)</t>
  </si>
  <si>
    <t>01.09.04</t>
  </si>
  <si>
    <t xml:space="preserve">    SEÑALIZACION TEMPORAL DE SEGURIDAD</t>
  </si>
  <si>
    <t>01.09.05</t>
  </si>
  <si>
    <t xml:space="preserve">    RECURSOS PARA RESPUESTA ANTE EMERGENCIAS</t>
  </si>
  <si>
    <t>01.09.06</t>
  </si>
  <si>
    <t xml:space="preserve">    MONITOREO DE SALUD OCUPACIONAL</t>
  </si>
  <si>
    <t>01.09.07</t>
  </si>
  <si>
    <t xml:space="preserve">    MONITOREO AMBIENTAL</t>
  </si>
  <si>
    <t>01.09.08</t>
  </si>
  <si>
    <t xml:space="preserve">    SEÑALEROS VIGIAS TRANSITO</t>
  </si>
  <si>
    <t>01.10</t>
  </si>
  <si>
    <t>OTROS</t>
  </si>
  <si>
    <t>01.10.01</t>
  </si>
  <si>
    <t xml:space="preserve">    ESCALERA METALICA PARA DEPARTAMENTO PILOTO</t>
  </si>
  <si>
    <t>01.10.02</t>
  </si>
  <si>
    <t xml:space="preserve">    VISITA NOTARIAL</t>
  </si>
  <si>
    <t>ESTRUCTURAS</t>
  </si>
  <si>
    <t>MOVIMIENTO DE TIERRAS</t>
  </si>
  <si>
    <t xml:space="preserve">    PERFILADO DE MUROS DE SÓTANOS DE VECINO (ESPESOR MÁX 10cm)</t>
  </si>
  <si>
    <t xml:space="preserve">    RELLENOS</t>
  </si>
  <si>
    <t>01.01.02.01</t>
  </si>
  <si>
    <t xml:space="preserve">        LIMPIEZA DE AFIRMADO</t>
  </si>
  <si>
    <t>CONCRETO ARMADO SÓTANO</t>
  </si>
  <si>
    <t xml:space="preserve">    POZO SUMIDERO</t>
  </si>
  <si>
    <t>01.02.01.01</t>
  </si>
  <si>
    <t xml:space="preserve">        CONCRETO f'c=280 kg/cm2</t>
  </si>
  <si>
    <t>01.02.01.02</t>
  </si>
  <si>
    <t xml:space="preserve">        ENCOFRADO Y DESENCOFRADO</t>
  </si>
  <si>
    <t>01.02.01.03</t>
  </si>
  <si>
    <t xml:space="preserve">        ACERO fy=4200 kg/cm2 GRADO 60</t>
  </si>
  <si>
    <t>kg</t>
  </si>
  <si>
    <t>01.02.01.04</t>
  </si>
  <si>
    <t xml:space="preserve">        CURADO DE ELEMENTOS ESTRUCTURALES</t>
  </si>
  <si>
    <t xml:space="preserve">    MUROS DE CONTENCION</t>
  </si>
  <si>
    <t>01.02.02.01</t>
  </si>
  <si>
    <t xml:space="preserve">        CONCRETO PARA MURO CONTENCION, f'c=280 kg/cm2</t>
  </si>
  <si>
    <t>01.02.02.02</t>
  </si>
  <si>
    <t xml:space="preserve">        ENCOFRADO Y DESENCOFRADO EN MURO CONTENCION NORMAL</t>
  </si>
  <si>
    <t>01.02.02.03</t>
  </si>
  <si>
    <t xml:space="preserve">        ACERO CORRUGADO FY= 4200 kg/cm2 GRADO 60</t>
  </si>
  <si>
    <t>01.02.02.04</t>
  </si>
  <si>
    <t xml:space="preserve">    CAMARA DE BOMBEO</t>
  </si>
  <si>
    <t>01.02.03.01</t>
  </si>
  <si>
    <t>01.02.03.02</t>
  </si>
  <si>
    <t>01.02.03.03</t>
  </si>
  <si>
    <t>01.02.03.04</t>
  </si>
  <si>
    <t xml:space="preserve">    BASE BOMBA</t>
  </si>
  <si>
    <t>01.02.04.01</t>
  </si>
  <si>
    <t xml:space="preserve">        CONCRETO f'c=210 kg/cm2</t>
  </si>
  <si>
    <t>01.02.04.02</t>
  </si>
  <si>
    <t>01.02.04.03</t>
  </si>
  <si>
    <t>01.02.04.04</t>
  </si>
  <si>
    <t xml:space="preserve">    COLUMNAS</t>
  </si>
  <si>
    <t>01.02.05.01</t>
  </si>
  <si>
    <t xml:space="preserve">        CONCRETO PARA COLUMNAS f'c=280 kg/cm2</t>
  </si>
  <si>
    <t>01.02.05.02</t>
  </si>
  <si>
    <t xml:space="preserve">        ENCOFRADO Y DESENCOFRADO NORMAL EN COLUMNAS</t>
  </si>
  <si>
    <t>01.02.05.03</t>
  </si>
  <si>
    <t xml:space="preserve">        ENCOFRADO Y DESENCOFRADO NORMAL EN COLUMNAS (DOBLE ALTURA)</t>
  </si>
  <si>
    <t>01.02.05.04</t>
  </si>
  <si>
    <t>01.02.05.05</t>
  </si>
  <si>
    <t xml:space="preserve">    PLACAS</t>
  </si>
  <si>
    <t>01.02.06.01</t>
  </si>
  <si>
    <t>01.02.06.02</t>
  </si>
  <si>
    <t xml:space="preserve">        ENCOFRADO Y DESENCOFRADO NORMAL EN PLACAS</t>
  </si>
  <si>
    <t>01.02.06.03</t>
  </si>
  <si>
    <t xml:space="preserve">        ENCOFRADO Y DESENCOFRADO NORMAL EN PLACAS (DOBLE ALTURA)</t>
  </si>
  <si>
    <t>01.02.06.04</t>
  </si>
  <si>
    <t>01.02.06.05</t>
  </si>
  <si>
    <t xml:space="preserve">    VIGAS</t>
  </si>
  <si>
    <t>01.02.07.01</t>
  </si>
  <si>
    <t xml:space="preserve">        CONCRETO PARA VIGAS f'c=280 kg/cm2</t>
  </si>
  <si>
    <t>01.02.07.02</t>
  </si>
  <si>
    <t xml:space="preserve">        ENCOFRADO Y DESENCOFRADO - VIGAS</t>
  </si>
  <si>
    <t>01.02.07.03</t>
  </si>
  <si>
    <t xml:space="preserve">        ENCOFRADO Y DESENCOFRADO NORMAL EN VIGAS (DOBLE ALTURA)</t>
  </si>
  <si>
    <t>01.02.07.04</t>
  </si>
  <si>
    <t>01.02.07.05</t>
  </si>
  <si>
    <t xml:space="preserve">    VIGAS - CORTES EN LOSA</t>
  </si>
  <si>
    <t>01.02.08.01</t>
  </si>
  <si>
    <t xml:space="preserve">        CONCRETO PARA LOSA MACIZA, f'c=280 kg/cm2</t>
  </si>
  <si>
    <t>01.02.08.02</t>
  </si>
  <si>
    <t xml:space="preserve">        ENCOFRADO Y DESENCOFRADO DE CORTES NORMAL</t>
  </si>
  <si>
    <t>01.02.08.03</t>
  </si>
  <si>
    <t>01.02.08.04</t>
  </si>
  <si>
    <t xml:space="preserve">        ACERO EMBEBIDO EN PRELOSAS-VIGAS CHATAS</t>
  </si>
  <si>
    <t>01.02.08.05</t>
  </si>
  <si>
    <t>01.02.08.06</t>
  </si>
  <si>
    <t xml:space="preserve">        ACABADO EN LOSA EN CONCRETO FRESCO</t>
  </si>
  <si>
    <t xml:space="preserve">    PRELOSA ALIGERADA H=17cm</t>
  </si>
  <si>
    <t>01.02.09.01</t>
  </si>
  <si>
    <t xml:space="preserve">        CONCRETO PARA PRELOSA, f'c=280 kg/cm2</t>
  </si>
  <si>
    <t>01.02.09.02</t>
  </si>
  <si>
    <t xml:space="preserve">        ENCOFRADO Y DESENCOFRADO EN PRELOSA MACIZA NORMAL</t>
  </si>
  <si>
    <t>01.02.09.03</t>
  </si>
  <si>
    <t>01.02.09.04</t>
  </si>
  <si>
    <t xml:space="preserve">        ACERO AMARRE EN PRELOSAS</t>
  </si>
  <si>
    <t>01.02.09.05</t>
  </si>
  <si>
    <t xml:space="preserve">        ACERO EMBEBIDO EN PRELOSAS</t>
  </si>
  <si>
    <t>01.02.09.06</t>
  </si>
  <si>
    <t xml:space="preserve">        SC PRELOSA H=0.17M</t>
  </si>
  <si>
    <t>01.02.09.07</t>
  </si>
  <si>
    <t xml:space="preserve">        COLOCACIÓN DE PRELOSAS</t>
  </si>
  <si>
    <t>01.02.09.08</t>
  </si>
  <si>
    <t xml:space="preserve">        SELLADO DE JUNTAS DE PRELOSAS</t>
  </si>
  <si>
    <t>01.02.09.09</t>
  </si>
  <si>
    <t>01.02.09.10</t>
  </si>
  <si>
    <t xml:space="preserve">    PRELOSA ALIGERADA H=0.20M</t>
  </si>
  <si>
    <t>01.02.10.01</t>
  </si>
  <si>
    <t>01.02.10.02</t>
  </si>
  <si>
    <t>01.02.10.03</t>
  </si>
  <si>
    <t xml:space="preserve">        ENCOFRADO Y DESENCOFRADO EN PRELOSA MACIZA DOBLE ALTURA</t>
  </si>
  <si>
    <t>01.02.10.04</t>
  </si>
  <si>
    <t>01.02.10.05</t>
  </si>
  <si>
    <t>01.02.10.06</t>
  </si>
  <si>
    <t>01.02.10.07</t>
  </si>
  <si>
    <t xml:space="preserve">        SC PRELOSA ALIGERADA H=0.20M</t>
  </si>
  <si>
    <t>01.02.10.08</t>
  </si>
  <si>
    <t>01.02.10.09</t>
  </si>
  <si>
    <t>01.02.10.10</t>
  </si>
  <si>
    <t>01.02.10.11</t>
  </si>
  <si>
    <t xml:space="preserve">    PRELOSA ALIGERADA H=25cm 2 DIRECCIONES</t>
  </si>
  <si>
    <t>01.02.11.01</t>
  </si>
  <si>
    <t>01.02.11.02</t>
  </si>
  <si>
    <t xml:space="preserve">        ENCOFRADO Y DESENCOFRADO EN PRELOSA  NORMAL</t>
  </si>
  <si>
    <t>01.02.11.03</t>
  </si>
  <si>
    <t>01.02.11.04</t>
  </si>
  <si>
    <t>01.02.11.05</t>
  </si>
  <si>
    <t xml:space="preserve">        ACERO CORRUGADO FY= 4200 kg/cm2 GRADO 60 EMBEBIDA EN PRELOSA</t>
  </si>
  <si>
    <t>01.02.11.06</t>
  </si>
  <si>
    <t xml:space="preserve">        PRELOSA ALIGERADA H=0.25M</t>
  </si>
  <si>
    <t>01.02.11.07</t>
  </si>
  <si>
    <t>01.02.11.08</t>
  </si>
  <si>
    <t>01.02.11.09</t>
  </si>
  <si>
    <t>01.02.11.10</t>
  </si>
  <si>
    <t xml:space="preserve">    PRELOSA ALIGERADA H=20cm 1 DIRECCION</t>
  </si>
  <si>
    <t>01.02.12.01</t>
  </si>
  <si>
    <t>01.02.12.02</t>
  </si>
  <si>
    <t>01.02.12.03</t>
  </si>
  <si>
    <t>01.02.12.04</t>
  </si>
  <si>
    <t>01.02.12.05</t>
  </si>
  <si>
    <t>01.02.12.06</t>
  </si>
  <si>
    <t xml:space="preserve">        PRELOSA ALIGERADA H=0.20M</t>
  </si>
  <si>
    <t>01.02.12.07</t>
  </si>
  <si>
    <t>01.02.12.08</t>
  </si>
  <si>
    <t>01.02.12.09</t>
  </si>
  <si>
    <t>01.02.12.10</t>
  </si>
  <si>
    <t xml:space="preserve">    PRELOSA MACIZA SÓTANOS</t>
  </si>
  <si>
    <t>01.02.13.01</t>
  </si>
  <si>
    <t>01.02.13.02</t>
  </si>
  <si>
    <t>01.02.13.03</t>
  </si>
  <si>
    <t xml:space="preserve">        ENCOFRADO Y DESENCOFRADO EN PRELOSA  DOBLE ALTURA</t>
  </si>
  <si>
    <t>01.02.13.04</t>
  </si>
  <si>
    <t>01.02.13.05</t>
  </si>
  <si>
    <t xml:space="preserve">        ACERO DE AMARRE EN PRELOSAS</t>
  </si>
  <si>
    <t>01.02.13.06</t>
  </si>
  <si>
    <t>01.02.13.07</t>
  </si>
  <si>
    <t xml:space="preserve">        PRELOSA MACIZA H=0.20M</t>
  </si>
  <si>
    <t>01.02.13.08</t>
  </si>
  <si>
    <t>01.02.13.09</t>
  </si>
  <si>
    <t>01.02.13.10</t>
  </si>
  <si>
    <t>01.02.13.11</t>
  </si>
  <si>
    <t xml:space="preserve">    PRELOSA ALIGERADA H=20cm 2 DIRECCIONES</t>
  </si>
  <si>
    <t>01.02.14.01</t>
  </si>
  <si>
    <t>01.02.14.02</t>
  </si>
  <si>
    <t>01.02.14.03</t>
  </si>
  <si>
    <t>01.02.14.04</t>
  </si>
  <si>
    <t>01.02.14.05</t>
  </si>
  <si>
    <t>01.02.14.06</t>
  </si>
  <si>
    <t>01.02.14.07</t>
  </si>
  <si>
    <t>01.02.14.08</t>
  </si>
  <si>
    <t>01.02.14.09</t>
  </si>
  <si>
    <t>01.02.14.10</t>
  </si>
  <si>
    <t xml:space="preserve">    ESCALERA</t>
  </si>
  <si>
    <t>01.02.15.01</t>
  </si>
  <si>
    <t xml:space="preserve">        CONCRETO PARA ESCALERAS f'c=210 kg/cm2</t>
  </si>
  <si>
    <t>01.02.15.02</t>
  </si>
  <si>
    <t xml:space="preserve">        ENCOFRADO Y DESENCOFRADO NORMAL EN ESCALERA</t>
  </si>
  <si>
    <t>01.02.15.03</t>
  </si>
  <si>
    <t>01.02.15.04</t>
  </si>
  <si>
    <t xml:space="preserve">    CONCRETO ARMADO TORRE</t>
  </si>
  <si>
    <t>01.02.16.01</t>
  </si>
  <si>
    <t xml:space="preserve">        COLUMNAS</t>
  </si>
  <si>
    <t>01.02.16.01.01</t>
  </si>
  <si>
    <t xml:space="preserve">            CONCRETO PARA COLUMNAS f'c=280 kg/cm2</t>
  </si>
  <si>
    <t>01.02.16.01.02</t>
  </si>
  <si>
    <t xml:space="preserve">            ENCOFRADO Y DESENCOFRADO NORMAL EN COLUMNAS</t>
  </si>
  <si>
    <t>01.02.16.01.03</t>
  </si>
  <si>
    <t xml:space="preserve">            ACERO fy=4200 kg/cm2 GRADO 60</t>
  </si>
  <si>
    <t>01.02.16.01.04</t>
  </si>
  <si>
    <t xml:space="preserve">            CURADO DE ELEMENTOS ESTRUCTURALES</t>
  </si>
  <si>
    <t>01.02.16.02</t>
  </si>
  <si>
    <t xml:space="preserve">        PLACAS</t>
  </si>
  <si>
    <t>01.02.16.02.01</t>
  </si>
  <si>
    <t>01.02.16.02.02</t>
  </si>
  <si>
    <t xml:space="preserve">            ENCOFRADO Y DESENCOFRADO NORMAL EN PLACAS</t>
  </si>
  <si>
    <t>01.02.16.02.03</t>
  </si>
  <si>
    <t>01.02.16.02.04</t>
  </si>
  <si>
    <t>01.02.16.03</t>
  </si>
  <si>
    <t xml:space="preserve">        VIGAS</t>
  </si>
  <si>
    <t>01.02.16.03.01</t>
  </si>
  <si>
    <t xml:space="preserve">            CONCRETO PARA VIGAS f'c=280 kg/cm2</t>
  </si>
  <si>
    <t>01.02.16.03.02</t>
  </si>
  <si>
    <t xml:space="preserve">            ENCOFRADO Y DESENCOFRADO - VIGAS</t>
  </si>
  <si>
    <t>01.02.16.03.03</t>
  </si>
  <si>
    <t>01.02.16.03.04</t>
  </si>
  <si>
    <t>01.02.16.04</t>
  </si>
  <si>
    <t xml:space="preserve">        VIGAS - CORTES EN LOSA</t>
  </si>
  <si>
    <t>01.02.16.04.01</t>
  </si>
  <si>
    <t xml:space="preserve">            CONCRETO PARA LOSA MACIZA, f'c=280 kg/cm2</t>
  </si>
  <si>
    <t>01.02.16.04.02</t>
  </si>
  <si>
    <t xml:space="preserve">            ENCOFRADO Y DESENCOFRADO DE CORTES NORMAL</t>
  </si>
  <si>
    <t>01.02.16.04.03</t>
  </si>
  <si>
    <t xml:space="preserve">            ACERO CORRUGADO FY= 4200 kg/cm2 GRADO 60</t>
  </si>
  <si>
    <t>01.02.16.04.04</t>
  </si>
  <si>
    <t xml:space="preserve">            ACERO EMBEBIDO EN PRELOSAS-VIGAS CHATAS</t>
  </si>
  <si>
    <t>01.02.16.04.05</t>
  </si>
  <si>
    <t>01.02.16.05</t>
  </si>
  <si>
    <t xml:space="preserve">        LOSA MACIZA 20CM TORRE</t>
  </si>
  <si>
    <t>01.02.16.05.01</t>
  </si>
  <si>
    <t xml:space="preserve">            CONCRETO PARA PRELOSA, f'c=280 kg/cm2</t>
  </si>
  <si>
    <t>01.02.16.05.02</t>
  </si>
  <si>
    <t xml:space="preserve">            ENCOFRADO Y DESENCOFRADO EN PRELOSA MACIZA NORMAL</t>
  </si>
  <si>
    <t>01.02.16.05.03</t>
  </si>
  <si>
    <t>01.02.16.05.04</t>
  </si>
  <si>
    <t xml:space="preserve">            ACERO AMARRE EN PRELOSAS</t>
  </si>
  <si>
    <t>01.02.16.05.05</t>
  </si>
  <si>
    <t xml:space="preserve">            ACERO EMBEBIDO EN PRELOSAS</t>
  </si>
  <si>
    <t>01.02.16.05.06</t>
  </si>
  <si>
    <t xml:space="preserve">            ACERO F'Y=4200 KG/CM2 GRADO 60 DE COSTURA</t>
  </si>
  <si>
    <t>01.02.16.05.07</t>
  </si>
  <si>
    <t xml:space="preserve">            SC PRELOSA MACIZA H=0.20M</t>
  </si>
  <si>
    <t>01.02.16.05.08</t>
  </si>
  <si>
    <t xml:space="preserve">            COLOCACIÓN DE PRELOSAS</t>
  </si>
  <si>
    <t>01.02.16.05.09</t>
  </si>
  <si>
    <t xml:space="preserve">            SELLADO DE JUNTAS DE PRELOSAS</t>
  </si>
  <si>
    <t>01.02.16.05.10</t>
  </si>
  <si>
    <t>01.02.16.06</t>
  </si>
  <si>
    <t>01.02.16.06.01</t>
  </si>
  <si>
    <t>01.02.16.06.02</t>
  </si>
  <si>
    <t>01.02.16.06.03</t>
  </si>
  <si>
    <t>01.02.16.06.04</t>
  </si>
  <si>
    <t>01.02.16.06.05</t>
  </si>
  <si>
    <t>01.02.16.06.06</t>
  </si>
  <si>
    <t xml:space="preserve">            SC PRELOSA ALIGERADA H=0.20M</t>
  </si>
  <si>
    <t>01.02.16.06.07</t>
  </si>
  <si>
    <t>01.02.16.06.08</t>
  </si>
  <si>
    <t>01.02.16.06.09</t>
  </si>
  <si>
    <t>01.02.16.06.10</t>
  </si>
  <si>
    <t xml:space="preserve">            ACABADO EN LOSA EN CONCRETO FRESCO</t>
  </si>
  <si>
    <t>01.02.16.07</t>
  </si>
  <si>
    <t xml:space="preserve">        ESCALERA</t>
  </si>
  <si>
    <t>01.02.16.07.01</t>
  </si>
  <si>
    <t xml:space="preserve">            CONCRETO PARA ESCALERAS f'c=210 kg/cm2</t>
  </si>
  <si>
    <t>01.02.16.07.02</t>
  </si>
  <si>
    <t xml:space="preserve">            ENCOFRADO Y DESENCOFRADO NORMAL EN ESCALERA</t>
  </si>
  <si>
    <t>01.02.16.07.03</t>
  </si>
  <si>
    <t>01.02.16.07.04</t>
  </si>
  <si>
    <t>01.02.16.08</t>
  </si>
  <si>
    <t xml:space="preserve">        LOSA PISO (PAVIMENTO)</t>
  </si>
  <si>
    <t>01.02.16.08.01</t>
  </si>
  <si>
    <t xml:space="preserve">            CONCRETO PARA PISO; Fc=210 kg/cm2</t>
  </si>
  <si>
    <t>01.02.16.08.02</t>
  </si>
  <si>
    <t xml:space="preserve">            ENCOFRADO Y DESENCOFRADO EN PISO</t>
  </si>
  <si>
    <t>01.02.16.08.03</t>
  </si>
  <si>
    <t>01.02.16.08.04</t>
  </si>
  <si>
    <t xml:space="preserve">            JUNTA DE BORDE</t>
  </si>
  <si>
    <t>01.02.16.08.05</t>
  </si>
  <si>
    <t xml:space="preserve">            JUNTA ASERRADA</t>
  </si>
  <si>
    <t>01.02.16.08.06</t>
  </si>
  <si>
    <t xml:space="preserve">            JUNTA DE CONSTRUCCION</t>
  </si>
  <si>
    <t>01.02.16.08.07</t>
  </si>
  <si>
    <t xml:space="preserve">            JUNTA DE AISLAMIENTO</t>
  </si>
  <si>
    <t>01.02.16.08.08</t>
  </si>
  <si>
    <t>01.02.16.09</t>
  </si>
  <si>
    <t xml:space="preserve">        PARAPETO Y JARDINERAS</t>
  </si>
  <si>
    <t>01.02.16.09.01</t>
  </si>
  <si>
    <t xml:space="preserve">            CONCRETO f'c=210 kg/cm2</t>
  </si>
  <si>
    <t>01.02.16.09.02</t>
  </si>
  <si>
    <t xml:space="preserve">            ENCOFRADO Y DESENCOFRADO</t>
  </si>
  <si>
    <t>01.02.16.09.03</t>
  </si>
  <si>
    <t>01.02.16.09.04</t>
  </si>
  <si>
    <t>01.02.16.10</t>
  </si>
  <si>
    <t xml:space="preserve">        VOLADOS DE CONCRETO + LOSA DE 10cm</t>
  </si>
  <si>
    <t>01.02.16.10.01</t>
  </si>
  <si>
    <t>01.02.16.10.02</t>
  </si>
  <si>
    <t xml:space="preserve">            ENCOFRADO Y DESENCOFRADO EN LOSA</t>
  </si>
  <si>
    <t>01.02.16.10.03</t>
  </si>
  <si>
    <t>01.02.16.10.04</t>
  </si>
  <si>
    <t>01.02.16.10.05</t>
  </si>
  <si>
    <t>01.02.16.11</t>
  </si>
  <si>
    <t xml:space="preserve">        CERCO COLUMNETAS Y VIGUETAS</t>
  </si>
  <si>
    <t>01.02.16.11.01</t>
  </si>
  <si>
    <t xml:space="preserve">            CONCRETO  f'c=210 kg/cm2</t>
  </si>
  <si>
    <t>01.02.16.11.02</t>
  </si>
  <si>
    <t xml:space="preserve">            ENCOFRADO Y DESENCOFRADO NORMAL</t>
  </si>
  <si>
    <t>01.02.16.11.03</t>
  </si>
  <si>
    <t>01.02.16.11.04</t>
  </si>
  <si>
    <t>01.02.16.12</t>
  </si>
  <si>
    <t xml:space="preserve">        MURO DE CONCRETO ARMADO EN CERCO</t>
  </si>
  <si>
    <t>01.02.16.12.01</t>
  </si>
  <si>
    <t>01.02.16.12.02</t>
  </si>
  <si>
    <t>01.02.16.12.03</t>
  </si>
  <si>
    <t>01.02.16.12.04</t>
  </si>
  <si>
    <t>01.02.16.13</t>
  </si>
  <si>
    <t xml:space="preserve">        COLGAJOS</t>
  </si>
  <si>
    <t>01.02.16.13.01</t>
  </si>
  <si>
    <t xml:space="preserve">            CONCRETO PARA COLGAJO, f'c=280 kg/cm2</t>
  </si>
  <si>
    <t>01.02.16.13.02</t>
  </si>
  <si>
    <t xml:space="preserve">            ENCOFRADO Y DESENCOFRADO DE COLGAJO</t>
  </si>
  <si>
    <t>01.02.16.13.03</t>
  </si>
  <si>
    <t>01.02.16.13.04</t>
  </si>
  <si>
    <t>01.02.16.13.05</t>
  </si>
  <si>
    <t xml:space="preserve">            COLGAJO PREFABRICADO E=10CM, H=60CM</t>
  </si>
  <si>
    <t>01.02.16.13.06</t>
  </si>
  <si>
    <t xml:space="preserve">            COLGAJO PREFABRICADO E=15CM, H=60CM</t>
  </si>
  <si>
    <t>01.02.16.13.07</t>
  </si>
  <si>
    <t xml:space="preserve">            COLOCACIÓN DE COLGAJO</t>
  </si>
  <si>
    <t>01.02.16.13.08</t>
  </si>
  <si>
    <t>01.02.16.14</t>
  </si>
  <si>
    <t xml:space="preserve">        OTROS</t>
  </si>
  <si>
    <t>01.02.16.15</t>
  </si>
  <si>
    <t xml:space="preserve">        ALQUILER DE ANDAMIOS</t>
  </si>
  <si>
    <t>01.02.16.16</t>
  </si>
  <si>
    <t xml:space="preserve">        PICADO DE MURO ANCLADO DE CAJUELA DE APOYO DE FUTURA VIGA</t>
  </si>
  <si>
    <t>01.02.16.17</t>
  </si>
  <si>
    <t xml:space="preserve">        PICADOS EN MUROS ANCLADOS DE CAJUELA DE APOYO A FUTURA LOSA</t>
  </si>
  <si>
    <t>ARQUITECTURA Y ACABADOS BASADRE</t>
  </si>
  <si>
    <t>ALBAÑILERIA</t>
  </si>
  <si>
    <t xml:space="preserve">    SOTANOS</t>
  </si>
  <si>
    <t>01.01.01.01</t>
  </si>
  <si>
    <t xml:space="preserve">        MUROS DE ALBAÑILERIA P7</t>
  </si>
  <si>
    <t>M2</t>
  </si>
  <si>
    <t>01.01.01.02</t>
  </si>
  <si>
    <t xml:space="preserve">        MUROS DE ALBAÑILERIA P10</t>
  </si>
  <si>
    <t>01.01.01.03</t>
  </si>
  <si>
    <t xml:space="preserve">        MUROS DE ALBAÑILERIA P10 DOBLE ALTURA</t>
  </si>
  <si>
    <t>01.01.01.04</t>
  </si>
  <si>
    <t xml:space="preserve">        MUROS DE ALBAÑILERIA P12</t>
  </si>
  <si>
    <t>01.01.01.05</t>
  </si>
  <si>
    <t xml:space="preserve">        MUROS DE ALBAÑILERIA P12 DOBLE ALTURA</t>
  </si>
  <si>
    <t>01.01.01.06</t>
  </si>
  <si>
    <t xml:space="preserve">        MUROS DE ALBAÑILERIA P14</t>
  </si>
  <si>
    <t>01.01.01.07</t>
  </si>
  <si>
    <t xml:space="preserve">        MUROS DE ALBAÑILERIA P14 DOBLE ALTURA</t>
  </si>
  <si>
    <t>01.01.01.08</t>
  </si>
  <si>
    <t xml:space="preserve">        MUROS DE ALBAÑILERIA 20CM</t>
  </si>
  <si>
    <t>01.01.01.09</t>
  </si>
  <si>
    <t xml:space="preserve">        DINTELES DE CONCRETO EN SÓTANOS</t>
  </si>
  <si>
    <t>ML</t>
  </si>
  <si>
    <t>01.01.01.10</t>
  </si>
  <si>
    <t xml:space="preserve">        TABIQUERIA DE DRYWALL - CERRAMIENTO DE ASCENSORES</t>
  </si>
  <si>
    <t xml:space="preserve">    TORRE</t>
  </si>
  <si>
    <t>01.01.02.02</t>
  </si>
  <si>
    <t>01.01.02.03</t>
  </si>
  <si>
    <t>01.01.02.04</t>
  </si>
  <si>
    <t>01.01.02.05</t>
  </si>
  <si>
    <t>01.01.02.06</t>
  </si>
  <si>
    <t xml:space="preserve">        DINTELES DE CONCRETO EN TORRE</t>
  </si>
  <si>
    <t>01.01.02.07</t>
  </si>
  <si>
    <t>UND</t>
  </si>
  <si>
    <t>01.01.02.08</t>
  </si>
  <si>
    <t xml:space="preserve">        TABIQUERIA DE DRYWALL REFORZADO EN AZOTEA (dpto 1001)</t>
  </si>
  <si>
    <t>01.01.02.09</t>
  </si>
  <si>
    <t xml:space="preserve">        TABIQUERIA DE DRYWALL SOBRE BANCO DE MEDIDORES Y AZOTEA</t>
  </si>
  <si>
    <t>01.01.02.10</t>
  </si>
  <si>
    <t xml:space="preserve">        TAPA DE INSPECCION EN MONTANTES DE DESAGUE</t>
  </si>
  <si>
    <t>01.01.02.11</t>
  </si>
  <si>
    <t xml:space="preserve">        MURO DE LADRILLO PARA BANCO DE MEDIDORES</t>
  </si>
  <si>
    <t xml:space="preserve">    SARDINELES Y PARAPETOS</t>
  </si>
  <si>
    <t>01.01.03.01</t>
  </si>
  <si>
    <t xml:space="preserve">        SARDINEL PARA DUCTOS DE INSTALACIONES</t>
  </si>
  <si>
    <t>01.01.03.02</t>
  </si>
  <si>
    <t xml:space="preserve">        SARDINEL PARA DUCHAS EN BAÑOS DE DEPARTAMENTOS</t>
  </si>
  <si>
    <t>01.01.03.03</t>
  </si>
  <si>
    <t xml:space="preserve">        SARDINEL DE 45CM PARA JARDINERAS DE BALCONES, E 10CM</t>
  </si>
  <si>
    <t>REVOQUES</t>
  </si>
  <si>
    <t xml:space="preserve">        INSTALACIÓN DE RECUBRIMIENTO CEMENTICIO ELÁSTICO MAPELASTIC SMART EN LOSA Y MUROS HASTA NIVEL DE AGUA (A DOS MANOS) - POZO SUMIDERO Y DESAGUE</t>
  </si>
  <si>
    <t xml:space="preserve">        SOLAQUEO DE MUROS DE CONCRETO EN ESCLUSA DE ESCALERA DE ESCAPE</t>
  </si>
  <si>
    <t xml:space="preserve">        SOLAQUEO DE ELEMENTOS ESTRUCTURALES ( COLUMNAS Y PLACAS )</t>
  </si>
  <si>
    <t xml:space="preserve">        SOLAQUEO DE ELEMENTOS ESTRUCTURALES ( COLUMNAS Y PLACAS ) DOBLE ALTURA</t>
  </si>
  <si>
    <t xml:space="preserve">        TARRAJEO DE ELEMENTOS ESTRUCTURALES (COLUMNAS Y PLACAS)</t>
  </si>
  <si>
    <t xml:space="preserve">        TARRAJEO DE ELEMENTOS ESTRUCTURALES (COLUMNAS Y PLACAS) DOBLE ALTURA</t>
  </si>
  <si>
    <t xml:space="preserve">    FACHADA</t>
  </si>
  <si>
    <t xml:space="preserve">        TARRAJEO DE EXTERIORES (FACHADAS)</t>
  </si>
  <si>
    <t xml:space="preserve">        TARRAJEO DE FACHADA (INTERIOR)</t>
  </si>
  <si>
    <t xml:space="preserve">        DERRAME DE FACHADAS</t>
  </si>
  <si>
    <t xml:space="preserve">        SOLAQUEO DE EXTERIORES LIMITE CON VECINOS  MUROS CIEGOS</t>
  </si>
  <si>
    <t>01.02.03.05</t>
  </si>
  <si>
    <t xml:space="preserve">        TARRAJEO DE MUROS DE CERCO h:6.00</t>
  </si>
  <si>
    <t>01.02.03.06</t>
  </si>
  <si>
    <t xml:space="preserve">        TARRAJEO DE MUROS EN BANCO DE MEDIDORES</t>
  </si>
  <si>
    <t>01.02.03.07</t>
  </si>
  <si>
    <t xml:space="preserve">        BRUÑAS 1x1 EN FACHADA</t>
  </si>
  <si>
    <t xml:space="preserve">    DUCTOS</t>
  </si>
  <si>
    <t xml:space="preserve">        LIMPIEZA PARA DUCTO DE ASCENSOR</t>
  </si>
  <si>
    <t xml:space="preserve">    ESCALERA Y VESTIBULO PREVIO</t>
  </si>
  <si>
    <t xml:space="preserve">        SOLAQUEO DE MUROS DE CONCRETO EN CAJON DE ESCALERAS</t>
  </si>
  <si>
    <t xml:space="preserve">        BRUÑAS EN ESCALERA</t>
  </si>
  <si>
    <t>SELLOS CORTAFUEGO</t>
  </si>
  <si>
    <t xml:space="preserve">    SELLOS CORTAFUEGO EN JUNTAS</t>
  </si>
  <si>
    <t xml:space="preserve">    SELLO EN PUERTAS CORTAFUEGO</t>
  </si>
  <si>
    <t>01.03.03</t>
  </si>
  <si>
    <t xml:space="preserve">    PASE DE MANGUERA</t>
  </si>
  <si>
    <t>01.03.04</t>
  </si>
  <si>
    <t xml:space="preserve">    SELLOS DE PASE DE ACI</t>
  </si>
  <si>
    <t>01.03.05</t>
  </si>
  <si>
    <t xml:space="preserve">    SELLOS DE PASE DE IISS</t>
  </si>
  <si>
    <t>01.03.06</t>
  </si>
  <si>
    <t xml:space="preserve">    SELLOS DE PASE DE IIMM</t>
  </si>
  <si>
    <t>CIELORASO Y FCR</t>
  </si>
  <si>
    <t xml:space="preserve">    SOTANOS IMPERMEABILIZACION</t>
  </si>
  <si>
    <t>01.04.01.01</t>
  </si>
  <si>
    <t xml:space="preserve">        IMPERMEABILIZACION CISTERNA Y CTO DE BOMBAS PLANISEAL 88 (1 MANO) - CISTERNA ACI Y DE CONSUMO</t>
  </si>
  <si>
    <t>01.04.02.01</t>
  </si>
  <si>
    <t xml:space="preserve">        SOLAQUEO DE VIGAS EN SÓTANOS</t>
  </si>
  <si>
    <t>01.04.02.02</t>
  </si>
  <si>
    <t xml:space="preserve">        SOLAQUEO DE VIGAS EN SOTANOS A DOBLE ALTURA</t>
  </si>
  <si>
    <t xml:space="preserve">    SUPERESTRUCTURA</t>
  </si>
  <si>
    <t>01.04.03.01</t>
  </si>
  <si>
    <t xml:space="preserve">        RESANE DE CIELO RASO EN SUPERESTRUCTURA</t>
  </si>
  <si>
    <t>01.04.03.02</t>
  </si>
  <si>
    <t xml:space="preserve">        TARRAJEO DE VIGAS EN SUPERESTRUCTURA</t>
  </si>
  <si>
    <t>01.04.03.03</t>
  </si>
  <si>
    <t xml:space="preserve">        TARRAJEO DE VIGAS EN SUPERESTRUCTURA - DOBLE ALTURA</t>
  </si>
  <si>
    <t>01.04.04.01</t>
  </si>
  <si>
    <t xml:space="preserve">        VESTIDURA DE FONDO DE ESCALERAS Y VESTIBULO PREVIO</t>
  </si>
  <si>
    <t>01.04.05</t>
  </si>
  <si>
    <t xml:space="preserve">    CIELORASO Y FCR</t>
  </si>
  <si>
    <t>01.04.05.01</t>
  </si>
  <si>
    <t xml:space="preserve">        FCR DE DRYWALL CON SUPERBOARD</t>
  </si>
  <si>
    <t>01.04.05.02</t>
  </si>
  <si>
    <t xml:space="preserve">        VIGA DE DRYWALL CON PLANCHA ESTANDAR DE 1/2"</t>
  </si>
  <si>
    <t>M</t>
  </si>
  <si>
    <t>PISOS</t>
  </si>
  <si>
    <t xml:space="preserve">    NIVELACION DE PISOS</t>
  </si>
  <si>
    <t>01.05.01.01</t>
  </si>
  <si>
    <t xml:space="preserve">        NIVELACIÓN DE PISOS ÁREAS COMUNES</t>
  </si>
  <si>
    <t>01.05.01.02</t>
  </si>
  <si>
    <t xml:space="preserve">        NIVELACIÓN DE PISOS DEPARTAMENTOS</t>
  </si>
  <si>
    <t>01.05.02.01</t>
  </si>
  <si>
    <t xml:space="preserve">        INSTALACIÓN DE RECUBRIMIENTO CEMENTICIO ELÁSTICO MAPELASTIC SMART EN LOSA Y MUROS HASTA NIVEL DE AGUA (A DOS MANOS) - CISTERNA ACI Y DE CONSUMO</t>
  </si>
  <si>
    <t>01.05.02.02</t>
  </si>
  <si>
    <t xml:space="preserve">        PISOS DE SOTANOS- CEMENTO BARRIDO</t>
  </si>
  <si>
    <t>01.05.02.03</t>
  </si>
  <si>
    <t xml:space="preserve">        PISOS DE SOTANOS RAMPA- CEMENTO BARRIDO BRUÑADO</t>
  </si>
  <si>
    <t>01.05.02.04</t>
  </si>
  <si>
    <t xml:space="preserve">        PISO SÓTANOS- ACABADO CEMENTO PULIDO</t>
  </si>
  <si>
    <t>01.05.03</t>
  </si>
  <si>
    <t xml:space="preserve">    ENCHAPES SÓTANOS Y AREAS COMUNES</t>
  </si>
  <si>
    <t>01.05.03.01</t>
  </si>
  <si>
    <t xml:space="preserve">        PISO PORCELANATO IMPERIAL SILVER 60X60cm (HALL ASCENSORES Y CORREDORES) - 5 SÓTANOS Y DEPOSITO COMUN SOT 1</t>
  </si>
  <si>
    <t>01.05.03.02</t>
  </si>
  <si>
    <t xml:space="preserve">        PISO PORCELANATO IMPERIAL SILVER 60X60cm GRADAS HALL - 5 SÓTANOS</t>
  </si>
  <si>
    <t>01.05.03.03</t>
  </si>
  <si>
    <t xml:space="preserve">        PISO CERÁMICO CONCRETO PLATA SAN LORENZO 45X45cm - CUARTO DE BASURA SOT 1</t>
  </si>
  <si>
    <t>01.05.03.04</t>
  </si>
  <si>
    <t xml:space="preserve">        PISO CERÁMICO CONCRETO PLATA SAN LORENZO 45X45cm - ESTAR DE SERVICIO - SOT 1</t>
  </si>
  <si>
    <t>01.05.03.05</t>
  </si>
  <si>
    <t xml:space="preserve">        PISO CERÁMICO CONCRETO PLATA SAN LORENZO 45X45cm - BAÑO DE SERVICIO - SOT 1</t>
  </si>
  <si>
    <t>01.05.03.06</t>
  </si>
  <si>
    <t xml:space="preserve">        PISO PORCELANATO COVERLAM PALADIN GRESPANIA 300X100cm - INGRESO PEATONAL</t>
  </si>
  <si>
    <t>01.05.03.07</t>
  </si>
  <si>
    <t xml:space="preserve">        PISO PORCELANATO COVERLAM PALADIN GRESPANIA 300X100cm - HALL DE ASCENSORES Y CORREDORES NIVEL 1</t>
  </si>
  <si>
    <t>01.05.03.08</t>
  </si>
  <si>
    <t xml:space="preserve">        PISO PORCELANATO IMPERIA SILVER 60X60cm - HALL DE ASCENSORES Y CORREDORES NIVEL 2-10</t>
  </si>
  <si>
    <t>01.05.03.09</t>
  </si>
  <si>
    <t xml:space="preserve">        PISO PORCELANATO COVERLAM 3 X 1 X .0056 (CONCRETO MARFIL, GRESPANIA)- SUM Y KITCHENETTE</t>
  </si>
  <si>
    <t>01.05.03.10</t>
  </si>
  <si>
    <t xml:space="preserve">        PISO PORCELANATO IMPERIA SILVER 60X60cm) - SSHH COMÚN</t>
  </si>
  <si>
    <t>01.05.03.11</t>
  </si>
  <si>
    <t xml:space="preserve">        PISO PORCELANATO IMPERIA SILVER 60X60cm - ADMINISTRACIÓN</t>
  </si>
  <si>
    <t>01.05.03.12</t>
  </si>
  <si>
    <t xml:space="preserve">        PISO PORCELANATO IMPERIA SILVER 60X60cm - CTO CCTV</t>
  </si>
  <si>
    <t>01.05.04</t>
  </si>
  <si>
    <t xml:space="preserve">    DEPARTAMENTOS</t>
  </si>
  <si>
    <t>01.05.04.01</t>
  </si>
  <si>
    <t xml:space="preserve">        PISO PORCELANATO FLORINA CERAMICS FIRENZE GRIGIO (BAÑOS PRINCIPALES, SECUNDARIOS Y VISITA C/DUCHA)</t>
  </si>
  <si>
    <t>01.05.04.02</t>
  </si>
  <si>
    <t xml:space="preserve">        PORCELANATO IMPERIA SILVER 60x60 (COCINA, LAVANDERIA, LAVANDERIA AZOTEA, DORMITORIO SERVICIO, BAÑO SERVICIO, TERRAZAS, BALCONES)</t>
  </si>
  <si>
    <t>01.05.05</t>
  </si>
  <si>
    <t xml:space="preserve">    PISO DE MADERA</t>
  </si>
  <si>
    <t>01.05.05.01</t>
  </si>
  <si>
    <t xml:space="preserve">        TAPAJUNTA DE MADERA CAPIRONA</t>
  </si>
  <si>
    <t>01.05.05.02</t>
  </si>
  <si>
    <t xml:space="preserve">        TAPAJUNTA DE ALUMINIO</t>
  </si>
  <si>
    <t>01.05.05.03</t>
  </si>
  <si>
    <t xml:space="preserve">        PISO SOLIDO DE MADERA 0.125x1.20M (ANACASPI o SHIHUAHUACO) 18MM/19MM</t>
  </si>
  <si>
    <t>01.05.05.04</t>
  </si>
  <si>
    <t xml:space="preserve">        PISO MADERA ESTRUCTURADO (ANACASPI O SHIHUAHUACO) 0.125 x 1.80 / 0.30 x 0.012 m</t>
  </si>
  <si>
    <t>01.05.06</t>
  </si>
  <si>
    <t xml:space="preserve">    ESCALERAS</t>
  </si>
  <si>
    <t>01.05.06.01</t>
  </si>
  <si>
    <t xml:space="preserve">        FORJADO DE PASOS Y CONTRAPASOS DE ESCALERA DE EVACUACIÓN</t>
  </si>
  <si>
    <t>01.05.06.02</t>
  </si>
  <si>
    <t xml:space="preserve">        FORJADO DE DESCANSOS DE ESCALERAS DE EVACUACIÓN</t>
  </si>
  <si>
    <t>01.05.06.03</t>
  </si>
  <si>
    <t xml:space="preserve">        DERRAME EN OJO DE ESCALERA</t>
  </si>
  <si>
    <t>01.05.06.04</t>
  </si>
  <si>
    <t xml:space="preserve">        ACABADO CEMENTO PULIDO EN PASO Y CONTRAPASO DE ESCALERAS DE EVACUACION</t>
  </si>
  <si>
    <t>01.05.06.05</t>
  </si>
  <si>
    <t xml:space="preserve">        ACABADO CEMENTO PULIDO EN DESCANSO DE ESCALERAS DE EVACUACION</t>
  </si>
  <si>
    <t>01.05.07</t>
  </si>
  <si>
    <t xml:space="preserve">    OTROS</t>
  </si>
  <si>
    <t>01.05.07.01</t>
  </si>
  <si>
    <t xml:space="preserve">        PROTECCIONES  DE PISOS</t>
  </si>
  <si>
    <t>ZOCALOS Y CONTRAZOCALOS</t>
  </si>
  <si>
    <t xml:space="preserve">    ZOCALOS EN SÓTANOS Y AREAS COMUNES</t>
  </si>
  <si>
    <t>01.06.01.01</t>
  </si>
  <si>
    <t xml:space="preserve">        ZOCALO CERÁMICO GRIS SAN LORENZO 40X40cm -  CUARTO DE BASURA</t>
  </si>
  <si>
    <t>01.06.01.02</t>
  </si>
  <si>
    <t xml:space="preserve">        ZOCALO CERAMICO BLANCO SATINADO 27X45cm (SAN LORENZO) -BAÑO DE SERVICIO</t>
  </si>
  <si>
    <t>01.06.01.03</t>
  </si>
  <si>
    <t xml:space="preserve">        ZOCALO PORCELANATO COVERLAM PALADIN GRESPANIA 300X100cm - INGRESO PEATONAL</t>
  </si>
  <si>
    <t>01.06.01.04</t>
  </si>
  <si>
    <t xml:space="preserve">        ZOCALO PORCELANATO BOSTON BO15R CEMENTO MATE 60X60cm (GRESPANIA) -SSHH COMÚN</t>
  </si>
  <si>
    <t>01.06.01.05</t>
  </si>
  <si>
    <t xml:space="preserve">        ENCHAPE EN FACHADA PORCELANATO COVERLAM PALADIO NATURAL PISO 1 y 2</t>
  </si>
  <si>
    <t xml:space="preserve">    ZOCALOS DEPARTAMENTOS</t>
  </si>
  <si>
    <t>01.06.02.01</t>
  </si>
  <si>
    <t xml:space="preserve">        CERAMICO 0.30x0.60M BLANCO ALTO BRILLO (LAVANDERÍAS)</t>
  </si>
  <si>
    <t>01.06.02.02</t>
  </si>
  <si>
    <t xml:space="preserve">        ZOCALO PORCELANATO GRAVITY TRUST 60x120 -  BAÑOS SECUNDARIOS</t>
  </si>
  <si>
    <t>01.06.02.03</t>
  </si>
  <si>
    <t xml:space="preserve">        ZOCALO PORCELANATO GRAVITY TRUST 60x120 -  BAÑO DE VISITA</t>
  </si>
  <si>
    <t>01.06.02.04</t>
  </si>
  <si>
    <t xml:space="preserve">        ZOCALO PORCELANATO SERIE SENSATION 60x120 - BAÑOS PRINCIPALES</t>
  </si>
  <si>
    <t>01.06.02.05</t>
  </si>
  <si>
    <t xml:space="preserve">        ZOCALO PORCELANATO COLOR BLANCO SATINADO 30X60 - BAÑO DE SERVICIO</t>
  </si>
  <si>
    <t xml:space="preserve">    CONTRAZÓCALOS EN SOTANOS Y AREAS COMUNES</t>
  </si>
  <si>
    <t>01.06.03.01</t>
  </si>
  <si>
    <t xml:space="preserve">        CZ PORCELANATO IMPERIAL SILVER 60X10cm -CIRCULACIÓN PEATONAL (HALL ASCENSORES Y CORREDORES) - SÓTANOS</t>
  </si>
  <si>
    <t>01.06.03.02</t>
  </si>
  <si>
    <t xml:space="preserve">        CZ PORCELANATO IMPERIAL SILVER 60X10cm - CLOSET COMÚN</t>
  </si>
  <si>
    <t>01.06.03.03</t>
  </si>
  <si>
    <t xml:space="preserve">        CZ CERÁMICO CONCRETO PLATA SAN LORENZO 45X45cm - ESTAR DE SERVICIO</t>
  </si>
  <si>
    <t>01.06.03.04</t>
  </si>
  <si>
    <t xml:space="preserve">        CZ CERÁMICO CONCRETO PLATA SAN LORENZO 45X10cm - BAÑO DE SERVICIO</t>
  </si>
  <si>
    <t>01.06.03.05</t>
  </si>
  <si>
    <t xml:space="preserve">        CZ PORCELANATO NEGRO H=8cm - LOBBY NIVEL 1</t>
  </si>
  <si>
    <t>01.06.03.06</t>
  </si>
  <si>
    <t xml:space="preserve">        CZ PORCELANATO COVERLAM PALADIO GRESPANIA 300X8cm - HALL DE ASCENSORES Y CORREDORES NIVEL 1</t>
  </si>
  <si>
    <t>01.06.03.07</t>
  </si>
  <si>
    <t xml:space="preserve">        CZ PORCELANATO, IMPERIA SILVER, 60X60  - HALL DE ASCENSORES Y CORREDORES NIVEL 2-10</t>
  </si>
  <si>
    <t>01.06.03.08</t>
  </si>
  <si>
    <t xml:space="preserve">        CZ PORCELANATO IMPERIA SILVER 60X60) - SUM Y KITCHENETTE</t>
  </si>
  <si>
    <t>01.06.03.09</t>
  </si>
  <si>
    <t xml:space="preserve">        CZ PORCELANATO IMPERIA SILVER 60X10cm - ADMINISTRACIÓN Y CUARTO DE RECOJO</t>
  </si>
  <si>
    <t>01.06.03.10</t>
  </si>
  <si>
    <t xml:space="preserve">        CZ PORCELANATO IMPERIA SILVER 60X10cm  - CTO CCTV</t>
  </si>
  <si>
    <t xml:space="preserve">    CONTRAZOCALOS DEPARTAMENTOS</t>
  </si>
  <si>
    <t>01.06.04.01</t>
  </si>
  <si>
    <t xml:space="preserve">        CZ MADERA TONO SIMILAR AL PISO</t>
  </si>
  <si>
    <t>01.06.04.02</t>
  </si>
  <si>
    <t xml:space="preserve">        CZ PORCELANATO IMPERIA SILVER 60x60</t>
  </si>
  <si>
    <t>01.06.04.03</t>
  </si>
  <si>
    <t xml:space="preserve">        CZ PISO LAMINADO - SOLIDO DE MADERA COLOR ANACASPI 0.125X1.20m H=10cm</t>
  </si>
  <si>
    <t>CUBIERTAS</t>
  </si>
  <si>
    <t xml:space="preserve">    CUBIERTA DE LADRILLO PASTELERO SOBRE MUROS PERIMETRICOS</t>
  </si>
  <si>
    <t>01.07.02</t>
  </si>
  <si>
    <t xml:space="preserve">    CUBIERTA DE LADRILLO PASTELERO SOBRE TECHO</t>
  </si>
  <si>
    <t>CARPINTERIA DE MADERA</t>
  </si>
  <si>
    <t xml:space="preserve">    P.06 (1.00X2.35) PUERTA CONTRAPLACADA HDF 4mm PINTADA AL DUCO CON REJILLAS - DEPÓSITOS</t>
  </si>
  <si>
    <t>01.08.02</t>
  </si>
  <si>
    <t xml:space="preserve">    P.08 (1.60X2.38) PUERTA CONTRAPLACADA HDF 5mm ENCHAPADA EN COLOR CEDRO  RUTEADO VERTICAL  + JAMBA DE PINO- BAÑO VISITAS, BAÑO PRINCIPAL, BAÑOS SECUNDARIOS, BAÑO AZOTEA DORMITORIO DE SERVICIO</t>
  </si>
  <si>
    <t>01.08.03</t>
  </si>
  <si>
    <t xml:space="preserve">    P.09 (0.90X2.38)  PUERTA CONTRAPLACADA HDF 5mm ENCHAPADA EN COLOR CEDRO  RUTEADO VERTICAL + JAMBA DE PINO -INGRESO DORM PRINCIPAL, SECUNDARIO Y LAVANDERIA</t>
  </si>
  <si>
    <t>01.08.04</t>
  </si>
  <si>
    <t xml:space="preserve">    P.10 (1.00X2.38) PUERTA CONTRAPLACADA ENCHAPADA EN COLOR CEDRO  LINEAL MATIZADA CON MARCO CAJON Y JAMBA DE PINO RECTA - INGRESO A DEPARTAMENTOS</t>
  </si>
  <si>
    <t>01.08.05</t>
  </si>
  <si>
    <t xml:space="preserve">    P.11 (1.60x2.70) PUERTA DE MADERA COLOR NOGAL CON VETAS HORIZONTALES PERFILERIA DE Fe PINTADO COLOR GRIS - INGRESO A EDIFICIO</t>
  </si>
  <si>
    <t>01.08.06</t>
  </si>
  <si>
    <t xml:space="preserve">    P.12 (0.70X2.38)  PUERTA CONTRAPLACADA HDF 5mm ENCHAPADA EN COLOR CEDRO  RUTEADO VERTICAL  + JAMBA DE PINO - BAÑO VISITA, SERVICIO, SECUNDARIO Y AZ</t>
  </si>
  <si>
    <t>01.08.07</t>
  </si>
  <si>
    <t xml:space="preserve">    P.12´ (0.70X2.38)  PUERTA CONTRAPLACADA HDF 5mm ENCHAPADA EN COLOR CEDRO  RUTEADO VERTICAL  + JAMBA DE PINO - BAÑO VISITA, SERVICIO, SECUNDARIO Y AZ</t>
  </si>
  <si>
    <t>01.08.08</t>
  </si>
  <si>
    <t xml:space="preserve">    P.13 (1.40X2.28) 02 HOJAS BATIENTES CONTRAPLACADAS INTERIOR MARCO DE MADERA PINO RADIATA FINGER JOINT, RELLENO DE HONEY COMB, CUBIERTO CON HDF 4mm  Y ENCHAPE DE MADERA COLOR CEDROREJILLAS DE VENTILACION</t>
  </si>
  <si>
    <t>01.08.09</t>
  </si>
  <si>
    <t xml:space="preserve">    P.14 (1.65X2.28) 02 HOJAS BATIENTES CONTRAPLACADAS INTERIOR MARCO DE MADERA PINO RADIATA FINGER JOINT, RELLENO DE HONEY COMB, CUBIERTO CON HDF 4mm  Y ENCHAPE DE MADERA COLOR CEDRO</t>
  </si>
  <si>
    <t>01.08.10</t>
  </si>
  <si>
    <t xml:space="preserve">    P.14' (1.60X2.28) 02 HOJAS BATIENTES CONTRAPLACADAS INTERIOR MARCO DE MADERA PINO RADIATA FINGER JOINT, RELLENO DE HONEY COMB, CUBIERTO CON HDF 4mm  Y ENCHAPE DE MADERA COLOR CEDRO</t>
  </si>
  <si>
    <t>01.08.11</t>
  </si>
  <si>
    <t xml:space="preserve">    P.15 (0.90X2.38) PUERTA CONTRAPLACADA HDF 4mm PINTADA AL DUCO - CTO. LAVADO</t>
  </si>
  <si>
    <t>01.08.12</t>
  </si>
  <si>
    <t xml:space="preserve">    P.17 (0.90X2.38) PUERTA VAIVEN CONTRAPLACADA</t>
  </si>
  <si>
    <t>01.08.13</t>
  </si>
  <si>
    <t xml:space="preserve">    P.18 (1.60X2.28) 02 HOJAS CORREDIZAS CONTRAPLACADA INTERIOR MARCO DE MADERA PINO RADIATA FINGER JOINT, RELLENO DE HONEY COMB, CUBIERTO CON HDF 4mm  Y ENCHAPE DE MADERA COLOR CEDRO</t>
  </si>
  <si>
    <t>01.08.14</t>
  </si>
  <si>
    <t xml:space="preserve">    P.19 (2.05X2.28) 02 HOJAS CORREDIZAS CONTRAPLACADA INTERIOR MARCO DE MADERA PINO RADIATA FINGER JOINT, RELLENO DE HONEY COMB, CUBIERTO CON HDF 4mm  Y ENCHAPE DE MADERA COLOR CEDRO</t>
  </si>
  <si>
    <t>01.08.15</t>
  </si>
  <si>
    <t xml:space="preserve">    P.20 (0.90X2.38) PUERTA CONTRAPLACADA HDF 5mm ENCHAPADA EN COLOR CEDRO  RUTEADO VERTICAL  + JAMBA DE PINO - WALK IN CLOSET 1 y 2</t>
  </si>
  <si>
    <t>01.08.16</t>
  </si>
  <si>
    <t xml:space="preserve">    P.23 (0.80X2.35) PUERTA CONTRAPLACADA HDF 4mm PINTADA AL DUCO -BAÑO SERVICIO</t>
  </si>
  <si>
    <t>01.08.17</t>
  </si>
  <si>
    <t xml:space="preserve">    P.31 (0.80X2.38) PUERTA CONTRAPLACADA HDF 4mm PINTADA AL DUCO - DORM. SERVICIO</t>
  </si>
  <si>
    <t>01.08.18</t>
  </si>
  <si>
    <t xml:space="preserve">    PROTECCIÓN Y SELLADO DE PUERTAS</t>
  </si>
  <si>
    <t>01.08.19</t>
  </si>
  <si>
    <t xml:space="preserve">    FABRICACION DE ESCALERA DE MADERA SHIHUAHUACO DE 2" DE ESPESOR, INSTALACION ANCLADO Y FIJADO EN ESTRUCTURA DE METAL Y ACABADO CON PRODUCTO VARATHANE O DD , TRES MANOS DE APLICACIÓN DEL PRODUCTO, PASOS COTIZADOS SEGÚN PLANO DE DETALLES DE ESCALERAS</t>
  </si>
  <si>
    <t>CERRAJERIA</t>
  </si>
  <si>
    <t xml:space="preserve">    CERRADURA DE POMO ACERO INOXIDABLE PUERTA P.06  - EUROINOX</t>
  </si>
  <si>
    <t xml:space="preserve">    CERRADURA TIPO MANIJA EN ACERO INOXIDABLE PUERTAS CANTOL DANNA</t>
  </si>
  <si>
    <t xml:space="preserve">    CERRADURA TIPO MANIJA CON CERRADURA 3 GOLPES TIPO BARRA EN ACERO INOXIDABLE</t>
  </si>
  <si>
    <t xml:space="preserve">    TIRADOR DE ACERO TUBULAR CUADRADO - EUROINOX</t>
  </si>
  <si>
    <t xml:space="preserve">    PLANCHA DE ACERO INOXIDABLE 300x100x1.5mm PARA PUERTA VAIVEN P.20</t>
  </si>
  <si>
    <t xml:space="preserve">    TOPE DE PUERTA MODELO MEDIA LUNA</t>
  </si>
  <si>
    <t xml:space="preserve">    BISAGRA EN PUERTA VAIVEN</t>
  </si>
  <si>
    <t xml:space="preserve">    PARES BISAGRA 3.5" x 3.5" x 2.5 MM INOX</t>
  </si>
  <si>
    <t>CARPINTERIA DE MELAMINE</t>
  </si>
  <si>
    <t xml:space="preserve">    PUERTAS DE DUCTOS - SÓTANOS</t>
  </si>
  <si>
    <t>01.10.01.01</t>
  </si>
  <si>
    <t xml:space="preserve">        P.27: Puertas Batientes 1.10 x 2.38</t>
  </si>
  <si>
    <t>01.10.01.02</t>
  </si>
  <si>
    <t xml:space="preserve">        P.28: Puertas Batientes 2.05 x 2.39</t>
  </si>
  <si>
    <t>01.10.01.03</t>
  </si>
  <si>
    <t xml:space="preserve">        P.30 - ACCESO A TECHOS</t>
  </si>
  <si>
    <t>01.10.01.04</t>
  </si>
  <si>
    <t xml:space="preserve">        P.32 - DUCTO DE CCTV</t>
  </si>
  <si>
    <t>01.10.01.05</t>
  </si>
  <si>
    <t xml:space="preserve">        P. - HALL PASILLO X04</t>
  </si>
  <si>
    <t>01.10.02.01</t>
  </si>
  <si>
    <t xml:space="preserve">        MUEBLE DE MELAMINE DEBAJO DE PARRILLA EN DUPLEX</t>
  </si>
  <si>
    <t>01.10.03</t>
  </si>
  <si>
    <t xml:space="preserve">    DEPÓSITOS (CUARTOS Y CL) - SÓTANOS</t>
  </si>
  <si>
    <t>01.10.03.01</t>
  </si>
  <si>
    <t xml:space="preserve">        CLOSET EN MELAMINE CD-1 SOTANO 1 (8.50m)</t>
  </si>
  <si>
    <t>01.10.03.02</t>
  </si>
  <si>
    <t xml:space="preserve">        CLOSET EN MELAMINE CD-2 SOTANO 1 (2.70m)</t>
  </si>
  <si>
    <t>01.10.03.03</t>
  </si>
  <si>
    <t xml:space="preserve">        CLOSET EN MELAMINE CD-3 SOTANO 1 (2.63m)</t>
  </si>
  <si>
    <t>01.10.03.04</t>
  </si>
  <si>
    <t xml:space="preserve">        CLOSET EN MELAMINE CD-4 SOTANO 1 (2.45m)</t>
  </si>
  <si>
    <t>01.10.03.05</t>
  </si>
  <si>
    <t xml:space="preserve">        CLOSET EN MELAMINE CD-5 SOTANO 1 (2.60m)</t>
  </si>
  <si>
    <t>01.10.03.06</t>
  </si>
  <si>
    <t xml:space="preserve">        CLOSET EN MELAMINE CD-6 SOTANO 2 (2.70m)</t>
  </si>
  <si>
    <t>01.10.03.07</t>
  </si>
  <si>
    <t xml:space="preserve">        CLOSET EN MELAMINE CD-7 SOTANO 2 (1.40m)</t>
  </si>
  <si>
    <t>01.10.03.08</t>
  </si>
  <si>
    <t xml:space="preserve">        CLOSET EN MELAMINE CD-8 SOTANO 2 (3.33m)</t>
  </si>
  <si>
    <t>01.10.03.09</t>
  </si>
  <si>
    <t xml:space="preserve">        CLOSET EN MELAMINE CD-9 SOTANO 2 (8.50m)</t>
  </si>
  <si>
    <t>01.10.03.10</t>
  </si>
  <si>
    <t xml:space="preserve">        CLOSET EN MELAMINE CD-10 SOTANO 2 (2.45m)</t>
  </si>
  <si>
    <t>01.10.03.11</t>
  </si>
  <si>
    <t xml:space="preserve">        CLOSET EN MELAMINE CD-11 SOTANO 2 (2.73m)</t>
  </si>
  <si>
    <t>01.10.03.12</t>
  </si>
  <si>
    <t xml:space="preserve">        CLOSET EN MELAMINE CD-12 SOTANO 2 (2.73m)</t>
  </si>
  <si>
    <t>01.10.03.13</t>
  </si>
  <si>
    <t xml:space="preserve">        CLOSET EN MELAMINE CD-13 SOTANO 2 (2.73m)</t>
  </si>
  <si>
    <t>01.10.03.14</t>
  </si>
  <si>
    <t xml:space="preserve">        CLOSET EN MELAMINE CD-14 SOTANO 2 (2.70m)</t>
  </si>
  <si>
    <t>01.10.03.15</t>
  </si>
  <si>
    <t xml:space="preserve">        CLOSET EN MELAMINE CD-15 SOTANO 2 (2.70m)</t>
  </si>
  <si>
    <t>01.10.03.16</t>
  </si>
  <si>
    <t xml:space="preserve">        CLOSET EN MELAMINE CD-16 SOTANO 2 (2.63m)</t>
  </si>
  <si>
    <t>01.10.03.17</t>
  </si>
  <si>
    <t xml:space="preserve">        CLOSET EN MELAMINE CD-17 SOTANO 2 (2.45m)</t>
  </si>
  <si>
    <t>01.10.03.18</t>
  </si>
  <si>
    <t xml:space="preserve">        CLOSET EN MELAMINE CD-18 SOTANO 2 (2.60m)</t>
  </si>
  <si>
    <t>01.10.03.19</t>
  </si>
  <si>
    <t xml:space="preserve">        CLOSET EN MELAMINE CD-19</t>
  </si>
  <si>
    <t>01.10.03.20</t>
  </si>
  <si>
    <t xml:space="preserve">        CLOSET EN MELAMINE CD-20</t>
  </si>
  <si>
    <t>01.10.03.21</t>
  </si>
  <si>
    <t xml:space="preserve">        CLOSET EN MELAMINE CD-21</t>
  </si>
  <si>
    <t>01.10.03.22</t>
  </si>
  <si>
    <t xml:space="preserve">        CLOSET EN MELAMINE CD-22</t>
  </si>
  <si>
    <t>01.10.03.23</t>
  </si>
  <si>
    <t xml:space="preserve">        CLOSET EN MELAMINE CD-23</t>
  </si>
  <si>
    <t>01.10.03.24</t>
  </si>
  <si>
    <t xml:space="preserve">        CLOSET EN MELAMINE CD-24</t>
  </si>
  <si>
    <t>01.10.03.25</t>
  </si>
  <si>
    <t xml:space="preserve">        CLOSET EN MELAMINE CD-25</t>
  </si>
  <si>
    <t>01.10.03.26</t>
  </si>
  <si>
    <t xml:space="preserve">        CLOSET EN MELAMINE CD-26</t>
  </si>
  <si>
    <t>01.10.03.27</t>
  </si>
  <si>
    <t xml:space="preserve">        CLOSET EN MELAMINE CD-27 SOTANO 3 (2.70m)</t>
  </si>
  <si>
    <t>01.10.03.28</t>
  </si>
  <si>
    <t xml:space="preserve">        CLOSET EN MELAMINE CD-28 SOTANO 3 (1.40m)</t>
  </si>
  <si>
    <t>01.10.03.29</t>
  </si>
  <si>
    <t xml:space="preserve">        CLOSET EN MELAMINE CD-29 SOTANO 3 (3.33m)</t>
  </si>
  <si>
    <t>01.10.03.30</t>
  </si>
  <si>
    <t xml:space="preserve">        CLOSET EN MELAMINE CD-30 SOTANO 3 (8.50m)</t>
  </si>
  <si>
    <t>01.10.03.31</t>
  </si>
  <si>
    <t xml:space="preserve">        CLOSET EN MELAMINE CD-31 SOTANO 3 (2.45m)</t>
  </si>
  <si>
    <t>01.10.03.32</t>
  </si>
  <si>
    <t xml:space="preserve">        CLOSET EN MELAMINE CD-32 SOTANO 3 (2.73m)</t>
  </si>
  <si>
    <t>01.10.03.33</t>
  </si>
  <si>
    <t xml:space="preserve">        CLOSET EN MELAMINE CD-33 SOTANO 3 (2.73m)</t>
  </si>
  <si>
    <t>01.10.03.34</t>
  </si>
  <si>
    <t xml:space="preserve">        CLOSET EN MELAMINE CD-34 SOTANO 3 (2.73m)</t>
  </si>
  <si>
    <t>01.10.03.35</t>
  </si>
  <si>
    <t xml:space="preserve">        CLOSET EN MELAMINE CD-35 SOTANO 3 (2.70m)</t>
  </si>
  <si>
    <t>01.10.03.36</t>
  </si>
  <si>
    <t xml:space="preserve">        CLOSET EN MELAMINE CD-36 SOTANO 3 (2.70m)</t>
  </si>
  <si>
    <t>01.10.03.37</t>
  </si>
  <si>
    <t xml:space="preserve">        CLOSET EN MELAMINE CD-37 SOTANO 3 (2.63m)</t>
  </si>
  <si>
    <t>01.10.03.38</t>
  </si>
  <si>
    <t xml:space="preserve">        CLOSET EN MELAMINE CD-38 SOTANO 3 (2.45m)</t>
  </si>
  <si>
    <t>01.10.03.39</t>
  </si>
  <si>
    <t xml:space="preserve">        CLOSET EN MELAMINE CD-39 SOTANO 3 (2.60m)</t>
  </si>
  <si>
    <t>01.10.03.40</t>
  </si>
  <si>
    <t xml:space="preserve">        CLOSET EN MELAMINE CD-40 SOTANO 4 (2.70m)</t>
  </si>
  <si>
    <t>01.10.03.41</t>
  </si>
  <si>
    <t xml:space="preserve">        CLOSET EN MELAMINE CD-41 SOTANO 4 (2.70m)</t>
  </si>
  <si>
    <t>01.10.03.42</t>
  </si>
  <si>
    <t xml:space="preserve">        CLOSET EN MELAMINE CD-42 SOTANO 4 (3.33m)</t>
  </si>
  <si>
    <t>01.10.03.43</t>
  </si>
  <si>
    <t xml:space="preserve">        CLOSET EN MELAMINE CD-43 SOTANO 4 (8.60m)</t>
  </si>
  <si>
    <t>01.10.03.44</t>
  </si>
  <si>
    <t xml:space="preserve">        CLOSET EN MELAMINE CD-44 SOTANO 4 (2.45m)</t>
  </si>
  <si>
    <t>01.10.03.45</t>
  </si>
  <si>
    <t xml:space="preserve">        CLOSET EN MELAMINE CD-45 SOTANO 4 (2.73m)</t>
  </si>
  <si>
    <t>01.10.03.46</t>
  </si>
  <si>
    <t xml:space="preserve">        CLOSET EN MELAMINE CD-46 SOTANO 4 (2.73m)</t>
  </si>
  <si>
    <t>01.10.03.47</t>
  </si>
  <si>
    <t xml:space="preserve">        CLOSET EN MELAMINE CD-47 SOTANO 4 (2.73m)</t>
  </si>
  <si>
    <t>01.10.03.48</t>
  </si>
  <si>
    <t xml:space="preserve">        CLOSET EN MELAMINE CD-48 SOTANO 4 (2.70m)</t>
  </si>
  <si>
    <t>01.10.03.49</t>
  </si>
  <si>
    <t xml:space="preserve">        CLOSET EN MELAMINE CD-49 SOTANO 4 (2.70m)</t>
  </si>
  <si>
    <t>01.10.03.50</t>
  </si>
  <si>
    <t xml:space="preserve">        CLOSET EN MELAMINE CD-50 SOTANO 4 (2.63m)</t>
  </si>
  <si>
    <t>01.10.03.51</t>
  </si>
  <si>
    <t xml:space="preserve">        CLOSET EN MELAMINE CD-51 SOTANO 4 (2.70m)</t>
  </si>
  <si>
    <t>01.10.03.52</t>
  </si>
  <si>
    <t xml:space="preserve">        CLOSET EN MELAMINE CD-52 SOTANO 4 (2.60m)</t>
  </si>
  <si>
    <t>01.10.03.53</t>
  </si>
  <si>
    <t xml:space="preserve">        CLOSET EN MELAMINE CD-53 SOTANO 5 (2.70m)</t>
  </si>
  <si>
    <t>01.10.03.54</t>
  </si>
  <si>
    <t xml:space="preserve">        CLOSET EN MELAMINE CD-54 SOTANO 5 (1.40m)</t>
  </si>
  <si>
    <t>01.10.03.55</t>
  </si>
  <si>
    <t xml:space="preserve">        CLOSET EN MELAMINE CD-55 SOTANO 5 (3.33m)</t>
  </si>
  <si>
    <t>01.10.04</t>
  </si>
  <si>
    <t xml:space="preserve">    CL DE SERVICIO</t>
  </si>
  <si>
    <t>01.10.04.01</t>
  </si>
  <si>
    <t xml:space="preserve">        P.24</t>
  </si>
  <si>
    <t>01.10.05</t>
  </si>
  <si>
    <t xml:space="preserve">    MUEBLES DE COCINA</t>
  </si>
  <si>
    <t>01.10.05.01</t>
  </si>
  <si>
    <t xml:space="preserve">        K-01 DPTO (101)  L=4.00M, L=3.1M</t>
  </si>
  <si>
    <t>01.10.05.02</t>
  </si>
  <si>
    <t xml:space="preserve">        K-02 DPTO (102)  L=3.38M, L=3.3M</t>
  </si>
  <si>
    <t>01.10.05.03</t>
  </si>
  <si>
    <t xml:space="preserve">        K-03 DPTOS (103-104) L=3.90M, L=2.00M</t>
  </si>
  <si>
    <t>01.10.05.04</t>
  </si>
  <si>
    <t xml:space="preserve">        K-04 DPTO (105) L=3.55M, L=1.80M</t>
  </si>
  <si>
    <t>01.10.05.05</t>
  </si>
  <si>
    <t xml:space="preserve">        K-05 DPTOS (106-107) L=5.72M, L=2.85M</t>
  </si>
  <si>
    <t>01.10.05.06</t>
  </si>
  <si>
    <t xml:space="preserve">        K-05'</t>
  </si>
  <si>
    <t>01.10.05.07</t>
  </si>
  <si>
    <t xml:space="preserve">        K-06 DPTO (202) L=2.90M, L=2.85M, L=2.98M</t>
  </si>
  <si>
    <t>01.10.05.08</t>
  </si>
  <si>
    <t xml:space="preserve">        K-07 DPTOS (301-401-501-601-701) L=3.15M, L=3.65M, L=3.32M, L=3.78M</t>
  </si>
  <si>
    <t>01.10.05.09</t>
  </si>
  <si>
    <t xml:space="preserve">        K-07'</t>
  </si>
  <si>
    <t>01.10.05.10</t>
  </si>
  <si>
    <t xml:space="preserve">        K-08 DPTOS (302 -402 -502 -602 -702)  L=3.60M, L=3.60M, L=3.60M</t>
  </si>
  <si>
    <t>01.10.05.11</t>
  </si>
  <si>
    <t xml:space="preserve">        K-08'</t>
  </si>
  <si>
    <t>01.10.05.12</t>
  </si>
  <si>
    <t xml:space="preserve">        K-09 DPTOS (303-403-503-603-703-803-903-1003)  L=3.46,  L=3.38M</t>
  </si>
  <si>
    <t>01.10.05.13</t>
  </si>
  <si>
    <t xml:space="preserve">        K-10 DPTOS (304-404-504-604-704-804-904-1004)  L=4.20M, L=1.70M</t>
  </si>
  <si>
    <t>01.10.05.14</t>
  </si>
  <si>
    <t xml:space="preserve">        K-10'</t>
  </si>
  <si>
    <t>01.10.05.15</t>
  </si>
  <si>
    <t xml:space="preserve">        K-11 DPTOS (305-405-505-605-705-805-905)  L=2.30M, L=2.59M, L=2.41M</t>
  </si>
  <si>
    <t>01.10.05.16</t>
  </si>
  <si>
    <t xml:space="preserve">        K-11'</t>
  </si>
  <si>
    <t>01.10.05.17</t>
  </si>
  <si>
    <t xml:space="preserve">        K-11A</t>
  </si>
  <si>
    <t>01.10.05.18</t>
  </si>
  <si>
    <t xml:space="preserve">        K-12 DPTOS (801-901)  L=4.00M, L=2.97M, L=1.20M, L=2.50M</t>
  </si>
  <si>
    <t>01.10.05.19</t>
  </si>
  <si>
    <t xml:space="preserve">        K-12'</t>
  </si>
  <si>
    <t>01.10.05.20</t>
  </si>
  <si>
    <t xml:space="preserve">        K-13 DPTO (1001)  L=4.00M, L=2.97M, L=1.20M, L=1.60M</t>
  </si>
  <si>
    <t>01.10.05.21</t>
  </si>
  <si>
    <t xml:space="preserve">        K-14 DPTO (1002)  L=3.60M, L=1.90M, L=2.72M, L=3.60M</t>
  </si>
  <si>
    <t>01.10.05.22</t>
  </si>
  <si>
    <t xml:space="preserve">        K-15 DPTO (1005) L=1.50M, L=2.10M, L=2.25M</t>
  </si>
  <si>
    <t>01.10.05.23</t>
  </si>
  <si>
    <t xml:space="preserve">        K-16</t>
  </si>
  <si>
    <t>01.10.05.24</t>
  </si>
  <si>
    <t xml:space="preserve">        K-17</t>
  </si>
  <si>
    <t>01.10.05.25</t>
  </si>
  <si>
    <t xml:space="preserve">        K-18</t>
  </si>
  <si>
    <t>01.10.06</t>
  </si>
  <si>
    <t xml:space="preserve">    CLÓSET</t>
  </si>
  <si>
    <t>01.10.06.01</t>
  </si>
  <si>
    <t xml:space="preserve">        CL-01 DP-DPTO (101)  L=1.20</t>
  </si>
  <si>
    <t>01.10.06.02</t>
  </si>
  <si>
    <t xml:space="preserve">        CL-02 DP-DPTO (105) L=1.60M</t>
  </si>
  <si>
    <t>01.10.06.03</t>
  </si>
  <si>
    <t xml:space="preserve">        CL-03 ESTUDIO- DPTO (107) L=1.35M</t>
  </si>
  <si>
    <t>01.10.06.04</t>
  </si>
  <si>
    <t xml:space="preserve">        CL-04 ESTUDIO -DPTO (106) L=1.25M</t>
  </si>
  <si>
    <t>01.10.06.05</t>
  </si>
  <si>
    <t xml:space="preserve">        CL-05 DP- DPTO (305-405-505-605-705-805-905-1005)  L=1.53M</t>
  </si>
  <si>
    <t>01.10.06.06</t>
  </si>
  <si>
    <t xml:space="preserve">        CL-06 ESTUDIO- DPTO (305-405-505-605-705-805-905-1005) L=1.55M L=1.47M</t>
  </si>
  <si>
    <t>01.10.06.07</t>
  </si>
  <si>
    <t xml:space="preserve">        CL-07 ESTUDIO -DPTO (302-402-502-602-702-802-902-1002) L=1.53M</t>
  </si>
  <si>
    <t>01.10.06.08</t>
  </si>
  <si>
    <t xml:space="preserve">        CL-07A</t>
  </si>
  <si>
    <t>01.10.06.09</t>
  </si>
  <si>
    <t xml:space="preserve">        CL-07B</t>
  </si>
  <si>
    <t>01.10.06.10</t>
  </si>
  <si>
    <t xml:space="preserve">        CL-08 D2- DPTO (302-402-502-602-702-802-902-1002) L=1.65M</t>
  </si>
  <si>
    <t>01.10.06.11</t>
  </si>
  <si>
    <t xml:space="preserve">        CL-09 ESTUDIO- (303-403-503-603-703-803-903) L=1.69M</t>
  </si>
  <si>
    <t>01.10.06.12</t>
  </si>
  <si>
    <t xml:space="preserve">        CL-10 DP- DPTO (801-901-1001) L=2.40M, L=2.40M</t>
  </si>
  <si>
    <t>01.10.06.13</t>
  </si>
  <si>
    <t xml:space="preserve">        CL-11 DP- DPTO (105) L=3.05M</t>
  </si>
  <si>
    <t>01.10.06.14</t>
  </si>
  <si>
    <t xml:space="preserve">        CLTV-1</t>
  </si>
  <si>
    <t>01.10.06.15</t>
  </si>
  <si>
    <t xml:space="preserve">        CLTV-2</t>
  </si>
  <si>
    <t>01.10.06.16</t>
  </si>
  <si>
    <t xml:space="preserve">        CLE-01</t>
  </si>
  <si>
    <t>01.10.07</t>
  </si>
  <si>
    <t xml:space="preserve">    WALKING CLÓSET</t>
  </si>
  <si>
    <t>01.10.07.01</t>
  </si>
  <si>
    <t xml:space="preserve">        WC-01 DP- DPTO (101) L=1.90M, L=1.90M</t>
  </si>
  <si>
    <t>01.10.07.02</t>
  </si>
  <si>
    <t xml:space="preserve">        WC-02 DP -DPTO (107) L=1.70M, L=1.70M</t>
  </si>
  <si>
    <t>01.10.07.03</t>
  </si>
  <si>
    <t xml:space="preserve">        WC-03 DP -DPTO(202-302-402-502-602-702-802-902-1002) L=1.98M, L=1.98M</t>
  </si>
  <si>
    <t>01.10.07.04</t>
  </si>
  <si>
    <t xml:space="preserve">        WC-04 DP -DPTO (106) L=1.70M, L=1.70M</t>
  </si>
  <si>
    <t>01.10.07.05</t>
  </si>
  <si>
    <t xml:space="preserve">        WC-05 DP -DPTO (801-901) L=2.40M, L=2.40M</t>
  </si>
  <si>
    <t>01.10.07.06</t>
  </si>
  <si>
    <t xml:space="preserve">        WC-06 DP -DPTO (301-401-501-601-701) L=2.45M, L=1.85M</t>
  </si>
  <si>
    <t>01.10.07.07</t>
  </si>
  <si>
    <t xml:space="preserve">        WC-07 DP -DPTO (1003) L=3.18M, L=1.83M</t>
  </si>
  <si>
    <t>01.10.07.08</t>
  </si>
  <si>
    <t xml:space="preserve">        WC-08 DP -DPTO (103) L=3.30M, L=3.30M</t>
  </si>
  <si>
    <t>01.10.07.09</t>
  </si>
  <si>
    <t xml:space="preserve">        WC-09 DP -DPTO (104) L=3.35M, L=3.35M</t>
  </si>
  <si>
    <t>01.10.07.10</t>
  </si>
  <si>
    <t xml:space="preserve">        WCL-01 D2 -DPTO (301-401-501-601-701) L=2.20M, L=1.53M</t>
  </si>
  <si>
    <t>01.10.07.11</t>
  </si>
  <si>
    <t xml:space="preserve">        WCL-02 D3 -DPTO (301-401-501-601-701) L=2.15M, L=1.53M</t>
  </si>
  <si>
    <t>01.10.07.12</t>
  </si>
  <si>
    <t xml:space="preserve">        WCL-03 ESTUDIO -DPTO(304-404-504-604-704-804-904-1004) L=1.55M, L=1.47M</t>
  </si>
  <si>
    <t>01.10.07.13</t>
  </si>
  <si>
    <t xml:space="preserve">        WCL-04 DP -DPTO (303-403-503-603-703-803-903) L=1.50M, L=1.50M</t>
  </si>
  <si>
    <t>01.10.07.14</t>
  </si>
  <si>
    <t xml:space="preserve">        WCL-05 DP -DPTO (304-404-504-604-704-804-904-1004) L=1.55M, L=1.05M</t>
  </si>
  <si>
    <t>01.10.07.15</t>
  </si>
  <si>
    <t xml:space="preserve">        CE-01 HALL -DPTO(301-401-501-601-701) L=3.35M</t>
  </si>
  <si>
    <t>01.10.08</t>
  </si>
  <si>
    <t xml:space="preserve">    MUEBLES DE BAÑOS</t>
  </si>
  <si>
    <t>01.10.08.01</t>
  </si>
  <si>
    <t xml:space="preserve">        BP-01</t>
  </si>
  <si>
    <t>01.10.08.02</t>
  </si>
  <si>
    <t xml:space="preserve">        BP-02</t>
  </si>
  <si>
    <t>01.10.08.03</t>
  </si>
  <si>
    <t xml:space="preserve">        BP-03</t>
  </si>
  <si>
    <t>01.10.08.04</t>
  </si>
  <si>
    <t xml:space="preserve">        BP-04</t>
  </si>
  <si>
    <t>01.10.08.05</t>
  </si>
  <si>
    <t xml:space="preserve">        BP-05</t>
  </si>
  <si>
    <t>01.10.08.06</t>
  </si>
  <si>
    <t xml:space="preserve">        BP-05A</t>
  </si>
  <si>
    <t>01.10.08.07</t>
  </si>
  <si>
    <t xml:space="preserve">        BP-05B</t>
  </si>
  <si>
    <t>01.10.08.08</t>
  </si>
  <si>
    <t xml:space="preserve">        BP-05C</t>
  </si>
  <si>
    <t>01.10.08.09</t>
  </si>
  <si>
    <t xml:space="preserve">        BP-06</t>
  </si>
  <si>
    <t>01.10.08.10</t>
  </si>
  <si>
    <t xml:space="preserve">        BP-07</t>
  </si>
  <si>
    <t>01.10.08.11</t>
  </si>
  <si>
    <t xml:space="preserve">        BP-08</t>
  </si>
  <si>
    <t>01.10.08.12</t>
  </si>
  <si>
    <t xml:space="preserve">        BP-09</t>
  </si>
  <si>
    <t>01.10.08.13</t>
  </si>
  <si>
    <t xml:space="preserve">        BP-10</t>
  </si>
  <si>
    <t>01.10.08.14</t>
  </si>
  <si>
    <t xml:space="preserve">        BP-11</t>
  </si>
  <si>
    <t>01.10.08.15</t>
  </si>
  <si>
    <t xml:space="preserve">        BS-01</t>
  </si>
  <si>
    <t>01.10.08.16</t>
  </si>
  <si>
    <t xml:space="preserve">        BS-02</t>
  </si>
  <si>
    <t>01.10.08.17</t>
  </si>
  <si>
    <t xml:space="preserve">        BS-03</t>
  </si>
  <si>
    <t>01.10.08.18</t>
  </si>
  <si>
    <t xml:space="preserve">        BS-03A</t>
  </si>
  <si>
    <t>01.10.08.19</t>
  </si>
  <si>
    <t xml:space="preserve">        BS-04</t>
  </si>
  <si>
    <t>01.10.08.20</t>
  </si>
  <si>
    <t xml:space="preserve">        BS-04A</t>
  </si>
  <si>
    <t>01.10.08.21</t>
  </si>
  <si>
    <t xml:space="preserve">        BS-04B</t>
  </si>
  <si>
    <t>01.10.08.22</t>
  </si>
  <si>
    <t xml:space="preserve">        BS-05</t>
  </si>
  <si>
    <t>01.10.08.23</t>
  </si>
  <si>
    <t xml:space="preserve">        BS-06</t>
  </si>
  <si>
    <t>01.10.08.24</t>
  </si>
  <si>
    <t xml:space="preserve">        BS-07</t>
  </si>
  <si>
    <t>01.10.08.25</t>
  </si>
  <si>
    <t xml:space="preserve">        BS-08</t>
  </si>
  <si>
    <t>01.10.08.26</t>
  </si>
  <si>
    <t xml:space="preserve">        BS-09</t>
  </si>
  <si>
    <t>01.10.08.27</t>
  </si>
  <si>
    <t xml:space="preserve">        BV-01</t>
  </si>
  <si>
    <t>01.10.08.28</t>
  </si>
  <si>
    <t xml:space="preserve">        BV-02</t>
  </si>
  <si>
    <t>01.10.08.29</t>
  </si>
  <si>
    <t xml:space="preserve">        BV-03</t>
  </si>
  <si>
    <t>01.10.08.30</t>
  </si>
  <si>
    <t xml:space="preserve">        BV-03A</t>
  </si>
  <si>
    <t>01.10.08.31</t>
  </si>
  <si>
    <t xml:space="preserve">        BV-03B</t>
  </si>
  <si>
    <t>01.10.08.32</t>
  </si>
  <si>
    <t xml:space="preserve">        BV-03C</t>
  </si>
  <si>
    <t>01.10.08.33</t>
  </si>
  <si>
    <t xml:space="preserve">        BV-03D</t>
  </si>
  <si>
    <t>01.10.08.34</t>
  </si>
  <si>
    <t xml:space="preserve">        BV-03E</t>
  </si>
  <si>
    <t>01.10.08.35</t>
  </si>
  <si>
    <t xml:space="preserve">        BV-04</t>
  </si>
  <si>
    <t>01.10.08.36</t>
  </si>
  <si>
    <t xml:space="preserve">        BV-05</t>
  </si>
  <si>
    <t>01.10.08.37</t>
  </si>
  <si>
    <t xml:space="preserve">        BV-06</t>
  </si>
  <si>
    <t>01.10.08.38</t>
  </si>
  <si>
    <t xml:space="preserve">        BV-07</t>
  </si>
  <si>
    <t>01.10.08.39</t>
  </si>
  <si>
    <t xml:space="preserve">        BZ-01</t>
  </si>
  <si>
    <t>01.10.08.40</t>
  </si>
  <si>
    <t xml:space="preserve">        BZ-02</t>
  </si>
  <si>
    <t>01.10.08.41</t>
  </si>
  <si>
    <t xml:space="preserve">        BZ-02A</t>
  </si>
  <si>
    <t>01.10.08.42</t>
  </si>
  <si>
    <t xml:space="preserve">        BZ-03</t>
  </si>
  <si>
    <t>01.10.08.43</t>
  </si>
  <si>
    <t xml:space="preserve">        BZ-03A</t>
  </si>
  <si>
    <t>01.10.08.44</t>
  </si>
  <si>
    <t xml:space="preserve">        BSS-01</t>
  </si>
  <si>
    <t>01.10.08.45</t>
  </si>
  <si>
    <t xml:space="preserve">        BSS-02</t>
  </si>
  <si>
    <t>01.10.08.46</t>
  </si>
  <si>
    <t xml:space="preserve">        BC-01</t>
  </si>
  <si>
    <t>01.10.08.47</t>
  </si>
  <si>
    <t xml:space="preserve">        BC-02</t>
  </si>
  <si>
    <t>01.11</t>
  </si>
  <si>
    <t>CARPINTERIA DE METÁLICA</t>
  </si>
  <si>
    <t>01.11.01</t>
  </si>
  <si>
    <t xml:space="preserve">    BARANDAS Y PASAMANOS</t>
  </si>
  <si>
    <t>01.11.01.01</t>
  </si>
  <si>
    <t xml:space="preserve">        BARANDA DE ESCALERA DE EVACUACIÓN -  TUBOS INTERMEDIO DE FE Ø3/4" e=2mm SEPARADOS CASDA 13cm Y PASAMANOS DE FIERRO DE 1.5"x1.5"X2mm CON ANTICORROSIVO Y PINTURA EPOXICA PINTADO COLOR GRIS ACABADO SATINADO</t>
  </si>
  <si>
    <t>01.11.01.02</t>
  </si>
  <si>
    <t xml:space="preserve">        PASAMANO DE ESCALERA DE EVACUACIÓN TUBOS DE 1.5X1.5"X2MM ANCLADA CON BARRA DE FIERRO DE1/2" CADA 10cm, MASILLADO, EMPASTADO Y PINTADO DE COLOR GRIS ACABADO SATINADO</t>
  </si>
  <si>
    <t>01.11.01.03</t>
  </si>
  <si>
    <t xml:space="preserve">        PASAMANO EN ESCALERA EXTERNA DE SÓTANOS TUBOS DE 1.5X1.5"X2MM ANCLADA CON BARRA DE FIERRO DE1/2" CADA 10cm, MASILLADO, EMPASTADO Y PINTADO DE COLOR GRIS ACABADO SATINADO</t>
  </si>
  <si>
    <t>01.11.01.04</t>
  </si>
  <si>
    <t xml:space="preserve">        BARANDA DE CORREDOR EN HALL DE ASCENSORES EN SÓTANOS  TUBOS INTERMEDIO DE FE Ø3/4" e=2mm SEPARADOS CASDA 13cm Y PASAMANOS DE FIERRO DE 1.5"x1.5"X2mm CON ANTICORROSIVO Y PINTURA EPOXICA PINTADO COLOR GRIS ACABADO SATINADO</t>
  </si>
  <si>
    <t>01.11.01.05</t>
  </si>
  <si>
    <t xml:space="preserve">        BARANDA EN ESCALERA DUPLEX CON TUBO DE FIERRO DE 4/4" X 11/4" INTERMEDIO Y BARANDA DE TUBO DE Fe 3/4" x 2" COLOR NEGRO</t>
  </si>
  <si>
    <t>01.11.01.06</t>
  </si>
  <si>
    <t xml:space="preserve">        PASAMANOS DE BARANDA DE TUBO DE Fe 3/4" x 2" COLOR NEGRO ANCLADO CON PLATINA EN "l" DE 3/4"</t>
  </si>
  <si>
    <t>01.11.01.07</t>
  </si>
  <si>
    <t xml:space="preserve">        BARANDAS METÁLICAS ANCLADAS SOBRE LOSA, H=1.10M</t>
  </si>
  <si>
    <t>01.11.02</t>
  </si>
  <si>
    <t xml:space="preserve">    REJILLA DE SUMIDEROS</t>
  </si>
  <si>
    <t>01.11.02.01</t>
  </si>
  <si>
    <t xml:space="preserve">        REJILLA METALICA PARA SUMIDERO EN RAMPAS DE ESTACIONAMIENTOS ANCHO 25cm</t>
  </si>
  <si>
    <t>01.11.02.02</t>
  </si>
  <si>
    <t xml:space="preserve">        REJILLA METÁLICA PARA SUMIDERO EN CUARTO DE BOMBAS ANCHO 20cm</t>
  </si>
  <si>
    <t>01.11.02.03</t>
  </si>
  <si>
    <t xml:space="preserve">        REJILLA METÁLICA EN PUERTA DE CUARTO DE BASURA ANCHO 15cm - SOTANO 1</t>
  </si>
  <si>
    <t>01.11.02.04</t>
  </si>
  <si>
    <t xml:space="preserve">        DESAGUE DUCHA MAGNUM CUADRADO DE 13x13cm - RIVELSA</t>
  </si>
  <si>
    <t>01.11.02.05</t>
  </si>
  <si>
    <t xml:space="preserve">        REJILLA SUMIDERO EN TERRAZAS DE DEPARTAMENTOS</t>
  </si>
  <si>
    <t>01.11.03</t>
  </si>
  <si>
    <t xml:space="preserve">    ESCALERAS INTERNAS</t>
  </si>
  <si>
    <t>01.11.03.01</t>
  </si>
  <si>
    <t xml:space="preserve">        ESCALERA METÁLICA EN DEPARTAMENTOS DUPLEX 102, 103,106, 107, 1001, 1002, 1003, 1004. TUBO DE FE SECCIÓN HUECO 4"x4" PINTADO COLOR NEGRO Y PLATINA DE SOPORTE EN L E=3mm PARA PASOS DE MADERA</t>
  </si>
  <si>
    <t>01.11.04</t>
  </si>
  <si>
    <t>01.11.04.01</t>
  </si>
  <si>
    <t xml:space="preserve">        ESCALERA DE GATO - CTO DE BOMBA (CM-06)</t>
  </si>
  <si>
    <t>01.11.04.02</t>
  </si>
  <si>
    <t xml:space="preserve">        VENTANAS DE INSPECCIÓN PARA CISTERNAS</t>
  </si>
  <si>
    <t>01.11.04.03</t>
  </si>
  <si>
    <t xml:space="preserve">        ESCOTILLA DE POZO SUMIDERO (CM-05)</t>
  </si>
  <si>
    <t>01.11.04.04</t>
  </si>
  <si>
    <t xml:space="preserve">        SOPORTES DE TABLEROS DE BAÑOS</t>
  </si>
  <si>
    <t>01.11.04.05</t>
  </si>
  <si>
    <t xml:space="preserve">        PROTECTORES DE MONTANTES DE TUBERÍA</t>
  </si>
  <si>
    <t>01.11.04.06</t>
  </si>
  <si>
    <t xml:space="preserve">        CELOSIA METALICA - FACHADA PRINCIPAL</t>
  </si>
  <si>
    <t>01.11.04.07</t>
  </si>
  <si>
    <t xml:space="preserve">        TAPA REJILLA METALICA 0.49x0.69M CUARTO DE BOMBAS</t>
  </si>
  <si>
    <t>01.11.04.08</t>
  </si>
  <si>
    <t xml:space="preserve">        TAPA REJILLA METALICA 0.53x0.70M CAMARA DE DESAGUE</t>
  </si>
  <si>
    <t>01.11.04.09</t>
  </si>
  <si>
    <t xml:space="preserve">        TAPA REJILLA METALICA DUCTO DE GAS</t>
  </si>
  <si>
    <t>01.11.05</t>
  </si>
  <si>
    <t xml:space="preserve">    PUERTAS CORTAFUEGO</t>
  </si>
  <si>
    <t>01.11.05.01</t>
  </si>
  <si>
    <t xml:space="preserve">        P-01 (1.00X2.10) 1 HOJA - Vestíbulo previo a la esc. de evac., Cto de bombas</t>
  </si>
  <si>
    <t>01.11.05.02</t>
  </si>
  <si>
    <t xml:space="preserve">        P-02 (1.00x2.10) 1 HOJA - Escaleras de evac: Piso 2-3-4-5-6-7-8-9-10</t>
  </si>
  <si>
    <t>01.11.05.03</t>
  </si>
  <si>
    <t xml:space="preserve">        P-03 (0.80x2.10) 1 HOJA - CL Común, Cto. de tableros</t>
  </si>
  <si>
    <t>01.11.05.04</t>
  </si>
  <si>
    <t xml:space="preserve">        P-04 (1.00x2.10) 1 HOJA - Est. Acerelométrica, Cámara de Desague, Cto. de basura</t>
  </si>
  <si>
    <t>01.11.05.05</t>
  </si>
  <si>
    <t xml:space="preserve">        P-05 (1.20x2.10) 2 HOJAS - Corredor, Vestíbulo previo a Cto. de Bombas</t>
  </si>
  <si>
    <t>01.11.05.06</t>
  </si>
  <si>
    <t xml:space="preserve">        P-07 (1.60x2.10) 2 HOJAS - Grupo. Electrógeno</t>
  </si>
  <si>
    <t>01.11.05.07</t>
  </si>
  <si>
    <t xml:space="preserve">        P-10' (1.00x2.38) 1 HOJA - Ingreso a Departamentos</t>
  </si>
  <si>
    <t>01.11.05.08</t>
  </si>
  <si>
    <t xml:space="preserve">        P-16 (1.50x2.38) 2 HOJAS - Ingreso SUM</t>
  </si>
  <si>
    <t>01.11.05.09</t>
  </si>
  <si>
    <t xml:space="preserve">        P-29 (0.80x2.38)  1 HOJA - CL Ductos de IIGG</t>
  </si>
  <si>
    <t>01.11.05.10</t>
  </si>
  <si>
    <t xml:space="preserve">        TRANSPORTE PUERTAS CORTAFUEGO</t>
  </si>
  <si>
    <t>GLB</t>
  </si>
  <si>
    <t>01.12</t>
  </si>
  <si>
    <t>PINTURA</t>
  </si>
  <si>
    <t>01.12.01</t>
  </si>
  <si>
    <t xml:space="preserve">    PINTURA EN MUROS DE SOTANOS</t>
  </si>
  <si>
    <t>01.12.01.01</t>
  </si>
  <si>
    <t xml:space="preserve">        Acabado color cal nieve - EN MUROS DE CTO.BASURA,CTO.ACELEROGRAFO,DEPOSITOS, SSHH</t>
  </si>
  <si>
    <t>01.12.01.02</t>
  </si>
  <si>
    <t xml:space="preserve">        Empastada y pintada color blanco - EN MUROS DE CTO.BOMBAS,ESCLUSA,CTO.TABLEROS,HALL ASCENSORES</t>
  </si>
  <si>
    <t>01.12.01.03</t>
  </si>
  <si>
    <t xml:space="preserve">        Acabado color cal nieve - EN MUROS DE SÓTANOS</t>
  </si>
  <si>
    <t>01.12.02</t>
  </si>
  <si>
    <t xml:space="preserve">    PINTURA EN CIELORASO</t>
  </si>
  <si>
    <t>01.12.02.01</t>
  </si>
  <si>
    <t xml:space="preserve">        Limpieza -  EN CIELORASO EN SOTANOS ( PRELOSA EXPUESTA)</t>
  </si>
  <si>
    <t>01.12.02.02</t>
  </si>
  <si>
    <t xml:space="preserve">        Acabado color cal nieve - EN VIGAS EN SOTANOS</t>
  </si>
  <si>
    <t>01.12.02.03</t>
  </si>
  <si>
    <t xml:space="preserve">        PINTURA EN CIELORASO TORRE - Blanco mate o similar, CPP Pato latex o similar</t>
  </si>
  <si>
    <t>01.12.02.04</t>
  </si>
  <si>
    <t xml:space="preserve">        PINTURA DE VIGAS - Blanco mate o similar, CPP Pato latex o similar</t>
  </si>
  <si>
    <t>01.12.03</t>
  </si>
  <si>
    <t xml:space="preserve">    PINTURA EN ESCALERAS</t>
  </si>
  <si>
    <t>01.12.03.01</t>
  </si>
  <si>
    <t xml:space="preserve">        Empastado y pintada color blanco - EN CIELORASO  DE CAJON DE ESCALERA Y VESTIBULO</t>
  </si>
  <si>
    <t>01.12.03.02</t>
  </si>
  <si>
    <t xml:space="preserve">        Empastado y pintada color blanco - EN DUCTOS DE ESCALERA Y VESTIBULO PREVIO</t>
  </si>
  <si>
    <t>01.12.04</t>
  </si>
  <si>
    <t xml:space="preserve">    PINTURA EN MUROS DE DEPARTAMENTOS</t>
  </si>
  <si>
    <t>01.12.04.01</t>
  </si>
  <si>
    <t xml:space="preserve">        Empastado y pintado color Blanco humo o similar (Vencedor - Vencelatex mate) - EN MUROS DE DEPARTAMENTOS (DORMITORIO, SALA, COMEDOR)</t>
  </si>
  <si>
    <t>01.12.04.02</t>
  </si>
  <si>
    <t xml:space="preserve">        Empastado y pintado Blanco mate o similar (Vencedor - Vencelatex mate) - EN BAÑOS DE DEPARTAMENTOS</t>
  </si>
  <si>
    <t>01.12.04.03</t>
  </si>
  <si>
    <t xml:space="preserve">        Empastado y pintado color Blanco humo o similar (Vencedor - Vencelatex mate) - EN CLOSETS Y WALK IN CLOSETS</t>
  </si>
  <si>
    <t>01.12.04.04</t>
  </si>
  <si>
    <t xml:space="preserve">        Empastado y pintado Blanco según RAL - EN COCINAS, CTO DE LAVADO, LAVANDERIA</t>
  </si>
  <si>
    <t>01.12.05</t>
  </si>
  <si>
    <t xml:space="preserve">    PINTURA EN ÁREAS COMUNES</t>
  </si>
  <si>
    <t>01.12.05.01</t>
  </si>
  <si>
    <t xml:space="preserve">        Empastado y pintado color Kampur OW 88 o similar - ÁREAS COMUNES PRIMER PISO</t>
  </si>
  <si>
    <t>01.12.05.02</t>
  </si>
  <si>
    <t xml:space="preserve">        Empastado y pintado color Kampur OW 88 o similar - EN MUROS DE CORREDORES</t>
  </si>
  <si>
    <t>01.12.05.03</t>
  </si>
  <si>
    <t xml:space="preserve">        Empastado y pintado color Kampur OW 88 o similar - HALL DE ASCENSORES</t>
  </si>
  <si>
    <t>01.12.05.04</t>
  </si>
  <si>
    <t xml:space="preserve">        Empastado y pintado color blanco - EN BAÑOS</t>
  </si>
  <si>
    <t>01.12.06</t>
  </si>
  <si>
    <t xml:space="preserve">    PINTURA DE EXTERIOR</t>
  </si>
  <si>
    <t>01.12.06.01</t>
  </si>
  <si>
    <t xml:space="preserve">        Empastado y pintada color Grafito/Gris Claro - EN FACHADAS EXTERIORES E INTERIORES</t>
  </si>
  <si>
    <t>01.12.06.02</t>
  </si>
  <si>
    <t xml:space="preserve">        Empastado y pintado color Gris Claro - MUROS EN FACHADAS EXTERIORES (LIMITE CON VECINOS)</t>
  </si>
  <si>
    <t>01.12.07</t>
  </si>
  <si>
    <t xml:space="preserve">    PINTURA DE TRAFICO</t>
  </si>
  <si>
    <t>01.12.07.01</t>
  </si>
  <si>
    <t xml:space="preserve">        DELIMITACION DE CAJON DE ESTACIONAMIENTO</t>
  </si>
  <si>
    <t>01.12.07.02</t>
  </si>
  <si>
    <t xml:space="preserve">        NUMERACION DE ESTACIONAMIENTOS AUTOS</t>
  </si>
  <si>
    <t>01.12.07.03</t>
  </si>
  <si>
    <t xml:space="preserve">        PINTURA DE FLECHAS</t>
  </si>
  <si>
    <t>01.12.07.04</t>
  </si>
  <si>
    <t xml:space="preserve">        PINTURA DE CEBRAS PEATONALES</t>
  </si>
  <si>
    <t>01.12.07.05</t>
  </si>
  <si>
    <t xml:space="preserve">        NUMERACIÓN DE SÓTANOS H=1.10m EN MUROS PINTADO</t>
  </si>
  <si>
    <t>01.12.07.06</t>
  </si>
  <si>
    <t xml:space="preserve">        PINTURA DE CEBRAS VEHICULARES</t>
  </si>
  <si>
    <t>01.13</t>
  </si>
  <si>
    <t>TABLEROS, MARMOLES Y GRANITOS</t>
  </si>
  <si>
    <t>01.13.01</t>
  </si>
  <si>
    <t xml:space="preserve">    DEPARTAMENTOS BAÑOS</t>
  </si>
  <si>
    <t>01.13.01.01</t>
  </si>
  <si>
    <t xml:space="preserve">        SUMINISTRO E INSTALACIÓN DE MÁRMOL SILVER GREY 20MM A=0.60,Z=0.10</t>
  </si>
  <si>
    <t>01.13.01.02</t>
  </si>
  <si>
    <t xml:space="preserve">        SUMINISTRO E INSTALACIÓN DE BLANCO OSO 20mm</t>
  </si>
  <si>
    <t>01.13.02</t>
  </si>
  <si>
    <t xml:space="preserve">    DEPARTAMENTOS COCINAS</t>
  </si>
  <si>
    <t>01.13.02.01</t>
  </si>
  <si>
    <t xml:space="preserve">        SUMINISTRO E INSTALACION DE GRANITO NEGRO E:20MM (PARRILLAS TABLERO)</t>
  </si>
  <si>
    <t>01.13.02.02</t>
  </si>
  <si>
    <t xml:space="preserve">        SUMINISTRO E INSTALACIÓN DE CUARZO GRIS VETEADO 20mm</t>
  </si>
  <si>
    <t>01.13.02.03</t>
  </si>
  <si>
    <t xml:space="preserve">        SUMINISTRO E INSTALACIÓN DE CUARZO VERMONT SANTA MARGHERITA 20mm A=0.20</t>
  </si>
  <si>
    <t>01.13.02.04</t>
  </si>
  <si>
    <t xml:space="preserve">        PROTECCION  DE TABLEROS</t>
  </si>
  <si>
    <t>01.14</t>
  </si>
  <si>
    <t>CARPINTERIA DE ALUMINIO</t>
  </si>
  <si>
    <t>01.14.01</t>
  </si>
  <si>
    <t xml:space="preserve">    VENTANAS CON VIDRIO LAMINADO PRIMARIO INCOLORO BLINDEX ESTANDAR</t>
  </si>
  <si>
    <t>01.14.01.01</t>
  </si>
  <si>
    <t xml:space="preserve">        V.01</t>
  </si>
  <si>
    <t>01.14.01.02</t>
  </si>
  <si>
    <t xml:space="preserve">        V.02</t>
  </si>
  <si>
    <t>01.14.01.03</t>
  </si>
  <si>
    <t xml:space="preserve">        V.03</t>
  </si>
  <si>
    <t>01.14.01.04</t>
  </si>
  <si>
    <t xml:space="preserve">        V.04</t>
  </si>
  <si>
    <t>01.14.01.05</t>
  </si>
  <si>
    <t xml:space="preserve">        V.05</t>
  </si>
  <si>
    <t>01.14.01.06</t>
  </si>
  <si>
    <t xml:space="preserve">        V.06</t>
  </si>
  <si>
    <t>01.14.01.07</t>
  </si>
  <si>
    <t xml:space="preserve">        V.07</t>
  </si>
  <si>
    <t>01.14.01.08</t>
  </si>
  <si>
    <t xml:space="preserve">        V.08</t>
  </si>
  <si>
    <t>01.14.01.09</t>
  </si>
  <si>
    <t xml:space="preserve">        V.09</t>
  </si>
  <si>
    <t>01.14.01.10</t>
  </si>
  <si>
    <t xml:space="preserve">        V.10</t>
  </si>
  <si>
    <t>01.14.01.11</t>
  </si>
  <si>
    <t xml:space="preserve">        V.11</t>
  </si>
  <si>
    <t>01.14.01.12</t>
  </si>
  <si>
    <t xml:space="preserve">        V.12</t>
  </si>
  <si>
    <t>01.14.01.13</t>
  </si>
  <si>
    <t xml:space="preserve">        V.13</t>
  </si>
  <si>
    <t>01.14.01.14</t>
  </si>
  <si>
    <t xml:space="preserve">        V.14</t>
  </si>
  <si>
    <t>01.14.01.15</t>
  </si>
  <si>
    <t xml:space="preserve">        V.15</t>
  </si>
  <si>
    <t>01.14.01.16</t>
  </si>
  <si>
    <t xml:space="preserve">        V.16</t>
  </si>
  <si>
    <t>01.14.01.17</t>
  </si>
  <si>
    <t xml:space="preserve">        V.16'</t>
  </si>
  <si>
    <t>01.14.01.18</t>
  </si>
  <si>
    <t xml:space="preserve">        V.17</t>
  </si>
  <si>
    <t>01.14.01.19</t>
  </si>
  <si>
    <t xml:space="preserve">        V.18</t>
  </si>
  <si>
    <t>01.14.01.20</t>
  </si>
  <si>
    <t xml:space="preserve">        V.19</t>
  </si>
  <si>
    <t>01.14.01.21</t>
  </si>
  <si>
    <t xml:space="preserve">        VA.01</t>
  </si>
  <si>
    <t>01.14.01.22</t>
  </si>
  <si>
    <t xml:space="preserve">        VA.02</t>
  </si>
  <si>
    <t>01.14.01.23</t>
  </si>
  <si>
    <t xml:space="preserve">        VA.03</t>
  </si>
  <si>
    <t>01.14.01.24</t>
  </si>
  <si>
    <t xml:space="preserve">        VA.04</t>
  </si>
  <si>
    <t>01.14.01.25</t>
  </si>
  <si>
    <t xml:space="preserve">        VA.05</t>
  </si>
  <si>
    <t>01.14.01.26</t>
  </si>
  <si>
    <t xml:space="preserve">        VA.06</t>
  </si>
  <si>
    <t>01.14.02</t>
  </si>
  <si>
    <t xml:space="preserve">    MAMPARAS CON VIDRIO LAMINADO BLIDEX ACUSTIC</t>
  </si>
  <si>
    <t>01.14.02.01</t>
  </si>
  <si>
    <t xml:space="preserve">        M.01</t>
  </si>
  <si>
    <t>01.14.02.02</t>
  </si>
  <si>
    <t xml:space="preserve">        M.02</t>
  </si>
  <si>
    <t>01.14.02.03</t>
  </si>
  <si>
    <t xml:space="preserve">        M.03</t>
  </si>
  <si>
    <t>01.14.02.04</t>
  </si>
  <si>
    <t xml:space="preserve">        M.04</t>
  </si>
  <si>
    <t>01.14.02.05</t>
  </si>
  <si>
    <t xml:space="preserve">        M.05</t>
  </si>
  <si>
    <t>01.14.02.06</t>
  </si>
  <si>
    <t xml:space="preserve">        M.06</t>
  </si>
  <si>
    <t>01.14.02.07</t>
  </si>
  <si>
    <t xml:space="preserve">        M.06´</t>
  </si>
  <si>
    <t>01.14.02.08</t>
  </si>
  <si>
    <t xml:space="preserve">        M.07</t>
  </si>
  <si>
    <t>01.14.02.09</t>
  </si>
  <si>
    <t xml:space="preserve">        M.07'</t>
  </si>
  <si>
    <t>01.14.02.10</t>
  </si>
  <si>
    <t xml:space="preserve">        M.08</t>
  </si>
  <si>
    <t>01.14.02.11</t>
  </si>
  <si>
    <t xml:space="preserve">        M.09</t>
  </si>
  <si>
    <t>01.14.02.12</t>
  </si>
  <si>
    <t xml:space="preserve">        M.10</t>
  </si>
  <si>
    <t>01.14.02.13</t>
  </si>
  <si>
    <t xml:space="preserve">        M.11</t>
  </si>
  <si>
    <t>01.14.02.14</t>
  </si>
  <si>
    <t xml:space="preserve">        M.12</t>
  </si>
  <si>
    <t>01.14.02.15</t>
  </si>
  <si>
    <t xml:space="preserve">        M.13</t>
  </si>
  <si>
    <t>01.14.02.16</t>
  </si>
  <si>
    <t xml:space="preserve">        M.14</t>
  </si>
  <si>
    <t>01.14.02.17</t>
  </si>
  <si>
    <t xml:space="preserve">        M.15</t>
  </si>
  <si>
    <t>01.14.02.18</t>
  </si>
  <si>
    <t xml:space="preserve">        M.16</t>
  </si>
  <si>
    <t>01.14.02.19</t>
  </si>
  <si>
    <t xml:space="preserve">        M.17</t>
  </si>
  <si>
    <t>01.14.02.20</t>
  </si>
  <si>
    <t xml:space="preserve">        M.18</t>
  </si>
  <si>
    <t>01.14.02.21</t>
  </si>
  <si>
    <t xml:space="preserve">        M.19</t>
  </si>
  <si>
    <t>01.14.02.22</t>
  </si>
  <si>
    <t xml:space="preserve">        M.20</t>
  </si>
  <si>
    <t>01.14.02.23</t>
  </si>
  <si>
    <t xml:space="preserve">        M.21</t>
  </si>
  <si>
    <t>01.14.02.24</t>
  </si>
  <si>
    <t xml:space="preserve">        M.22</t>
  </si>
  <si>
    <t>01.14.02.25</t>
  </si>
  <si>
    <t xml:space="preserve">        M.22'</t>
  </si>
  <si>
    <t>01.14.02.26</t>
  </si>
  <si>
    <t xml:space="preserve">        M.23</t>
  </si>
  <si>
    <t>01.14.02.27</t>
  </si>
  <si>
    <t xml:space="preserve">        M.24</t>
  </si>
  <si>
    <t>01.14.02.28</t>
  </si>
  <si>
    <t xml:space="preserve">        M.25</t>
  </si>
  <si>
    <t>01.14.02.29</t>
  </si>
  <si>
    <t xml:space="preserve">        M.26</t>
  </si>
  <si>
    <t>01.14.02.30</t>
  </si>
  <si>
    <t xml:space="preserve">        M.27</t>
  </si>
  <si>
    <t>01.14.02.31</t>
  </si>
  <si>
    <t xml:space="preserve">        M.28</t>
  </si>
  <si>
    <t>01.14.02.32</t>
  </si>
  <si>
    <t xml:space="preserve">        M.28'</t>
  </si>
  <si>
    <t>01.14.02.33</t>
  </si>
  <si>
    <t xml:space="preserve">        M.29</t>
  </si>
  <si>
    <t>01.14.02.34</t>
  </si>
  <si>
    <t xml:space="preserve">        M.30</t>
  </si>
  <si>
    <t>01.14.02.35</t>
  </si>
  <si>
    <t xml:space="preserve">        M.31</t>
  </si>
  <si>
    <t>01.14.02.36</t>
  </si>
  <si>
    <t xml:space="preserve">        M.32</t>
  </si>
  <si>
    <t>01.14.02.37</t>
  </si>
  <si>
    <t xml:space="preserve">        M.33</t>
  </si>
  <si>
    <t>01.14.02.38</t>
  </si>
  <si>
    <t xml:space="preserve">        M.34</t>
  </si>
  <si>
    <t>01.14.02.39</t>
  </si>
  <si>
    <t xml:space="preserve">        M.35</t>
  </si>
  <si>
    <t>01.14.02.40</t>
  </si>
  <si>
    <t xml:space="preserve">        M.36</t>
  </si>
  <si>
    <t>01.14.02.41</t>
  </si>
  <si>
    <t xml:space="preserve">        M.37</t>
  </si>
  <si>
    <t>01.14.02.42</t>
  </si>
  <si>
    <t xml:space="preserve">        M.38</t>
  </si>
  <si>
    <t>01.14.02.43</t>
  </si>
  <si>
    <t xml:space="preserve">        M.39</t>
  </si>
  <si>
    <t>01.14.02.44</t>
  </si>
  <si>
    <t xml:space="preserve">        M.40</t>
  </si>
  <si>
    <t>01.14.02.45</t>
  </si>
  <si>
    <t xml:space="preserve">        M.40´</t>
  </si>
  <si>
    <t>01.14.02.46</t>
  </si>
  <si>
    <t xml:space="preserve">        M.41</t>
  </si>
  <si>
    <t>01.14.02.47</t>
  </si>
  <si>
    <t xml:space="preserve">        M.42</t>
  </si>
  <si>
    <t>01.14.02.48</t>
  </si>
  <si>
    <t xml:space="preserve">        M.43</t>
  </si>
  <si>
    <t>01.14.02.49</t>
  </si>
  <si>
    <t xml:space="preserve">        M.44</t>
  </si>
  <si>
    <t>01.14.02.50</t>
  </si>
  <si>
    <t xml:space="preserve">        M.45</t>
  </si>
  <si>
    <t>01.14.02.51</t>
  </si>
  <si>
    <t xml:space="preserve">        M.46</t>
  </si>
  <si>
    <t>01.14.02.52</t>
  </si>
  <si>
    <t xml:space="preserve">        M.47</t>
  </si>
  <si>
    <t>01.14.02.53</t>
  </si>
  <si>
    <t xml:space="preserve">        M.48</t>
  </si>
  <si>
    <t>01.14.03</t>
  </si>
  <si>
    <t>01.14.03.01</t>
  </si>
  <si>
    <t xml:space="preserve">        CELOSÍAS EN FACHADA (0.50M) - TECHO</t>
  </si>
  <si>
    <t>01.14.03.02</t>
  </si>
  <si>
    <t xml:space="preserve">        ESPEJO CON LUZ LED 1 (1.28 x 0.57)</t>
  </si>
  <si>
    <t>01.14.03.03</t>
  </si>
  <si>
    <t xml:space="preserve">        ESPEJO CON LUZ LED 2 (1.01 x 0.60)</t>
  </si>
  <si>
    <t>01.14.03.04</t>
  </si>
  <si>
    <t xml:space="preserve">        PUERTA P21 (0.80x2.10) CELOSIA + MAMPARA</t>
  </si>
  <si>
    <t>01.14.03.05</t>
  </si>
  <si>
    <t xml:space="preserve">        PUERTA P22 (0.85x2.10) CELOSIA + MAMPARA</t>
  </si>
  <si>
    <t>01.14.03.06</t>
  </si>
  <si>
    <t xml:space="preserve">        PROTECCION  DE VIDRIOS</t>
  </si>
  <si>
    <t>01.14.04</t>
  </si>
  <si>
    <t xml:space="preserve">    BARANDAS DE VIDRIO</t>
  </si>
  <si>
    <t>01.14.04.01</t>
  </si>
  <si>
    <t xml:space="preserve">        BARANDA B01 (h=1.10) L=3.30m</t>
  </si>
  <si>
    <t>01.14.04.02</t>
  </si>
  <si>
    <t xml:space="preserve">        BARANDA B02 (h=1.10) L=1.20m</t>
  </si>
  <si>
    <t>01.14.04.03</t>
  </si>
  <si>
    <t xml:space="preserve">        BARANDA B03 (h=1.10) L=1.80m</t>
  </si>
  <si>
    <t>01.14.04.04</t>
  </si>
  <si>
    <t xml:space="preserve">        BARANDA B04 (h=0.65) L=4.40m</t>
  </si>
  <si>
    <t>01.14.04.05</t>
  </si>
  <si>
    <t xml:space="preserve">        BARANDA B05 (h=0.65) L=4.85m</t>
  </si>
  <si>
    <t>01.14.04.06</t>
  </si>
  <si>
    <t xml:space="preserve">        BARANDA B06 (h=0.65) L=5.00m</t>
  </si>
  <si>
    <t>01.14.04.07</t>
  </si>
  <si>
    <t xml:space="preserve">        BARANDA B07 (h=0.65) L=3.30m</t>
  </si>
  <si>
    <t>01.14.04.08</t>
  </si>
  <si>
    <t xml:space="preserve">        BARANDA B08 (h=0.65) L=1.20m</t>
  </si>
  <si>
    <t>01.14.04.09</t>
  </si>
  <si>
    <t xml:space="preserve">        BARANDA B09 (h=0.65) L=1.95m</t>
  </si>
  <si>
    <t>01.14.04.10</t>
  </si>
  <si>
    <t xml:space="preserve">        BARANDA B10 (h=1.10) Terraza piso 8</t>
  </si>
  <si>
    <t>01.14.04.11</t>
  </si>
  <si>
    <t xml:space="preserve">        BARANDA B11 (h=1.10) L=3.90m</t>
  </si>
  <si>
    <t>01.14.04.12</t>
  </si>
  <si>
    <t xml:space="preserve">        BARANDA B12 (h=1.10) Azotea Exterior</t>
  </si>
  <si>
    <t>01.14.04.13</t>
  </si>
  <si>
    <t xml:space="preserve">        BARANDA B13 (h=1.10) Azotea Interior</t>
  </si>
  <si>
    <t>01.15</t>
  </si>
  <si>
    <t>APARATOS SANITARIOS</t>
  </si>
  <si>
    <t>01.15.01</t>
  </si>
  <si>
    <t xml:space="preserve">    CTO DE BASURAS EN SOTANO</t>
  </si>
  <si>
    <t>01.15.01.01</t>
  </si>
  <si>
    <t xml:space="preserve">        LAVATORIO - MODELO AMAZONAS PLUS (BLANCO)</t>
  </si>
  <si>
    <t>01.15.01.02</t>
  </si>
  <si>
    <t xml:space="preserve">        GRIFERIA DE RIEGO 1/2" CROMADA</t>
  </si>
  <si>
    <t>01.15.02</t>
  </si>
  <si>
    <t>01.15.02.01</t>
  </si>
  <si>
    <t xml:space="preserve">        GRIFERÍA DE RIEGO DE 1/2" CROMADA</t>
  </si>
  <si>
    <t>01.15.03</t>
  </si>
  <si>
    <t xml:space="preserve">    BAÑO DE SERVICIO - SOT 1</t>
  </si>
  <si>
    <t>01.15.03.01</t>
  </si>
  <si>
    <t xml:space="preserve">        INODORO - ONE PIECE CANNES (BLANCO)</t>
  </si>
  <si>
    <t>01.15.03.02</t>
  </si>
  <si>
    <t xml:space="preserve">        LAVATORIO - MUEBLE CON LAVATORIO SUNSET WHITE (BLANCO - KLIPEN)</t>
  </si>
  <si>
    <t>01.15.03.03</t>
  </si>
  <si>
    <t xml:space="preserve">        GRIFERÍA - MONOCOMANDO MODELO FRESIA Z181/B9</t>
  </si>
  <si>
    <t>01.15.03.04</t>
  </si>
  <si>
    <t xml:space="preserve">        GRIFERÍA - DUCHA MONOCOMANDO MODELO BENJOI Z108/C5 + CABEZA SALIDA REDONDA CON BRAZO Z120/20</t>
  </si>
  <si>
    <t>01.15.03.05</t>
  </si>
  <si>
    <t xml:space="preserve">        SARDINEL CON BARRA Y CORTINA</t>
  </si>
  <si>
    <t>01.15.03.06</t>
  </si>
  <si>
    <t xml:space="preserve">        PERCHA DE ACERO INOX.</t>
  </si>
  <si>
    <t>01.15.03.07</t>
  </si>
  <si>
    <t xml:space="preserve">        TOALLERO TIPO BARRA DE ACERO INOX.</t>
  </si>
  <si>
    <t>01.15.03.08</t>
  </si>
  <si>
    <t xml:space="preserve">        TOALLERO ABIERTO DE ACERO INOX.</t>
  </si>
  <si>
    <t>01.15.04</t>
  </si>
  <si>
    <t xml:space="preserve">    KITCHENETTE - PISO 1</t>
  </si>
  <si>
    <t>01.15.04.01</t>
  </si>
  <si>
    <t xml:space="preserve">        LAVADERO - 01 POZA DE ACERO INOX. MAGNUM 173x415x335mm</t>
  </si>
  <si>
    <t>01.15.04.02</t>
  </si>
  <si>
    <t xml:space="preserve">        GRIFERÍA - MONOMANDO NEGRO KOHLER</t>
  </si>
  <si>
    <t>01.15.05</t>
  </si>
  <si>
    <t xml:space="preserve">    SSHH COMÚN</t>
  </si>
  <si>
    <t>01.15.05.01</t>
  </si>
  <si>
    <t>01.15.05.02</t>
  </si>
  <si>
    <t xml:space="preserve">        LAVATORIO - SUNSET WHITE</t>
  </si>
  <si>
    <t>01.15.05.03</t>
  </si>
  <si>
    <t xml:space="preserve">        GRIFERÍA - LLAVE TEMPORIZADA PICO RECTO ALFA CROMADA DOCOL</t>
  </si>
  <si>
    <t>01.15.05.04</t>
  </si>
  <si>
    <t xml:space="preserve">        PAPELERA DE ACERO INOX.</t>
  </si>
  <si>
    <t>01.15.05.05</t>
  </si>
  <si>
    <t xml:space="preserve">        DISPENSADOR DE JABÓN LÍQUIDO 0.20x0.12x0.11 ACERO INOX.</t>
  </si>
  <si>
    <t>01.15.06</t>
  </si>
  <si>
    <t xml:space="preserve">    BAÑO DE VISITA (SIN DUCHA) - DEPARTAMENTOS</t>
  </si>
  <si>
    <t>01.15.06.01</t>
  </si>
  <si>
    <t xml:space="preserve">        INODORO - ONE PIECE REACH ELONG BLANCO KOHLER</t>
  </si>
  <si>
    <t>01.15.06.02</t>
  </si>
  <si>
    <t xml:space="preserve">        LAVATORIO - SOBREPONER CIRCULAR ( D:41.3 cm - BLANCO )</t>
  </si>
  <si>
    <t>01.15.06.03</t>
  </si>
  <si>
    <t xml:space="preserve">        GRIFERÍA - MONOMANDO ALTO CROMADO KOHLER</t>
  </si>
  <si>
    <t>01.15.06.04</t>
  </si>
  <si>
    <t>01.15.06.05</t>
  </si>
  <si>
    <t xml:space="preserve">        PORTARROLLO CON TAPA DE ACERO INOX.</t>
  </si>
  <si>
    <t>01.15.07</t>
  </si>
  <si>
    <t xml:space="preserve">    BAÑO DE VISITA (SIN DUCHA) - AZOTEA</t>
  </si>
  <si>
    <t>01.15.07.01</t>
  </si>
  <si>
    <t>01.15.07.02</t>
  </si>
  <si>
    <t>01.15.07.03</t>
  </si>
  <si>
    <t xml:space="preserve">        LAVATORIO DE EMPOTRAR CAXTON BLANCO KOHLER</t>
  </si>
  <si>
    <t>01.15.07.04</t>
  </si>
  <si>
    <t xml:space="preserve">        GRIFERÍA MONOMANDO BAJO TAUT KOHLER</t>
  </si>
  <si>
    <t>01.15.07.05</t>
  </si>
  <si>
    <t>01.15.07.06</t>
  </si>
  <si>
    <t>01.15.07.07</t>
  </si>
  <si>
    <t>01.15.08</t>
  </si>
  <si>
    <t xml:space="preserve">    BAÑO DE VISITA (CON DUCHA) - DEPARTAMENTOS</t>
  </si>
  <si>
    <t>01.15.08.01</t>
  </si>
  <si>
    <t>01.15.08.02</t>
  </si>
  <si>
    <t xml:space="preserve">        LAVATORIO EMPOTRADO (BLANCO)</t>
  </si>
  <si>
    <t>01.15.08.03</t>
  </si>
  <si>
    <t>01.15.08.04</t>
  </si>
  <si>
    <t xml:space="preserve">        GRIFERÍA DE DUCHA MONOMANDO TAUT CROMADO KOHLER + CABEZA SQUARE R0B0803 + BRAZO ROUND G0001 CROMADO</t>
  </si>
  <si>
    <t>01.15.09</t>
  </si>
  <si>
    <t xml:space="preserve">    BAÑO PRINCIPAL - DEPARTAMENTOS</t>
  </si>
  <si>
    <t>01.15.09.01</t>
  </si>
  <si>
    <t>01.15.09.02</t>
  </si>
  <si>
    <t>01.15.09.03</t>
  </si>
  <si>
    <t>01.15.09.04</t>
  </si>
  <si>
    <t>01.15.10</t>
  </si>
  <si>
    <t xml:space="preserve">    BAÑO SECUNDARIO - DEPARTAMENTOS</t>
  </si>
  <si>
    <t>01.15.10.01</t>
  </si>
  <si>
    <t>01.15.10.02</t>
  </si>
  <si>
    <t>01.15.10.03</t>
  </si>
  <si>
    <t>01.15.10.04</t>
  </si>
  <si>
    <t>01.15.11</t>
  </si>
  <si>
    <t xml:space="preserve">    COCINA - DEPARTAMENTOS</t>
  </si>
  <si>
    <t>01.15.11.01</t>
  </si>
  <si>
    <t xml:space="preserve">        LAVADERO - 01 POZA DE ACERO INOXIDABLE MAGNUM DE 0.40x0.40x0.20m</t>
  </si>
  <si>
    <t>01.15.11.02</t>
  </si>
  <si>
    <t xml:space="preserve">        LAVADERO - 02 POZAS DE ACERO INOXIDABLE MAGNUM DE 0.85x0.48x0.20m</t>
  </si>
  <si>
    <t>01.15.11.03</t>
  </si>
  <si>
    <t xml:space="preserve">        GRIFERIA - MONOMANDO TAUT PULL DOWN 21367M-A-CP CROMADA</t>
  </si>
  <si>
    <t>01.15.12</t>
  </si>
  <si>
    <t xml:space="preserve">    CTO DE LAVADO Y LAVANDERÍA - DEPARTAMENTOS</t>
  </si>
  <si>
    <t>01.15.12.01</t>
  </si>
  <si>
    <t xml:space="preserve">        LAVADERO AMAZONAS PLUS DE 0.60x0.51M BLANCO</t>
  </si>
  <si>
    <t>01.15.12.02</t>
  </si>
  <si>
    <t xml:space="preserve">        GRIFERÍA BRONCE CROMADO - INCA IN148 TEKA</t>
  </si>
  <si>
    <t>01.15.13</t>
  </si>
  <si>
    <t xml:space="preserve">    LAVANDERÍA AZOTEA</t>
  </si>
  <si>
    <t>01.15.13.01</t>
  </si>
  <si>
    <t>01.15.13.02</t>
  </si>
  <si>
    <t>01.15.14</t>
  </si>
  <si>
    <t xml:space="preserve">    BAÑO DE SERVICIO - DEPARTAMENTOS</t>
  </si>
  <si>
    <t>01.15.14.01</t>
  </si>
  <si>
    <t xml:space="preserve">        INODORO - RAPID JET PLUS MILAN BLANCO</t>
  </si>
  <si>
    <t>01.15.14.02</t>
  </si>
  <si>
    <t xml:space="preserve">        LAVATORIO S/ PEDESTAL CASTEL ZURICH</t>
  </si>
  <si>
    <t>01.15.14.03</t>
  </si>
  <si>
    <t xml:space="preserve">        GRIFERÍA DE LAVATORIO LINE BRASS ALLEGRO CROMADO</t>
  </si>
  <si>
    <t>01.15.14.04</t>
  </si>
  <si>
    <t xml:space="preserve">        DUCHA - MODELO ECO TREBOL CROMADO</t>
  </si>
  <si>
    <t>01.16</t>
  </si>
  <si>
    <t>SEGURIDAD</t>
  </si>
  <si>
    <t>01.16.01</t>
  </si>
  <si>
    <t xml:space="preserve">    SEÑALETICA SALIDA</t>
  </si>
  <si>
    <t>01.16.02</t>
  </si>
  <si>
    <t xml:space="preserve">    SEÑALETICA SALIDA COLGANTE</t>
  </si>
  <si>
    <t>01.16.03</t>
  </si>
  <si>
    <t xml:space="preserve">    SEÑALETICA EXTINTOR TIPO PQS DE 6kg</t>
  </si>
  <si>
    <t>01.16.04</t>
  </si>
  <si>
    <t xml:space="preserve">    SEÑALETICA EXTINTOR TIPO CO2 5LBS</t>
  </si>
  <si>
    <t>01.16.05</t>
  </si>
  <si>
    <t xml:space="preserve">    SEÑALETICA PASE DE MANGUERA</t>
  </si>
  <si>
    <t>01.16.06</t>
  </si>
  <si>
    <t xml:space="preserve">    SEÑALETICA ESCALERA CONTRA INCENDIO</t>
  </si>
  <si>
    <t>01.16.07</t>
  </si>
  <si>
    <t xml:space="preserve">    SEÑALETICA AVISADOR SONORO</t>
  </si>
  <si>
    <t>01.16.08</t>
  </si>
  <si>
    <t xml:space="preserve">    SEÑALETICA ALARMA CONTRA INCENDIOS</t>
  </si>
  <si>
    <t>01.16.09</t>
  </si>
  <si>
    <t xml:space="preserve">    SEÑALETICA RIESGO ELECTRICO</t>
  </si>
  <si>
    <t>01.16.10</t>
  </si>
  <si>
    <t xml:space="preserve">    SEÑALETICA ZONA SEGURA EN CASO DE SISMOS</t>
  </si>
  <si>
    <t>01.16.11</t>
  </si>
  <si>
    <t xml:space="preserve">    SEÑALETICA MANGUERA CONTRAINCENDIO</t>
  </si>
  <si>
    <t>01.16.12</t>
  </si>
  <si>
    <t xml:space="preserve">    SEÑALETICA SALIDA DE EMERGENCIA</t>
  </si>
  <si>
    <t>01.16.13</t>
  </si>
  <si>
    <t xml:space="preserve">    SEÑALETICA ILUMINACIÓN DE EMERGENCIA</t>
  </si>
  <si>
    <t>01.16.14</t>
  </si>
  <si>
    <t xml:space="preserve">    SEÑALETICA INDICADOR DE NIVEL</t>
  </si>
  <si>
    <t>01.16.15</t>
  </si>
  <si>
    <t xml:space="preserve">    SEÑALETICA NO USAR EN CASO DE SISMO</t>
  </si>
  <si>
    <t>01.16.16</t>
  </si>
  <si>
    <t xml:space="preserve">    SEÑALETICA PROHIBIDO FUMAR</t>
  </si>
  <si>
    <t>01.16.17</t>
  </si>
  <si>
    <t xml:space="preserve">    SEÑALETICA BOTIQUIN</t>
  </si>
  <si>
    <t>01.16.18</t>
  </si>
  <si>
    <t xml:space="preserve">    SEÑALETICA CENTRAL ALARMA C/INCENDIO</t>
  </si>
  <si>
    <t>01.16.19</t>
  </si>
  <si>
    <t xml:space="preserve">    SEÑALETICA TOMA SIAMESA</t>
  </si>
  <si>
    <t>01.16.20</t>
  </si>
  <si>
    <t xml:space="preserve">    PROHIBIDO EL PASO A PERSONAL NO AUTORIZADO</t>
  </si>
  <si>
    <t>01.16.21</t>
  </si>
  <si>
    <t xml:space="preserve">    AFORO</t>
  </si>
  <si>
    <t>01.16.22</t>
  </si>
  <si>
    <t xml:space="preserve">    VALVULA PARA USO CGVP</t>
  </si>
  <si>
    <t>01.16.23</t>
  </si>
  <si>
    <t xml:space="preserve">    EXTINTOR TIPO PQS DE 6kg</t>
  </si>
  <si>
    <t>01.16.24</t>
  </si>
  <si>
    <t xml:space="preserve">    EXTINTOR TIPO CO2 5LBS</t>
  </si>
  <si>
    <t>01.16.25</t>
  </si>
  <si>
    <t xml:space="preserve">    BOTIQUIN</t>
  </si>
  <si>
    <t>01.16.26</t>
  </si>
  <si>
    <t xml:space="preserve">    SEÑALES ESPECIALES VIAL BAJADA</t>
  </si>
  <si>
    <t>01.16.27</t>
  </si>
  <si>
    <t xml:space="preserve">    SEÑALES VIAL DIRECCIONAL ESTACIONAMIENTO</t>
  </si>
  <si>
    <t>01.16.28</t>
  </si>
  <si>
    <t xml:space="preserve">    SEÑAL EN PUERTAS DE AREAS COMUNES</t>
  </si>
  <si>
    <t>01.16.29</t>
  </si>
  <si>
    <t xml:space="preserve">    SEÑAL EN MAMPARAS DE AREAS COMUNES</t>
  </si>
  <si>
    <t>01.16.30</t>
  </si>
  <si>
    <t xml:space="preserve">    SEÑAL EN AMBIENTES DE AREAS COMUNES</t>
  </si>
  <si>
    <t>01.17</t>
  </si>
  <si>
    <t>PAISAJISMO</t>
  </si>
  <si>
    <t>01.17.01</t>
  </si>
  <si>
    <t xml:space="preserve">    JARDIN DE AISLAMIENTO</t>
  </si>
  <si>
    <t>01.17.02</t>
  </si>
  <si>
    <t xml:space="preserve">    EXTERIOR - PISO 1</t>
  </si>
  <si>
    <t>01.17.03</t>
  </si>
  <si>
    <t xml:space="preserve">    INTERIOR - PISO 1 (TERRAZA - JARDIN)</t>
  </si>
  <si>
    <t>01.17.04</t>
  </si>
  <si>
    <t xml:space="preserve">    JARDINES - DPTOS.</t>
  </si>
  <si>
    <t>01.17.05</t>
  </si>
  <si>
    <t xml:space="preserve">    JARDINES DE AZOTEA - DPTOS</t>
  </si>
  <si>
    <t>01.17.06</t>
  </si>
  <si>
    <t xml:space="preserve">    SISTEMA INTEGRAL TECHO VERDE (SELLADOR + IMPERMEABILZIACION GEOMBRANA HDPE + GEODREN + FILTRO SUMIDEROS)</t>
  </si>
  <si>
    <t>01.18</t>
  </si>
  <si>
    <t>EQUIPAMIENTO DE COCINA</t>
  </si>
  <si>
    <t>01.18.01</t>
  </si>
  <si>
    <t xml:space="preserve">    ENCIMERA A GAS, VIDRIO TEMPLADO NEGRO DE 90 CM, 5H (BOSCH)</t>
  </si>
  <si>
    <t>01.18.02</t>
  </si>
  <si>
    <t xml:space="preserve">    ENCIMERA A GAS, VIDRIO TEMPLADO NEGRO DE 60 CM, 4H (BOSCH)</t>
  </si>
  <si>
    <t>01.18.03</t>
  </si>
  <si>
    <t xml:space="preserve">    HORNO ELECTRICO NEGRO, EMPOTRABLE DE 60CM (BOSCH)</t>
  </si>
  <si>
    <t>01.18.04</t>
  </si>
  <si>
    <t xml:space="preserve">    HORNO MICROONDAS CON GRILL, ACERO INOXIDABLE, EMPOTRABLE DE DIMENSIONES CM (38.2/59.4/36.9) (BOSCH)</t>
  </si>
  <si>
    <t>01.18.05</t>
  </si>
  <si>
    <t xml:space="preserve">    CAMPANA TELESCOPICA DE 90 CM DE ANCHO (BOSCH)</t>
  </si>
  <si>
    <t>01.18.06</t>
  </si>
  <si>
    <t xml:space="preserve">    CAMPANA TELESCOPICA DE 60 CM DE ANCHO (BOSCH)</t>
  </si>
  <si>
    <t>01.19</t>
  </si>
  <si>
    <t>LUMINARIAS</t>
  </si>
  <si>
    <t>01.19.01</t>
  </si>
  <si>
    <t>01.19.01.01</t>
  </si>
  <si>
    <t xml:space="preserve">        Luminaria tipo LED para adosar en techo, 48W, 6000°K, Blanco 14579. Con carcasa y protector de Policarbonato IP65</t>
  </si>
  <si>
    <t>01.19.01.02</t>
  </si>
  <si>
    <t xml:space="preserve">        Luminaria tipo LED vertical para adosar en pared , 15W, 60°K, 1050LM, IP65, 126G 200x100x48MM WH 100-240V/50 146984 color blanco Lumicenter.</t>
  </si>
  <si>
    <t>01.19.01.03</t>
  </si>
  <si>
    <t xml:space="preserve">        Luz de emergencia, 2w, modelo LEDR1W5, color blanco, Phillips</t>
  </si>
  <si>
    <t>01.19.01.04</t>
  </si>
  <si>
    <t xml:space="preserve">        Luminaria LED adosada a techo / pared, 24W,60°K, 1920lm WH D286X28MM 170-265V/50-60HZ 14359, color blanco Lumicenter</t>
  </si>
  <si>
    <t>01.19.02</t>
  </si>
  <si>
    <t xml:space="preserve">    DEPARTAMENTOS + AZOTEA</t>
  </si>
  <si>
    <t>01.19.02.01</t>
  </si>
  <si>
    <t xml:space="preserve">        Aplique decorativo adosado a pared, 12W 300k, modelo 146503, aluminio color negro mate, Lumicenter</t>
  </si>
  <si>
    <t>01.19.02.02</t>
  </si>
  <si>
    <t xml:space="preserve">        Luminaria lineal empotrada, 14.4wmt, 12V IP65 60LED/MT INC DRIVER 84706 Lumicenter. Perfil de aluminio para empotrar para cinta LED, 2MT. I145927 Lumicenter</t>
  </si>
  <si>
    <t>01.19.02.03</t>
  </si>
  <si>
    <t xml:space="preserve">        Estaca LED de varilla alta con luz dirigida hacia plantas 6w,30k, 540LM, 38G IP65 D5. 6X23.2CM 100-240V/50-60HZ color negro, modelo 146716, Lumicenter</t>
  </si>
  <si>
    <t>01.19.03</t>
  </si>
  <si>
    <t xml:space="preserve">    AREAS COMUNES</t>
  </si>
  <si>
    <t>01.19.03.01</t>
  </si>
  <si>
    <t xml:space="preserve">        Aplique decorativo adosado a pared, 12W, 3000k, modelo 146503, aluminio color negro mate, Lumicenter</t>
  </si>
  <si>
    <t>01.19.03.02</t>
  </si>
  <si>
    <t xml:space="preserve">        Downlight LED, Adosado entre palillaje, Bento Surface 3 LEDS Plafon LEDS C4</t>
  </si>
  <si>
    <t>01.19.03.03</t>
  </si>
  <si>
    <t xml:space="preserve">        Downlight LED, Adosado entre palillaje, Spec-sheet-15-7188-60-ms LEDS C4</t>
  </si>
  <si>
    <t>01.19.03.04</t>
  </si>
  <si>
    <t>01.19.03.05</t>
  </si>
  <si>
    <t xml:space="preserve">        Downlight LED adosado al ras a canopy, 6W, 600lm, 2700°k, IP65</t>
  </si>
  <si>
    <t>01.19.03.06</t>
  </si>
  <si>
    <t xml:space="preserve">        Luminaria decorativa suspendida, tipo aro, Ø 1.70 mts, 50W, 6700 lm, 2700°k, IP20</t>
  </si>
  <si>
    <t>01.19.03.07</t>
  </si>
  <si>
    <t xml:space="preserve">        Luminaria decorativa suspendida, tipo aro, Ø 1.20 mts, 38W, 5000 lm, 2700°k, IP20</t>
  </si>
  <si>
    <t>01.19.03.08</t>
  </si>
  <si>
    <t xml:space="preserve">        Luminaria decorativa suspendida, tipo aro, Ø 0.90 mts, 30W, 3800 lm, 2700°k, IP20</t>
  </si>
  <si>
    <t>01.19.03.09</t>
  </si>
  <si>
    <t xml:space="preserve">        Luminaria decorativa suspendida, 40W, 2700°k, color ambar, modelo 146851, Lumicenter</t>
  </si>
  <si>
    <t>01.19.03.10</t>
  </si>
  <si>
    <t xml:space="preserve">        Luminaria decorativa colgante, con lampara LED 40W, 2700k, color negro, modelo 146513, Lumicenter</t>
  </si>
  <si>
    <t>01.19.03.11</t>
  </si>
  <si>
    <t xml:space="preserve">        Luminaria lineal empotrada, 25W, 4000°k,color negro, modelo 145705, Lumicenter</t>
  </si>
  <si>
    <t>01.19.03.12</t>
  </si>
  <si>
    <t xml:space="preserve">        Aplique decorativo, adosado a pared, 10W, 3000°k, IP54</t>
  </si>
  <si>
    <t>01.19.03.13</t>
  </si>
  <si>
    <t xml:space="preserve">        Aplique decorativo, adosado a pared con luz directa e indirecta, 10W, 3000°k, IP54</t>
  </si>
  <si>
    <t>01.19.03.14</t>
  </si>
  <si>
    <t xml:space="preserve">        Uplight LED c/ rejilla antideslumbrante, empotrada en jardín, 5W, 2700°K, IP68</t>
  </si>
  <si>
    <t>01.19.03.15</t>
  </si>
  <si>
    <t>01.19.03.16</t>
  </si>
  <si>
    <t xml:space="preserve">        Cinta LED con perfil de aluminio adosada, 10W, 3000°k, IP20, Lumicenter</t>
  </si>
  <si>
    <t>01.19.03.17</t>
  </si>
  <si>
    <t xml:space="preserve">        Cinta LED con perfil difusor, empotrada, 10W/m, 3000°k, IP20</t>
  </si>
  <si>
    <t>01.19.03.18</t>
  </si>
  <si>
    <t xml:space="preserve">        Aplique decorativo, adosado a pared, 6W, 600lm, 2700°k, IP65</t>
  </si>
  <si>
    <t>01.19.03.19</t>
  </si>
  <si>
    <t xml:space="preserve">        Cinta LED con perfil difusor empotrada en exteriores, Led 14.4w/m, IP65, 3000K, perfil color aluminio natural, modelo 84706, 145927,  Lumicenter</t>
  </si>
  <si>
    <t>01.19.03.20</t>
  </si>
  <si>
    <t xml:space="preserve">        Luminaria LED adosada a techo, 24W, 6000°K, Lumicenter</t>
  </si>
  <si>
    <t>01.19.03.21</t>
  </si>
  <si>
    <t xml:space="preserve">        Luminaria adosable a la pared, Led, 15w, 6000K, color blanco, Lumicenter</t>
  </si>
  <si>
    <t>01.19.03.22</t>
  </si>
  <si>
    <t xml:space="preserve">        Downlight LED empotrado, 10W, 3000°K, Color Blanco y dorado, modelo A0700101G, Arkos Light Lumicenter</t>
  </si>
  <si>
    <t>01.19.03.23</t>
  </si>
  <si>
    <t xml:space="preserve">        Downlight LED empotrado al techo,Spot led 9W, 3000°K, color blanco, modelo 146168, Lumicenter</t>
  </si>
  <si>
    <t>01.19.03.24</t>
  </si>
  <si>
    <t xml:space="preserve">        Luminaria Downlight adosado a techo con sensor incorporado LED, 18W, 6000k, 146122, color blanco, Lumicenter</t>
  </si>
  <si>
    <t>01.19.03.25</t>
  </si>
  <si>
    <t xml:space="preserve">        Luz de emergencia Led 3w, modelo 146126, color blanco, Legrand</t>
  </si>
  <si>
    <t>01.19.03.26</t>
  </si>
  <si>
    <t>01.19.03.27</t>
  </si>
  <si>
    <t xml:space="preserve">        Luminaria Hermética LED para adosar en pared, 40W, 4000°K, 4000LM, IP65</t>
  </si>
  <si>
    <t>01.19.03.28</t>
  </si>
  <si>
    <t xml:space="preserve">        Luminaria Hermética LED vertical para adosar en pared , 40W, 4000°K, 4000LM, IP65</t>
  </si>
  <si>
    <t>01.20</t>
  </si>
  <si>
    <t>01.20.01</t>
  </si>
  <si>
    <t xml:space="preserve">    ML BANCAS DE CONCRETO</t>
  </si>
  <si>
    <t>01.20.02</t>
  </si>
  <si>
    <t xml:space="preserve">    PROTECTOR DE COLUMNAS ( ESQUINEROS )</t>
  </si>
  <si>
    <t>01.20.03</t>
  </si>
  <si>
    <t xml:space="preserve">    NUMERACION DE DEPARTAMENTOS</t>
  </si>
  <si>
    <t>01.20.04</t>
  </si>
  <si>
    <t xml:space="preserve">    NUMERACION DE DEPOSITOS</t>
  </si>
  <si>
    <t>01.20.05</t>
  </si>
  <si>
    <t xml:space="preserve">    NUMERACION DE PISOS PARA DEPARTAMENTOS</t>
  </si>
  <si>
    <t>01.20.06</t>
  </si>
  <si>
    <t xml:space="preserve">    ESTACIONAMIENTO DE VIVIENDAS - TOPELLANTAS</t>
  </si>
  <si>
    <t>01.20.07</t>
  </si>
  <si>
    <t xml:space="preserve">    CONTENEDORES DE BASURA</t>
  </si>
  <si>
    <t>01.20.08</t>
  </si>
  <si>
    <t xml:space="preserve">    JARDINERAS DE FIBRA DE VIDRIO COLOR GRAFITO EN FACHADA PRINCIPAL</t>
  </si>
  <si>
    <t>01.20.09</t>
  </si>
  <si>
    <t xml:space="preserve">    JARDINERAS DE FIBRA DE VIDRIO COLOR GRAFITO EN FACHADA LATERAL</t>
  </si>
  <si>
    <t>01.20.10</t>
  </si>
  <si>
    <t xml:space="preserve">    REJILLAS DE VENTILACION 20X30CM</t>
  </si>
  <si>
    <t>01.20.11</t>
  </si>
  <si>
    <t xml:space="preserve">    REJILLAS DE VENTILACION R01</t>
  </si>
  <si>
    <t>01.20.12</t>
  </si>
  <si>
    <t xml:space="preserve">    REJILLAS DE VENTILACION 25X25CM</t>
  </si>
  <si>
    <t>01.20.13</t>
  </si>
  <si>
    <t xml:space="preserve">    REJILLAS DE VENTILACION R02</t>
  </si>
  <si>
    <t>01.20.14</t>
  </si>
  <si>
    <t xml:space="preserve">    REJILLAS DE VENTILACION 17X17CM</t>
  </si>
  <si>
    <t>01.20.15</t>
  </si>
  <si>
    <t xml:space="preserve">    REJILLAS DE VENTILACION 45X45</t>
  </si>
  <si>
    <t>01.20.16</t>
  </si>
  <si>
    <t xml:space="preserve">    REJILLAS DE VENTILACION 0.30x0.48m VENTILACION INFERIOR DE GAS</t>
  </si>
  <si>
    <t>01.20.17</t>
  </si>
  <si>
    <t xml:space="preserve">    TAPAJUNTA VERTICAL</t>
  </si>
  <si>
    <t>01.20.18</t>
  </si>
  <si>
    <t xml:space="preserve">    BOTALLANTA EN RAMPAS VEHICULARES</t>
  </si>
  <si>
    <t>01.20.19</t>
  </si>
  <si>
    <t xml:space="preserve">    PARRILLA DE ACERO INOX EN DUPLEX</t>
  </si>
  <si>
    <t>01.20.20</t>
  </si>
  <si>
    <t xml:space="preserve">    REVESTIMIENTO CON LADRILLO REFRACTARIO EN PARRILLAS</t>
  </si>
  <si>
    <t>01.20.21</t>
  </si>
  <si>
    <t xml:space="preserve">    PUERTA DE INGRESO VEHICULAR</t>
  </si>
  <si>
    <t>01.20.22</t>
  </si>
  <si>
    <t xml:space="preserve">    TECHOS EN DUCTOS EN AZOTEAS</t>
  </si>
  <si>
    <t>01.21</t>
  </si>
  <si>
    <t>PARTIDAS ADICIONALES</t>
  </si>
  <si>
    <t>01.21.01</t>
  </si>
  <si>
    <t xml:space="preserve">    ENTREGA DE DEPARTAMENTOS</t>
  </si>
  <si>
    <t>01.21.01.01</t>
  </si>
  <si>
    <t xml:space="preserve">        ENTREGA DE DEPARTAMENTOS</t>
  </si>
  <si>
    <t>01.21.02</t>
  </si>
  <si>
    <t xml:space="preserve">    PARTIDAS ADICIONALES - DRYWALL</t>
  </si>
  <si>
    <t>01.21.02.01</t>
  </si>
  <si>
    <t>01.21.03</t>
  </si>
  <si>
    <t xml:space="preserve">    PARTIDAS ADICIONALES - PINTURA</t>
  </si>
  <si>
    <t>01.21.03.01</t>
  </si>
  <si>
    <t xml:space="preserve">        ACABADO CAL CEMENTO SIMILAR AL CONCRETO - EN FACHADAS EXTERIORES E INTERIORES</t>
  </si>
  <si>
    <t>01.21.03.02</t>
  </si>
  <si>
    <t xml:space="preserve">        CZ PINTURA EPOXICA H:10CM - ESCALERA DE EVACUACION</t>
  </si>
  <si>
    <t>01.21.03.03</t>
  </si>
  <si>
    <t xml:space="preserve">        CZ PINTURA EPOXICA H:10CM - SÓTANOS</t>
  </si>
  <si>
    <t>01.21.04</t>
  </si>
  <si>
    <t xml:space="preserve">    PARTIDAS ADICIONALES - CARP. METALICA</t>
  </si>
  <si>
    <t>01.21.04.01</t>
  </si>
  <si>
    <t xml:space="preserve">        REJILLAS DE VENTILACION 50X62CM - INGRESO RAMPA</t>
  </si>
  <si>
    <t>01.21.04.02</t>
  </si>
  <si>
    <t xml:space="preserve">        MARQUESINA CON TUBOS 4x8, TUBOS DE ALUMINIO 4x2, ALAMBRES TENSORES</t>
  </si>
  <si>
    <t>01.21.04.03</t>
  </si>
  <si>
    <t xml:space="preserve">        ESTRUCTURA METALICA 4 COLUMNAS DE 150x300x 4.50 DE LARGO 5.80 m.Y viga 300x300 de 6.70m. INCLUYE ARENADO PINTADO EN EPOXICO Y ACABADO COLOR GRAFITO</t>
  </si>
  <si>
    <t>01.21.04.04</t>
  </si>
  <si>
    <t xml:space="preserve">        PLATINA METALICA DE 3" X 1/4"</t>
  </si>
  <si>
    <t>01.21.04.05</t>
  </si>
  <si>
    <t xml:space="preserve">        BARRA LISA CUADRADA 1/2"</t>
  </si>
  <si>
    <t>01.21.04.06</t>
  </si>
  <si>
    <t xml:space="preserve">        TUBO RECTANGULAR DE 1/2" x 1"</t>
  </si>
  <si>
    <t>01.21.04.07</t>
  </si>
  <si>
    <t xml:space="preserve">        P-08' (0.80x2.38) 1 HOJA - CCTV / Administracion</t>
  </si>
  <si>
    <t>01.21.04.08</t>
  </si>
  <si>
    <t xml:space="preserve">        ESCOTILLA RF - TECHO TECNICO</t>
  </si>
  <si>
    <t>01.21.04.09</t>
  </si>
  <si>
    <t xml:space="preserve">        CELOSIA DE WPC - PATIO INTERIOR</t>
  </si>
  <si>
    <t>01.21.05</t>
  </si>
  <si>
    <t xml:space="preserve">    PARTIDAS ADICIONALES - SELLOS CORTAFUEGO</t>
  </si>
  <si>
    <t>01.21.05.01</t>
  </si>
  <si>
    <t xml:space="preserve">        SELLOS EN BANDEJAS ELECTRICAS</t>
  </si>
  <si>
    <t>01.21.05.02</t>
  </si>
  <si>
    <t xml:space="preserve">        SELLO A NIVEL DE LOSA - MONTANTE IIEE - 2.05x0.43m</t>
  </si>
  <si>
    <t>01.21.05.03</t>
  </si>
  <si>
    <t xml:space="preserve">        SELLO A NIVEL DE LOSA - MONTANTE IICC - 0.80x0.50m</t>
  </si>
  <si>
    <t>01.21.05.04</t>
  </si>
  <si>
    <t xml:space="preserve">        SELLO A NIVEL DE LOSA - MONTANTE IISS - 1.23x0.43m</t>
  </si>
  <si>
    <t>01.21.06</t>
  </si>
  <si>
    <t xml:space="preserve">    PARTIDAS ADICIONALES - APARATOS SANITARIOS</t>
  </si>
  <si>
    <t>01.21.06.01</t>
  </si>
  <si>
    <t xml:space="preserve">        LAVADERO RECORD SATIN PETRA 36X40CM PROF 14.5CM - PARRILLA</t>
  </si>
  <si>
    <t>01.21.06.02</t>
  </si>
  <si>
    <t xml:space="preserve">        GRIFERÍA DE LAVATORIO LINE BRASS ALLEGRO CROMADO - PARRILLA</t>
  </si>
  <si>
    <t>01.21.06.03</t>
  </si>
  <si>
    <t xml:space="preserve">        URINARIO TREBOL IMPERIAL 2 - SSHH SERVICIO</t>
  </si>
  <si>
    <t>01.21.06.04</t>
  </si>
  <si>
    <t xml:space="preserve">        FLUXOMETRO TREBOL INDIRECTO URINARIO 1.9 LT - SSHH SERVICIO</t>
  </si>
  <si>
    <t>01.21.07</t>
  </si>
  <si>
    <t xml:space="preserve">    PARTIDAS ADICIONALES - CARP. ALUMINIO</t>
  </si>
  <si>
    <t>01.21.07.01</t>
  </si>
  <si>
    <t xml:space="preserve">        PUERTA P34 (1.00x2.38) CELOSIA + MAMPARA</t>
  </si>
  <si>
    <t>01.21.07.02</t>
  </si>
  <si>
    <t xml:space="preserve">        PUERTA P33 (1.00x2.38) CELOSIA + MAMPARA</t>
  </si>
  <si>
    <t>01.21.07.03</t>
  </si>
  <si>
    <t xml:space="preserve">        REJILLA R01</t>
  </si>
  <si>
    <t>01.21.07.04</t>
  </si>
  <si>
    <t xml:space="preserve">        REJILLA R02</t>
  </si>
  <si>
    <t>01.21.07.05</t>
  </si>
  <si>
    <t xml:space="preserve">        PUERTA P35 PARA TERMA (CELOSÍA)</t>
  </si>
  <si>
    <t>01.21.07.06</t>
  </si>
  <si>
    <t xml:space="preserve">        PUERTA P36 PARA TERMA (CELOSÍA)</t>
  </si>
  <si>
    <t>01.21.07.07</t>
  </si>
  <si>
    <t xml:space="preserve">        PUERTA P37 PARA TERMA (CELOSÍA)</t>
  </si>
  <si>
    <t>01.21.07.08</t>
  </si>
  <si>
    <t xml:space="preserve">        PUERTA P38 PARA TERMA (CELOSÍA)</t>
  </si>
  <si>
    <t>01.21.08</t>
  </si>
  <si>
    <t xml:space="preserve">    PARTIDAS ADICIONALES - EQUIPAMIENTO</t>
  </si>
  <si>
    <t>01.21.08.01</t>
  </si>
  <si>
    <t xml:space="preserve">        LAVAVAJILLAS PARA DEPARTAMENTOS</t>
  </si>
  <si>
    <t>01.21.09</t>
  </si>
  <si>
    <t>01.21.09.01</t>
  </si>
  <si>
    <t xml:space="preserve">        SARDINEL VEREDAS EXTERIORES</t>
  </si>
  <si>
    <t>01.21.09.02</t>
  </si>
  <si>
    <t xml:space="preserve">        CAJA PARA LLAVE DE AGUA</t>
  </si>
  <si>
    <t>01.21.09.03</t>
  </si>
  <si>
    <t xml:space="preserve">        ESPEJO CURVO DE VIDRIO</t>
  </si>
  <si>
    <t>02</t>
  </si>
  <si>
    <t>AREAS COMUNES</t>
  </si>
  <si>
    <t>02.01</t>
  </si>
  <si>
    <t>LOBBY</t>
  </si>
  <si>
    <t>02.01.01</t>
  </si>
  <si>
    <t xml:space="preserve">    COUNTER DE LOBBY (TABLERO DE MADERA COLOR NOGAL, ESTRUCTURA DE MELAMINE Y REVESTIMIENTO DE PORCELANATO COVERLAM PALADIO PULIDO)</t>
  </si>
  <si>
    <t>02.01.02</t>
  </si>
  <si>
    <t xml:space="preserve">    PELILLAJE CONFORMADO POR LISTONES DE MADERA TONO NOGAL DE 30X100/150MM (DIF. MEDIDAS)</t>
  </si>
  <si>
    <t>02.01.03</t>
  </si>
  <si>
    <t xml:space="preserve">    PANEL DE MADERA DE E:50MM TONO NOGAL O SIMILAR</t>
  </si>
  <si>
    <t>02.01.04</t>
  </si>
  <si>
    <t xml:space="preserve">    PANEL FIJO DE MADERA COLOR NOGAL CON MARCO DE FE DE 2"X2" PINTADO SIMILAR COLOR A MADERA (BRUNAS HORIZONTALES E:15MM)</t>
  </si>
  <si>
    <t>02.01.05</t>
  </si>
  <si>
    <t xml:space="preserve">    PANEL FIJO ALTO ESTRUCTURA DE FE 2"X2" PINTADO COLOR GRAFITO CON LISTONES DE MADERA DE 1 1/2"X2" SEPARADOS @10CM</t>
  </si>
  <si>
    <t>02.01.06</t>
  </si>
  <si>
    <t xml:space="preserve">    PANEL FIJO BAJO ESTRUCTURA DE FE 2"X2" PINTADO COLOR GRAFITO CON LISTONES DE MADERA DE 1 1/2"X2" SEPARADOS @10CM</t>
  </si>
  <si>
    <t>02.01.07</t>
  </si>
  <si>
    <t xml:space="preserve">    MARQUESINA ESTRUCTURA METALICA E:2MM PINTADO COLOR GRAFITO CON LISTONES DE MADERA 2"X4" COLOR NOGAL</t>
  </si>
  <si>
    <t>02.01.08</t>
  </si>
  <si>
    <t xml:space="preserve">    PORCELANATO COVERLAM  3.00X1.00M CONCRETO MAFIL (zocalos y muros)</t>
  </si>
  <si>
    <t>02.01.09</t>
  </si>
  <si>
    <t xml:space="preserve">    PORCELANATO COVERLAM  2.60X1.20M PALADIO PULIDO (piso)</t>
  </si>
  <si>
    <t>02.01.10</t>
  </si>
  <si>
    <t xml:space="preserve">    ORNAMENTO EXTERIOR TIPO ESTANQUE PROF. DE 3"</t>
  </si>
  <si>
    <t>02.01.11</t>
  </si>
  <si>
    <t xml:space="preserve">    PISO TIPO GRAVA</t>
  </si>
  <si>
    <t>02.01.12</t>
  </si>
  <si>
    <t xml:space="preserve">    PASOS DE PIEDRA TIPO LAJA</t>
  </si>
  <si>
    <t>02.01.13</t>
  </si>
  <si>
    <t xml:space="preserve">    LETRAS DE INGRESO</t>
  </si>
  <si>
    <t>02.02</t>
  </si>
  <si>
    <t>TERRAZA</t>
  </si>
  <si>
    <t>02.02.01</t>
  </si>
  <si>
    <t xml:space="preserve">    PORCELANATO CONCRETO MARFIL COVERLAM</t>
  </si>
  <si>
    <t>02.02.02</t>
  </si>
  <si>
    <t xml:space="preserve">    ENCHAPE TIPO BRICK 6X24 COLOR CREMA O SIMILAR</t>
  </si>
  <si>
    <t>02.02.03</t>
  </si>
  <si>
    <t xml:space="preserve">    PORCELANATO COVERLAM PALADIO PULIDO, E:5.6MM</t>
  </si>
  <si>
    <t>02.02.04</t>
  </si>
  <si>
    <t xml:space="preserve">    PORCELANATO SAJONIA CHEVRON NOGAL 450X90 GRESPANIA RIVELSA</t>
  </si>
  <si>
    <t>02.02.05</t>
  </si>
  <si>
    <t xml:space="preserve">    REPISA SUPERIOR EN FE PINTADO CON MELAMINA BOSCO</t>
  </si>
  <si>
    <t>02.02.06</t>
  </si>
  <si>
    <t xml:space="preserve">    JARDINERAS DECORATIVAS EN MDF</t>
  </si>
  <si>
    <t>02.02.07</t>
  </si>
  <si>
    <t xml:space="preserve">    ISLA: MUEBLE BAJO DE 2M</t>
  </si>
  <si>
    <t>02.02.08</t>
  </si>
  <si>
    <t xml:space="preserve">    MESA  ALTA CON ESTRUCTURA DE FE</t>
  </si>
  <si>
    <t>02.02.09</t>
  </si>
  <si>
    <t xml:space="preserve">    BOOTH TAPIZADO</t>
  </si>
  <si>
    <t>02.02.10</t>
  </si>
  <si>
    <t xml:space="preserve">    FCR MADERA ENCHAPADA COLOR NOGAL (Inc. Cinta led)</t>
  </si>
  <si>
    <t>02.03</t>
  </si>
  <si>
    <t>JARDIN COMUN</t>
  </si>
  <si>
    <t>02.03.01</t>
  </si>
  <si>
    <t xml:space="preserve">    PISO DE GRAVA Y PIEDRAS SUELTAS</t>
  </si>
  <si>
    <t>02.03.02</t>
  </si>
  <si>
    <t xml:space="preserve">    PIEDRA TIPO LAJA PARA PASOS</t>
  </si>
  <si>
    <t>02.03.03</t>
  </si>
  <si>
    <t xml:space="preserve">    PORCELANATO PATAGONIA CASTAÑA GRESPANIA RIVELSA 0.145 X 1.20M</t>
  </si>
  <si>
    <t>02.03.04</t>
  </si>
  <si>
    <t xml:space="preserve">    LISTONES DE MADERA PARA BANCA DE CONCRETO</t>
  </si>
  <si>
    <t>02.04</t>
  </si>
  <si>
    <t>SUM</t>
  </si>
  <si>
    <t>02.04.01</t>
  </si>
  <si>
    <t xml:space="preserve">    ENCHAPE DE PORCELANATO COVERLAM PALADIO PULIDO, E5.6MM</t>
  </si>
  <si>
    <t>02.04.02</t>
  </si>
  <si>
    <t xml:space="preserve">    MUEBLE DE COCINA DE MELAMINE COLOR PLOMO PELIKANO Y GALES</t>
  </si>
  <si>
    <t>02.04.03</t>
  </si>
  <si>
    <t xml:space="preserve">    ENCIMERA DE 4H, BOSCH, 60CM</t>
  </si>
  <si>
    <t>02.04.04</t>
  </si>
  <si>
    <t xml:space="preserve">    HORNO ELECTRICO SERIE 4, BOSCH, 60 CM</t>
  </si>
  <si>
    <t>02.04.05</t>
  </si>
  <si>
    <t xml:space="preserve">    CAMPANA TELESCOPIA SERIE 4, 60CM</t>
  </si>
  <si>
    <t>02.04.06</t>
  </si>
  <si>
    <t xml:space="preserve">    MICROONDAS BOSCH</t>
  </si>
  <si>
    <t>02.04.07</t>
  </si>
  <si>
    <t xml:space="preserve">    REFRIGERADORA BOSCH</t>
  </si>
  <si>
    <t>02.04.08</t>
  </si>
  <si>
    <t>02.04.09</t>
  </si>
  <si>
    <t xml:space="preserve">    REVESTIMIENTO DE VIGA CON PAPEL VINIL TIPO CONCRETO</t>
  </si>
  <si>
    <t>02.04.10</t>
  </si>
  <si>
    <t xml:space="preserve">    PAPEL DECORATIVO MODELO LLUVIA</t>
  </si>
  <si>
    <t>02.04.11</t>
  </si>
  <si>
    <t xml:space="preserve">    PELILLAJE CONFORMADO POR LISTONES DE MADERA TONO NOGAL DE 30X100MM </t>
  </si>
  <si>
    <t>02.04.12</t>
  </si>
  <si>
    <t xml:space="preserve">    ENCHAPE EN PARED COVERLAM PALADIO PULIDO 1000X3000</t>
  </si>
  <si>
    <t>02.04.13</t>
  </si>
  <si>
    <t xml:space="preserve">    PORCELANATO CONCRETO MARFIL 1X3X0.0035M COVERLAM GRESPANIA RIVELSA</t>
  </si>
  <si>
    <t>02.04.14</t>
  </si>
  <si>
    <t xml:space="preserve">    FCR MADERA ENCHAPADA COLOR NOGAL O SIMILAR</t>
  </si>
  <si>
    <t>02.04.15</t>
  </si>
  <si>
    <t xml:space="preserve">    PANEL DECORATIVO DE MELAMINE COLOR GALES, ESP 15MM, MARCO DE FIERRO PINTADO Y ESPEJO 6MM. MEDIDAS 2.17x 1.40m</t>
  </si>
  <si>
    <t>INSTALACIONES ELECTRICAS</t>
  </si>
  <si>
    <t>ALIMENTADORES ELÉCTRICOS (Solamente se considera cables)</t>
  </si>
  <si>
    <t xml:space="preserve">    De MEDIDOR SG  hasta T.SG : LSOHX 3-1x300mm² + LSOH 1Tx50mm² PVC-P/CONDUIT EMT 100mmf</t>
  </si>
  <si>
    <t xml:space="preserve">    De T.SG  hasta T-S2 : LSOHX 3-1x10mm2 + LSOH 1Tx6mm2 PVC-P 25mmf</t>
  </si>
  <si>
    <t xml:space="preserve">    De T.SG  hasta T-S3 : LSOHX 3-1x10mm2 + LSOH 1Tx6mm2 PVC-P 25mmf</t>
  </si>
  <si>
    <t xml:space="preserve">    De T.SG  hasta T-S4 : LSOHX 3-1x10mm2 + LSOH 1Tx6mm2 PVC-P 25mmf</t>
  </si>
  <si>
    <t xml:space="preserve">    De T.SG  hasta T-S5 : LSOHX 3-1x4mm2 + LSOH 1Tx4mm2 PVC-P 20mmf</t>
  </si>
  <si>
    <t>01.01.06</t>
  </si>
  <si>
    <t xml:space="preserve">    De T.SG  hasta T-REC : LSOHX 3-1x10mm2 + LSOH 1Tx6mm2 PVC-P 25mmf</t>
  </si>
  <si>
    <t>01.01.07</t>
  </si>
  <si>
    <t xml:space="preserve">    De T.SG  hasta T-AZ : LSOHX 3-1x4mm2 + LSOH 1Tx4mm2 PVC-P 20mmf</t>
  </si>
  <si>
    <t>01.01.08</t>
  </si>
  <si>
    <t xml:space="preserve">    De T.SG  hasta TC-EXT : LSOHX 3-1x4mm2 + LSOH 1Tx4mm2 PVC-P 20mmf</t>
  </si>
  <si>
    <t>01.01.09</t>
  </si>
  <si>
    <t xml:space="preserve">    De T.SG  hasta TC-CA : LSOHX 3-1x4mm2 + LSOH 1Tx2.5mm2 PVC-P 20mmf</t>
  </si>
  <si>
    <t>01.01.10</t>
  </si>
  <si>
    <t xml:space="preserve">    De T.SG  hasta TTA-VP : LSOHX 3-1x10mm2 + LSOH 1Tx6mm2 PVC-P 35mmf</t>
  </si>
  <si>
    <t>01.01.11</t>
  </si>
  <si>
    <t xml:space="preserve">    De T.SG  hasta T-B : LSOHX 3-1x35mm2 + LSOH 1Tx10mm2 PVC-P 40mmf</t>
  </si>
  <si>
    <t>01.01.12</t>
  </si>
  <si>
    <t xml:space="preserve">    De T.SG  hasta T-ASC : LSOHX 3-1x35mm2 + LSOH 1Tx10mm2 PVC-P 40mmf</t>
  </si>
  <si>
    <t>01.01.13</t>
  </si>
  <si>
    <t xml:space="preserve">    De T.SG  hasta TC-GE : LSOHX 2-1x4mm2 + LSOH 1Tx2.5mm2 PVC-P 20mmf</t>
  </si>
  <si>
    <t>01.01.14</t>
  </si>
  <si>
    <t xml:space="preserve">    De T-GE  hasta TTA-VP : LSOHX 3-1x10mm² + LSOH 1Tx16mm² PVC-P 35mmØ</t>
  </si>
  <si>
    <t>01.01.15</t>
  </si>
  <si>
    <t xml:space="preserve">    De GE  hasta T-GE : LSOHX 3-1x185mm²</t>
  </si>
  <si>
    <t>01.01.16</t>
  </si>
  <si>
    <t xml:space="preserve">    De T-GE  hasta T-SG : LS0HX 3-1x95mm² + LS0H 1Tx16mm² PVC-P 65mmØ</t>
  </si>
  <si>
    <t>01.01.17</t>
  </si>
  <si>
    <t xml:space="preserve">    De T-GE  hasta T-S2 : LS0HX 3-1x4mm² + LS0H 1Tx4mm² PVC-P 20mmØ</t>
  </si>
  <si>
    <t>01.01.18</t>
  </si>
  <si>
    <t xml:space="preserve">    De T-GE  hasta T-S3 : LS0HX 3-1x4mm² + LS0H 1Tx4mm² PVC-P 20mmØ</t>
  </si>
  <si>
    <t>01.01.19</t>
  </si>
  <si>
    <t xml:space="preserve">    De T-GE  hasta T-S4 : LS0HX 3-1x4mm² + LS0H 1Tx4mm² PVC-P 20mmØ</t>
  </si>
  <si>
    <t>01.01.20</t>
  </si>
  <si>
    <t xml:space="preserve">    De T-GE  hasta T-S5 : LS0HX 3-1x4mm² + LS0H 1Tx4mm² PVC-P 20mmØ</t>
  </si>
  <si>
    <t>01.01.21</t>
  </si>
  <si>
    <t xml:space="preserve">    De T-GE  hasta TTA-VP.1 : LSOHX 3-1x10mm² + LSOH 1Tx6mm² CONDUIT EMT 35mmØ</t>
  </si>
  <si>
    <t>01.01.22</t>
  </si>
  <si>
    <t xml:space="preserve">    De MEDIDOR BACI  hasta TF-BACI : LS0HX 3-1x185mm2 + LS0H 1Tx50mm2 PVC-P/CONDUIT EMT 80mmf</t>
  </si>
  <si>
    <t>01.01.23</t>
  </si>
  <si>
    <t xml:space="preserve">    De TF-BACI  hasta TC-BACI : LS0HX 3-1x185mm2 + LS0H 1Tx50mm2 PVC-P/CONDUIT EMT 80mmf</t>
  </si>
  <si>
    <t>01.01.24</t>
  </si>
  <si>
    <t xml:space="preserve">    De TF-BACI  hasta TC-BJ : LS0HX 3-1x4mm² + LS0H 1Tx4mm² CONDUIT-EMT 20mmØ</t>
  </si>
  <si>
    <t>01.01.25</t>
  </si>
  <si>
    <t xml:space="preserve">    De TC-BACI  hasta BBA ACI : LS0HX 3-1x300mm2 + LS0H 1Tx50mm2 BANDEJA ELECTRICA</t>
  </si>
  <si>
    <t>01.01.26</t>
  </si>
  <si>
    <t xml:space="preserve">    De TC-BJ  hasta BBA JOCKEY : LS0HX 3-1x4mm2 + LS0H 1Tx2.5mm2 CONDUIT-EMT/PVC-P 20mmØ</t>
  </si>
  <si>
    <t>01.01.27</t>
  </si>
  <si>
    <t xml:space="preserve">    De T-S2  hasta TC-EXT2 : LS0HX 3-1x4mm² + LS0H 1Tx4mm² PVC-P 20mmØ</t>
  </si>
  <si>
    <t>01.01.28</t>
  </si>
  <si>
    <t xml:space="preserve">    De T-S3  hasta TC-EXT3 : LS0HX 3-1x4mm² + LS0H 1Tx4mm² PVC-P 20mmØ</t>
  </si>
  <si>
    <t>01.01.29</t>
  </si>
  <si>
    <t xml:space="preserve">    De T-S4  hasta TC-EXT4 : LS0HX 3-1x4mm² + LS0H 1Tx4mm² PVC-P 20mmØ</t>
  </si>
  <si>
    <t>01.01.30</t>
  </si>
  <si>
    <t xml:space="preserve">    De T-S5  hasta TC-EXT5 : LS0HX 3-1x4mm² + LS0H 1Tx4mm² PVC-P 20mmØ</t>
  </si>
  <si>
    <t>01.01.31</t>
  </si>
  <si>
    <t xml:space="preserve">    De T-REC  hasta T-SUM : LSOHX 3-1x10mm2 + LSOH 1Tx6mm2 PVC-P 25mmf</t>
  </si>
  <si>
    <t>01.01.32</t>
  </si>
  <si>
    <t xml:space="preserve">    De T-AZ  hasta TC-VPA : LSOHX 3-1x4mm² + LSOH 1Tx4mm² PVC-P 20mmØ</t>
  </si>
  <si>
    <t>01.01.33</t>
  </si>
  <si>
    <t xml:space="preserve">    De T-B  hasta TC-BA : LSOHX 3-1x16mm2 + LSOH 1Tx10mm2 PVC-P 35mmØ</t>
  </si>
  <si>
    <t>01.01.34</t>
  </si>
  <si>
    <t xml:space="preserve">    De T-B  hasta TC-BD : LSOHX 3-1x4mm2 + LSOH 1Tx4mm2 PVC-P 20mmØ</t>
  </si>
  <si>
    <t>01.01.35</t>
  </si>
  <si>
    <t xml:space="preserve">    De T-B  hasta TC-BS : LSOHX 3-1x4mm2 + LSOH 1Tx4mm2 PVC-P 20mmØ</t>
  </si>
  <si>
    <t>01.01.36</t>
  </si>
  <si>
    <t xml:space="preserve">    De T-B  hasta TC-CB : LSOHX 3-1x4mm2 + LSOH 1Tx4mm2 PVC-P 20mmØ</t>
  </si>
  <si>
    <t>01.01.37</t>
  </si>
  <si>
    <t xml:space="preserve">    De T-ASC  hasta TC-ASC1 : LSOHX 3-1x10mm2 + LSOH 1Tx6mm2 PVC-P 25mmf</t>
  </si>
  <si>
    <t>01.01.38</t>
  </si>
  <si>
    <t xml:space="preserve">    De T-ASC  hasta TC-ASC2 : LSOHX 3-1x10mm2 + LSOH 1Tx6mm2 PVC-P 25mmf</t>
  </si>
  <si>
    <t>01.01.39</t>
  </si>
  <si>
    <t xml:space="preserve">    De T-ASC  hasta TC-ASC3 : LSOHX 3-1x10mm2 + LSOH 1Tx6mm2 PVC-P 25mmf</t>
  </si>
  <si>
    <t>01.01.40</t>
  </si>
  <si>
    <t xml:space="preserve">    De TTA-VP.1  hasta TC-VP : LSOHX 3-1x4mm2 + LSOH 1Tx4mm2 PVC-P 20mmf</t>
  </si>
  <si>
    <t>01.01.41</t>
  </si>
  <si>
    <t xml:space="preserve">    De TTA-VP.1  hasta TC-VPA : LSOHX 3-1x4mm2 + LSOH 1Tx4mm2 PVC-P 20mmf</t>
  </si>
  <si>
    <t>01.01.42</t>
  </si>
  <si>
    <t xml:space="preserve">    De MEDIDOR  hasta T-DX : 3-1x10mm2 LSOHX + 1Tx6mm2 LSOH /PVC-P Ø25mm.</t>
  </si>
  <si>
    <t>01.01.43</t>
  </si>
  <si>
    <t xml:space="preserve">    De MEDIDOR  hasta T-DX : 3-1x16mm2 LSOHX + 1Tx6mm2 LSOH /PVC-P Ø35mm.</t>
  </si>
  <si>
    <t>01.01.44</t>
  </si>
  <si>
    <t xml:space="preserve">    De MEDIDOR  hasta T-DX : 3-1x25mm2 LSOHX + 1Tx6mm2 LSOH /PVC-P Ø35mm.</t>
  </si>
  <si>
    <t>TUBERIA PARA ALIMENTADORES</t>
  </si>
  <si>
    <t xml:space="preserve">    TUBERIA DE 20MM PVC-P</t>
  </si>
  <si>
    <t xml:space="preserve">    TUBERIA DE 25MM PVC-P</t>
  </si>
  <si>
    <t xml:space="preserve">    TUBERIA DE 35MM PVC-P</t>
  </si>
  <si>
    <t xml:space="preserve">    TUBERIA DE 40MM PVC-P</t>
  </si>
  <si>
    <t xml:space="preserve">    TUBERIA DE 65MM PVC-P</t>
  </si>
  <si>
    <t xml:space="preserve">    TUBERIA DE 80MM PVC-P</t>
  </si>
  <si>
    <t xml:space="preserve">    TUBERIA DE 100MM PVC-P (ACOMETIDA)</t>
  </si>
  <si>
    <t xml:space="preserve">    TUBERIA EMT DE 35MM</t>
  </si>
  <si>
    <t xml:space="preserve">    TUBERIA EMT DE 100MM</t>
  </si>
  <si>
    <t>CAJAS DE PASE DE FG</t>
  </si>
  <si>
    <t xml:space="preserve">    CAJA DE F°G° 250X250X100 MM</t>
  </si>
  <si>
    <t>UN</t>
  </si>
  <si>
    <t xml:space="preserve">    CAJA DE F°G° 400X400X150 MM</t>
  </si>
  <si>
    <t xml:space="preserve">    CAJA DE F°G° 700X700X200MM</t>
  </si>
  <si>
    <t xml:space="preserve">    CAJA DE F°G° 750X750X150MM</t>
  </si>
  <si>
    <t xml:space="preserve">    CAJA DE F°G° 800X800X150MM</t>
  </si>
  <si>
    <t xml:space="preserve">    CAJA DE F°G° 800X800X250MM</t>
  </si>
  <si>
    <t>01.03.07</t>
  </si>
  <si>
    <t xml:space="preserve">    CAJA DE PASO ESPECIAL CON TAPA CIEGA 1000X1000X250MM</t>
  </si>
  <si>
    <t>BANDEJAS METALICAS PORTACABLES</t>
  </si>
  <si>
    <t xml:space="preserve">    Bandeja electrica 150x100mm Fondo Ranurado BACI</t>
  </si>
  <si>
    <t xml:space="preserve">    Bandeja electrica 150x100mm Escalerilla BACI</t>
  </si>
  <si>
    <t xml:space="preserve">    Bandeja electrica 450x100mm Fondo Ranurado Departamentos</t>
  </si>
  <si>
    <t xml:space="preserve">    Bandeja electrica 850x100mm Escalerilla Departamentos</t>
  </si>
  <si>
    <t>TABLEROS ELECTRICOS</t>
  </si>
  <si>
    <t xml:space="preserve">    Tablero de Servicios Generales (T-SG) - solo material</t>
  </si>
  <si>
    <t xml:space="preserve">    Tablero de Fuerza Ascensores (T-ASC) - solo material</t>
  </si>
  <si>
    <t xml:space="preserve">    Tablero Sótano 2 (T-S2) - solo material</t>
  </si>
  <si>
    <t xml:space="preserve">    Tablero Sótano 3 (T-S3) - solo material</t>
  </si>
  <si>
    <t xml:space="preserve">    Tablero Sótano 4 (T-S4) - solo material</t>
  </si>
  <si>
    <t xml:space="preserve">    Tablero Sótano 5 (T-S5) - solo material</t>
  </si>
  <si>
    <t xml:space="preserve">    Tablero de Recepción (T-REC) - solo material</t>
  </si>
  <si>
    <t>01.05.08</t>
  </si>
  <si>
    <t xml:space="preserve">    Tablero de Sala de Usos Múltiples (T-SUM) - solo material</t>
  </si>
  <si>
    <t>01.05.09</t>
  </si>
  <si>
    <t xml:space="preserve">    Tablero de Azotea (T-AZ) - solo material</t>
  </si>
  <si>
    <t>01.05.10</t>
  </si>
  <si>
    <t xml:space="preserve">    Tablero de Transferencia Automática Vestíbulos (TTA-VP) - solo material</t>
  </si>
  <si>
    <t>01.05.11</t>
  </si>
  <si>
    <t xml:space="preserve">    Tablero de Cuarto de Bombas (T-B)  - solo material</t>
  </si>
  <si>
    <t>01.05.12</t>
  </si>
  <si>
    <t xml:space="preserve">    Tablero de Grupo Electrógeno (T-GE) - solo material</t>
  </si>
  <si>
    <t>01.05.13</t>
  </si>
  <si>
    <t xml:space="preserve">    Tablero de Fuerza Bomba Contra Incendio (TF-BACI) - solo material</t>
  </si>
  <si>
    <t>01.05.14</t>
  </si>
  <si>
    <t xml:space="preserve">    Tablero de Departamento (T-D1) - solo material</t>
  </si>
  <si>
    <t>01.05.15</t>
  </si>
  <si>
    <t xml:space="preserve">    Tablero de Departamento (T-D2) - solo material</t>
  </si>
  <si>
    <t>01.05.16</t>
  </si>
  <si>
    <t xml:space="preserve">    Tablero de Departamento (T-D2.2) - solo material</t>
  </si>
  <si>
    <t>01.05.17</t>
  </si>
  <si>
    <t xml:space="preserve">    Tablero de Departamento (T-D2.3) - solo material</t>
  </si>
  <si>
    <t>01.05.18</t>
  </si>
  <si>
    <t xml:space="preserve">    Tablero de Departamento (T-D2.4) - solo material</t>
  </si>
  <si>
    <t>01.05.19</t>
  </si>
  <si>
    <t xml:space="preserve">    Tablero de Departamento (T-D2.5) - solo material</t>
  </si>
  <si>
    <t>01.05.20</t>
  </si>
  <si>
    <t xml:space="preserve">    Tablero de Departamento (T-D2.6) - solo material</t>
  </si>
  <si>
    <t>01.05.21</t>
  </si>
  <si>
    <t xml:space="preserve">    Tablero de Departamento (T-D3) - solo material</t>
  </si>
  <si>
    <t>01.05.22</t>
  </si>
  <si>
    <t xml:space="preserve">    Instalación de TABLEROS</t>
  </si>
  <si>
    <t>SALIDAS DE ALUMBRADO (incluye cable, tubería y cajas)</t>
  </si>
  <si>
    <t xml:space="preserve">    SALIDA PARA LUMINARIA LED ADOSADA A TECHO LAC07</t>
  </si>
  <si>
    <t xml:space="preserve">    SALIDA PARA LUMINARIA HERMETICA LED L01</t>
  </si>
  <si>
    <t xml:space="preserve">    SALIDA PARA LUMINARIA HERMETICA LED VERTICAL L01c</t>
  </si>
  <si>
    <t xml:space="preserve">    SALIDA PARA LUMINARIA HERMETICA LED TECHO L01d</t>
  </si>
  <si>
    <t>01.06.05</t>
  </si>
  <si>
    <t xml:space="preserve">    SALIDA PARA LUMINARIA DOWNLIGHT LED L03</t>
  </si>
  <si>
    <t>01.06.06</t>
  </si>
  <si>
    <t xml:space="preserve">    SALIDA PARA LUMINARIA LAC07</t>
  </si>
  <si>
    <t>01.06.07</t>
  </si>
  <si>
    <t xml:space="preserve">    SALIDA PARA LUMINARIA DOWNLIGHT LED LD01</t>
  </si>
  <si>
    <t>01.06.08</t>
  </si>
  <si>
    <t xml:space="preserve">    SALIDA PARA LUMINARIA DOWNLIGHT LED LD02</t>
  </si>
  <si>
    <t>01.06.09</t>
  </si>
  <si>
    <t xml:space="preserve">    SALIDA PARA LUMINARIA DOWNLIGHT LED LD03</t>
  </si>
  <si>
    <t>01.06.10</t>
  </si>
  <si>
    <t xml:space="preserve">    SALIDA PARA LUMINARIA DOWNLIGHT LED LD04</t>
  </si>
  <si>
    <t>01.06.11</t>
  </si>
  <si>
    <t xml:space="preserve">    SALIDA PARA LUMINARIA DOWNLIGHT LED LD05</t>
  </si>
  <si>
    <t>01.06.12</t>
  </si>
  <si>
    <t xml:space="preserve">    SALIDA PARA LUMINARIA CENTRO DE LUZ</t>
  </si>
  <si>
    <t>01.06.13</t>
  </si>
  <si>
    <t xml:space="preserve">    SALIDA CINTAS - CACHIMBA</t>
  </si>
  <si>
    <t>01.06.14</t>
  </si>
  <si>
    <t xml:space="preserve">    SALIDA PARA LUMINARIA LD16</t>
  </si>
  <si>
    <t>01.06.15</t>
  </si>
  <si>
    <t xml:space="preserve">    SALIDA PARA LUMINARIA LD18</t>
  </si>
  <si>
    <t>01.06.16</t>
  </si>
  <si>
    <t xml:space="preserve">    SALIDA PARA LUMINARIA LAC01</t>
  </si>
  <si>
    <t>01.06.17</t>
  </si>
  <si>
    <t xml:space="preserve">    SALIDA PARA LUMINARIA LAC02</t>
  </si>
  <si>
    <t>01.06.18</t>
  </si>
  <si>
    <t xml:space="preserve">    SALIDA PARA LUMINARIA LAC03</t>
  </si>
  <si>
    <t>01.06.19</t>
  </si>
  <si>
    <t xml:space="preserve">    SALIDA PARA LUMINARIA LAC04</t>
  </si>
  <si>
    <t>01.06.20</t>
  </si>
  <si>
    <t xml:space="preserve">    SALIDA PARA LUMINARIA LAC05</t>
  </si>
  <si>
    <t>01.06.21</t>
  </si>
  <si>
    <t xml:space="preserve">    SALIDA PARA LUMINARIA LAC06</t>
  </si>
  <si>
    <t>01.06.22</t>
  </si>
  <si>
    <t>01.06.23</t>
  </si>
  <si>
    <t xml:space="preserve">    SALIDA PARA LUMINARIA LAC08</t>
  </si>
  <si>
    <t>01.06.24</t>
  </si>
  <si>
    <t xml:space="preserve">    SALIDA PARA LUMINARIA LAC09</t>
  </si>
  <si>
    <t>01.06.25</t>
  </si>
  <si>
    <t xml:space="preserve">    SALIDA PARA LUMINARIA LAC10</t>
  </si>
  <si>
    <t>01.06.26</t>
  </si>
  <si>
    <t xml:space="preserve">    SALIDA PARA LUMINARIA LAC11</t>
  </si>
  <si>
    <t>01.06.27</t>
  </si>
  <si>
    <t xml:space="preserve">    SALIDA PARA LUMINARIA LAC12</t>
  </si>
  <si>
    <t>01.06.28</t>
  </si>
  <si>
    <t xml:space="preserve">    SALIDA PARA LUMINARIA LAC13</t>
  </si>
  <si>
    <t>01.06.29</t>
  </si>
  <si>
    <t xml:space="preserve">    SALIDA PARA LUMINARIA LAC14</t>
  </si>
  <si>
    <t>01.06.30</t>
  </si>
  <si>
    <t xml:space="preserve">    SALIDA PARA LUMINARIA LAC15</t>
  </si>
  <si>
    <t>01.06.31</t>
  </si>
  <si>
    <t xml:space="preserve">    SALIDA PARA LUMINARIA BRAQUETE</t>
  </si>
  <si>
    <t>01.06.32</t>
  </si>
  <si>
    <t xml:space="preserve">    SALIDA PARA LUMINARIA LAC17</t>
  </si>
  <si>
    <t>01.06.33</t>
  </si>
  <si>
    <t xml:space="preserve">    SALIDA PARA LUMINARIA LAC19</t>
  </si>
  <si>
    <t>01.06.34</t>
  </si>
  <si>
    <t xml:space="preserve">    SALIDA PARA LUMINARIA LAC20</t>
  </si>
  <si>
    <t>01.06.35</t>
  </si>
  <si>
    <t xml:space="preserve">    SALIDA PARA LUMINARIA LAC26</t>
  </si>
  <si>
    <t>01.06.36</t>
  </si>
  <si>
    <t xml:space="preserve">    SALIDA PARA LUMINARIA LAC27</t>
  </si>
  <si>
    <t>01.06.37</t>
  </si>
  <si>
    <t xml:space="preserve">    SALIDA PARA LUMINARIA LF01</t>
  </si>
  <si>
    <t>01.06.38</t>
  </si>
  <si>
    <t xml:space="preserve">    SALIDA PARA EXTRACTOR DE BAÑOS</t>
  </si>
  <si>
    <t>01.06.39</t>
  </si>
  <si>
    <t xml:space="preserve">    LUMINARIA DE EMERGENCIA</t>
  </si>
  <si>
    <t>01.06.40</t>
  </si>
  <si>
    <t xml:space="preserve">    SALIDA PARA SENSOR DE MOVIMIENTO</t>
  </si>
  <si>
    <t>01.06.41</t>
  </si>
  <si>
    <t xml:space="preserve">    SALIDA PARA LUMINARIA DE MUEBLE (SOLO ENTUBADO)</t>
  </si>
  <si>
    <t>INTERRUPTORES (incluye cable, tubería, caja, dado y placa)</t>
  </si>
  <si>
    <t xml:space="preserve">    SALIDA INTERRUPTOR SIMPLE</t>
  </si>
  <si>
    <t>PT</t>
  </si>
  <si>
    <t xml:space="preserve">    SALIDA INTERRUPTOR DOBLE</t>
  </si>
  <si>
    <t>01.07.03</t>
  </si>
  <si>
    <t xml:space="preserve">    SALIDA INTERRUPTOR TRIPLE</t>
  </si>
  <si>
    <t>01.07.04</t>
  </si>
  <si>
    <t xml:space="preserve">    SALIDA INTERRUPTOR CONMUT.</t>
  </si>
  <si>
    <t>01.07.05</t>
  </si>
  <si>
    <t xml:space="preserve">    SALIDA INTERRUPTOR CONMUT. + SIMPLE</t>
  </si>
  <si>
    <t>01.07.06</t>
  </si>
  <si>
    <t xml:space="preserve">    SALIDA INTERRUPTOR CONMUT. + DOBLE</t>
  </si>
  <si>
    <t>01.07.07</t>
  </si>
  <si>
    <t xml:space="preserve">    SALIDA INTERRUPTOR CONMUT. DOBLE</t>
  </si>
  <si>
    <t>01.07.08</t>
  </si>
  <si>
    <t xml:space="preserve">    SALIDA INTERRUPTOR CONMUT. DOBLE + SIMPLE</t>
  </si>
  <si>
    <t>01.07.09</t>
  </si>
  <si>
    <t xml:space="preserve">    SALIDA INTERRUPTOR CONMUT. TRIPLE</t>
  </si>
  <si>
    <t>01.07.10</t>
  </si>
  <si>
    <t xml:space="preserve">    SALIDA PULSADOR DE TIMBRE</t>
  </si>
  <si>
    <t>SALIDAS PARA TOMACORRIENTES (incluye cable, tubería, caja, dado y placa)</t>
  </si>
  <si>
    <t xml:space="preserve">    SALIDA TOMACORRIENTE DOBLE CON LINEA A TIERRA A PRUEBA DE AGUA</t>
  </si>
  <si>
    <t xml:space="preserve">    SALIDA TOMACORRIENTE DOBLE CON LINEA A TIERRA</t>
  </si>
  <si>
    <t xml:space="preserve">    SALIDA TOMACORRIENTE DOBLE CON LINEA A TIERRA PARA TV</t>
  </si>
  <si>
    <t xml:space="preserve">    SALIDA TOMACORRIENTE SCHUKO REFRIGERADORA (T/RE) O T/CO</t>
  </si>
  <si>
    <t xml:space="preserve">    SALIDA TOMACORRIENTE SCHUKO SIMPLE CON PROTECCION AGUA (T/LA)</t>
  </si>
  <si>
    <t xml:space="preserve">    SALIDA TOMACORRIENTE 3 EN LINEA + USB</t>
  </si>
  <si>
    <t xml:space="preserve">    SALIDA TOMACORRIENTE SCHUKO LAVAPLATOS (T/LP)</t>
  </si>
  <si>
    <t xml:space="preserve">    SALIDA TOMACORRIENTE SCHUKO MICROONDAS (T/MI)</t>
  </si>
  <si>
    <t>SALIDAS PARA FUERZA Y AA (Incluye cable, tubería y cajas)</t>
  </si>
  <si>
    <t xml:space="preserve">    SALIDA DE FUERZA PARA BOMBA DE AGUA CONSUMO 8.0 HP</t>
  </si>
  <si>
    <t xml:space="preserve">    SALIDA DE FUERZA PARA BOMBA SUMIDERO 4 HP</t>
  </si>
  <si>
    <t xml:space="preserve">    SALIDA DE FUERZA PARA BOMBA DE DESAGÜE 2.5 HP</t>
  </si>
  <si>
    <t xml:space="preserve">    SALIDA DE FUERZA PARA ASCENSOR</t>
  </si>
  <si>
    <t xml:space="preserve">    SALIDA DE FUERZA PARA BOMBA DE AGUA CONTRAINCENDIO 100.0 HP</t>
  </si>
  <si>
    <t xml:space="preserve">    SALIDA DE FUERZA PARA BOMBA JOCKEY 2.0 HP</t>
  </si>
  <si>
    <t xml:space="preserve">    SALIDA PARA CONTROL DE NIVEL</t>
  </si>
  <si>
    <t xml:space="preserve">    SALIDA DE FUERZA INYECTOR CENTRIFUGO IC-01  2.00HP</t>
  </si>
  <si>
    <t>01.09.09</t>
  </si>
  <si>
    <t xml:space="preserve">    SALIDA DE FUERZA EXTRACTOR CENTRIFUGO EC-02  0.50HP</t>
  </si>
  <si>
    <t>01.09.10</t>
  </si>
  <si>
    <t xml:space="preserve">    SALIDA DE FUERZA IC-03</t>
  </si>
  <si>
    <t>01.09.11</t>
  </si>
  <si>
    <t xml:space="preserve">    SALIDA DE FUERZA EC-02</t>
  </si>
  <si>
    <t>01.09.12</t>
  </si>
  <si>
    <t xml:space="preserve">    SALIDA DE FUERZA JETFAN</t>
  </si>
  <si>
    <t>01.09.13</t>
  </si>
  <si>
    <t xml:space="preserve">    SALIDA PARA SENSOR DE MONOXIDO</t>
  </si>
  <si>
    <t>01.09.14</t>
  </si>
  <si>
    <t xml:space="preserve">    SALIDA DE FUERZA EXTRACTOR /INYECTOR AXIAL EA-XX/XX  VESTIBULOS PREVIOS</t>
  </si>
  <si>
    <t>01.09.15</t>
  </si>
  <si>
    <t xml:space="preserve">    SALIDA DE FUERZA EXTRACTOR AXIAL EA-03 1.00HP</t>
  </si>
  <si>
    <t>01.09.16</t>
  </si>
  <si>
    <t xml:space="preserve">    SALIDA DE FUERZA INYECTOR AXIAL IA-04 0.50HP</t>
  </si>
  <si>
    <t>01.09.17</t>
  </si>
  <si>
    <t xml:space="preserve">    SALIDA DE FUERZA EXTRACTOR AXIAL EA-02 0.50HP</t>
  </si>
  <si>
    <t>01.09.18</t>
  </si>
  <si>
    <t xml:space="preserve">    SALIDA DE FUERZA FUERZA PARA CARGADOR DE BATERIA</t>
  </si>
  <si>
    <t>01.09.19</t>
  </si>
  <si>
    <t xml:space="preserve">    SALIDA DE FUERZA FUERZA PARA CARGADOR DE ACEITE</t>
  </si>
  <si>
    <t>01.09.20</t>
  </si>
  <si>
    <t xml:space="preserve">    SALIDA DE FUERZA MODULO PARA CONTROL DE G.E.</t>
  </si>
  <si>
    <t>01.09.21</t>
  </si>
  <si>
    <t xml:space="preserve">    SALIDA DE FUERZA SALIDA PARA INTERCOMUNICADOR</t>
  </si>
  <si>
    <t>01.09.22</t>
  </si>
  <si>
    <t xml:space="preserve">    SALIDA PARA PANEL CONTRA INCENDIO</t>
  </si>
  <si>
    <t>01.09.23</t>
  </si>
  <si>
    <t xml:space="preserve">    SALIDA PARA PUERTA LEVADIZA</t>
  </si>
  <si>
    <t>01.09.24</t>
  </si>
  <si>
    <t xml:space="preserve">    SALIDA PARA TIMBRE ( INCLUYE TIMBRE ZUMBADOR)</t>
  </si>
  <si>
    <t>01.09.25</t>
  </si>
  <si>
    <t xml:space="preserve">    SALIDA FUERZA HORNO ELECTRICO</t>
  </si>
  <si>
    <t>01.09.26</t>
  </si>
  <si>
    <t xml:space="preserve">    SALIDA CAMPANA</t>
  </si>
  <si>
    <t>01.09.27</t>
  </si>
  <si>
    <t xml:space="preserve">    ITM TERMA</t>
  </si>
  <si>
    <t>01.09.28</t>
  </si>
  <si>
    <t xml:space="preserve">    SALIDA DE FUERZA UEVAPORADORA</t>
  </si>
  <si>
    <t>01.09.29</t>
  </si>
  <si>
    <t xml:space="preserve">    SALIDA DE FUERZA  CONDENSADORA (Solo tuberia)</t>
  </si>
  <si>
    <t>01.09.30</t>
  </si>
  <si>
    <t xml:space="preserve">    SALIDA DE FUERZA CALENTADOR</t>
  </si>
  <si>
    <t>ARTEFACTOS DE ALUMBRADO (solo instalacion)</t>
  </si>
  <si>
    <t xml:space="preserve">    LUMINARIA LED ADOSADA A TECHO LAC07</t>
  </si>
  <si>
    <t xml:space="preserve">    LUMINARIA HERMETICA LED L01</t>
  </si>
  <si>
    <t xml:space="preserve">    LUMINARIA HERMETICA LED VERTICAL L01c</t>
  </si>
  <si>
    <t xml:space="preserve">    LUMINARIA HERMETICA LED TECHO L01d</t>
  </si>
  <si>
    <t xml:space="preserve">    LUMINARIADOWNLIGHT LED LD02</t>
  </si>
  <si>
    <t xml:space="preserve">    LUMINARIADOWNLIGHT LED LD04</t>
  </si>
  <si>
    <t xml:space="preserve">    LUMINARIADOWNLIGHT LED LD05</t>
  </si>
  <si>
    <t xml:space="preserve">    LUMINARIALD16</t>
  </si>
  <si>
    <t>01.10.09</t>
  </si>
  <si>
    <t xml:space="preserve">    LUMINARIALAC01</t>
  </si>
  <si>
    <t>01.10.10</t>
  </si>
  <si>
    <t xml:space="preserve">    LUMINARIALAC02</t>
  </si>
  <si>
    <t>01.10.11</t>
  </si>
  <si>
    <t xml:space="preserve">    LUMINARIALAC03</t>
  </si>
  <si>
    <t>01.10.12</t>
  </si>
  <si>
    <t xml:space="preserve">    LUMINARIALAC04</t>
  </si>
  <si>
    <t>01.10.13</t>
  </si>
  <si>
    <t xml:space="preserve">    LUMINARIALAC05</t>
  </si>
  <si>
    <t>01.10.14</t>
  </si>
  <si>
    <t xml:space="preserve">    LUMINARIALAC06</t>
  </si>
  <si>
    <t>01.10.15</t>
  </si>
  <si>
    <t xml:space="preserve">    LUMINARIALAC07</t>
  </si>
  <si>
    <t>01.10.16</t>
  </si>
  <si>
    <t xml:space="preserve">    LUMINARIALAC08</t>
  </si>
  <si>
    <t>01.10.17</t>
  </si>
  <si>
    <t xml:space="preserve">    LUMINARIALAC09</t>
  </si>
  <si>
    <t>01.10.18</t>
  </si>
  <si>
    <t xml:space="preserve">    LUMINARIALAC10</t>
  </si>
  <si>
    <t>01.10.19</t>
  </si>
  <si>
    <t xml:space="preserve">    LUMINARIALAC11</t>
  </si>
  <si>
    <t>01.10.20</t>
  </si>
  <si>
    <t xml:space="preserve">    LUMINARIALAC12</t>
  </si>
  <si>
    <t>01.10.21</t>
  </si>
  <si>
    <t xml:space="preserve">    LUMINARIALAC13</t>
  </si>
  <si>
    <t>01.10.22</t>
  </si>
  <si>
    <t xml:space="preserve">    LUMINARIALAC14</t>
  </si>
  <si>
    <t>01.10.23</t>
  </si>
  <si>
    <t xml:space="preserve">    LUMINARIALAC15</t>
  </si>
  <si>
    <t>01.10.24</t>
  </si>
  <si>
    <t xml:space="preserve">    LUMINARIA BRAQUETE</t>
  </si>
  <si>
    <t>01.10.25</t>
  </si>
  <si>
    <t xml:space="preserve">    LUMINARIALAC17</t>
  </si>
  <si>
    <t>01.10.26</t>
  </si>
  <si>
    <t xml:space="preserve">    LUMINARIALAC19</t>
  </si>
  <si>
    <t>01.10.27</t>
  </si>
  <si>
    <t xml:space="preserve">    LUMINARIALAC20</t>
  </si>
  <si>
    <t>01.10.28</t>
  </si>
  <si>
    <t xml:space="preserve">    LUMINARIALAC26</t>
  </si>
  <si>
    <t>01.10.29</t>
  </si>
  <si>
    <t xml:space="preserve">    LUMINARIALAC27</t>
  </si>
  <si>
    <t>01.10.30</t>
  </si>
  <si>
    <t xml:space="preserve">    LUMINARIALF01</t>
  </si>
  <si>
    <t>01.10.31</t>
  </si>
  <si>
    <t>SISTEMA DE PUESTA A TIERRA</t>
  </si>
  <si>
    <t xml:space="preserve">    SISTEMA DE PUESTA A TIERRA BT</t>
  </si>
  <si>
    <t xml:space="preserve">        Cable desnudo 70mm2  (40cm de profundidad)</t>
  </si>
  <si>
    <t xml:space="preserve">        Pozo a tierra de ascensor (R&lt;25Ohms)</t>
  </si>
  <si>
    <t xml:space="preserve">        Pozo a tierra de BT (R&lt;5Ohms)</t>
  </si>
  <si>
    <t xml:space="preserve">        Excavacion de zanja 0.40X0.40m</t>
  </si>
  <si>
    <t xml:space="preserve">        Relleno con Tierra cernida compactado tratado 1 dosis de thorgel /m3</t>
  </si>
  <si>
    <t>M3</t>
  </si>
  <si>
    <t xml:space="preserve">        Retiro de desmonte (Acarreo a un pto)</t>
  </si>
  <si>
    <t xml:space="preserve">        95 mm2 desnudo 35mmPVC-P (T-SG)</t>
  </si>
  <si>
    <t>01.11.01.08</t>
  </si>
  <si>
    <t xml:space="preserve">        95 mm2 desnudo 35mmPVC-P (dptos)</t>
  </si>
  <si>
    <t>01.11.01.09</t>
  </si>
  <si>
    <t xml:space="preserve">        Caja 150x150x100mm</t>
  </si>
  <si>
    <t>SERVICIOS AUXILIARES</t>
  </si>
  <si>
    <t xml:space="preserve">    COMUNICACIONES</t>
  </si>
  <si>
    <t xml:space="preserve">        SALIDAS</t>
  </si>
  <si>
    <t>01.12.01.01.01</t>
  </si>
  <si>
    <t xml:space="preserve">            SALIDA PARA TELEFONO EXTERNO TE</t>
  </si>
  <si>
    <t>01.12.01.01.02</t>
  </si>
  <si>
    <t xml:space="preserve">            SALIDA PARA TELEFONO INTERNO TP</t>
  </si>
  <si>
    <t>01.12.01.01.03</t>
  </si>
  <si>
    <t xml:space="preserve">            SALIDA PARA TV CABLE</t>
  </si>
  <si>
    <t>01.12.01.01.04</t>
  </si>
  <si>
    <t xml:space="preserve">            SALIDA PARA CONSOLA DE INTERCOMUNICACION C.I.</t>
  </si>
  <si>
    <t>01.12.01.01.05</t>
  </si>
  <si>
    <t xml:space="preserve">            SALIDA PARA DIRECTORIO TELEFONO PORTERO</t>
  </si>
  <si>
    <t>01.12.01.01.06</t>
  </si>
  <si>
    <t xml:space="preserve">            SALIDA PARA CHAPA ELECTRICA EJE MARCO DE PUERTA</t>
  </si>
  <si>
    <t xml:space="preserve">        CAJAS</t>
  </si>
  <si>
    <t>01.12.01.02.01</t>
  </si>
  <si>
    <t xml:space="preserve">            CAJA DE REGISTRO PRINCIPAL TIPO A</t>
  </si>
  <si>
    <t>01.12.01.02.02</t>
  </si>
  <si>
    <t xml:space="preserve">            CAJA DE REGISTRO PRINCIPAL TIPO B</t>
  </si>
  <si>
    <t>01.12.01.02.03</t>
  </si>
  <si>
    <t xml:space="preserve">            CAJA DE REGISTRO PRINCIPAL TIPO C</t>
  </si>
  <si>
    <t>01.12.01.02.04</t>
  </si>
  <si>
    <t xml:space="preserve">            CAJA DE PASE 100X100X50MM</t>
  </si>
  <si>
    <t>01.12.01.02.05</t>
  </si>
  <si>
    <t xml:space="preserve">            CAJA DE PASE 150X150X100MM</t>
  </si>
  <si>
    <t xml:space="preserve">        TUBERIAS</t>
  </si>
  <si>
    <t>01.12.01.03.01</t>
  </si>
  <si>
    <t xml:space="preserve">            Tuberia de 20mm PVC-P</t>
  </si>
  <si>
    <t>01.12.01.03.02</t>
  </si>
  <si>
    <t xml:space="preserve">            Tuberia de 25mm PVC-P</t>
  </si>
  <si>
    <t>01.12.01.03.03</t>
  </si>
  <si>
    <t xml:space="preserve">            Tuberia de 50mm PVC-P</t>
  </si>
  <si>
    <t>01.12.01.03.04</t>
  </si>
  <si>
    <t xml:space="preserve">            Tuberia de 80mm PVC-P</t>
  </si>
  <si>
    <t>01.12.01.03.05</t>
  </si>
  <si>
    <t xml:space="preserve">            Tuberia de 35mm EMT</t>
  </si>
  <si>
    <t>01.12.01.03.06</t>
  </si>
  <si>
    <t xml:space="preserve">            Tuberia de 50mm EMT</t>
  </si>
  <si>
    <t xml:space="preserve">    DETECCION Y ALARMA</t>
  </si>
  <si>
    <t xml:space="preserve">        SALIDAS (SOLO CAJAS)</t>
  </si>
  <si>
    <t>01.12.02.01.01</t>
  </si>
  <si>
    <t xml:space="preserve">            SALIDA PARA DETECTOR DE HUMO FOTOELECTRICO</t>
  </si>
  <si>
    <t>01.12.02.01.02</t>
  </si>
  <si>
    <t xml:space="preserve">            SALIDA PARA SIRENA CON LUZ ESTREBOSCOPICA</t>
  </si>
  <si>
    <t>01.12.02.01.03</t>
  </si>
  <si>
    <t xml:space="preserve">            SALIDA PARA ESTACION MANUAL</t>
  </si>
  <si>
    <t>01.12.02.01.04</t>
  </si>
  <si>
    <t xml:space="preserve">            SALIDA PARA DETECTOR DE TEMPERATURA</t>
  </si>
  <si>
    <t>01.12.02.01.05</t>
  </si>
  <si>
    <t xml:space="preserve">            SALIDA PARA CENTRAL DE ALARMA CONTRAINCENDIO</t>
  </si>
  <si>
    <t>01.12.02.02.01</t>
  </si>
  <si>
    <t xml:space="preserve">            CAJA DE PASO 100x100x50mm</t>
  </si>
  <si>
    <t>01.12.02.02.02</t>
  </si>
  <si>
    <t xml:space="preserve">            CAJA DE PASO 150x150x100mm</t>
  </si>
  <si>
    <t>01.12.02.02.03</t>
  </si>
  <si>
    <t xml:space="preserve">            CAJA DE PASO OCTOGONAL</t>
  </si>
  <si>
    <t>01.12.02.03.01</t>
  </si>
  <si>
    <t>01.12.02.03.02</t>
  </si>
  <si>
    <t>01.12.02.03.03</t>
  </si>
  <si>
    <t xml:space="preserve">            Tuberia de 25mm EMT</t>
  </si>
  <si>
    <t xml:space="preserve">    CCTV</t>
  </si>
  <si>
    <t>01.12.03.01.01</t>
  </si>
  <si>
    <t xml:space="preserve">            SALIDA PARA CÁMARA FIJA TIPO BALA CON COBERTOR PARA INTERIOR</t>
  </si>
  <si>
    <t>01.12.03.01.02</t>
  </si>
  <si>
    <t xml:space="preserve">            SALIDA PARA CÁMARA FIJA TIPO BALA CON COBERTOR PARA EXTERIOR</t>
  </si>
  <si>
    <t>01.12.03.01.03</t>
  </si>
  <si>
    <t xml:space="preserve">            SALIDA PARA CÁMARA FIJA TIPO MINIDOMO CON COBERTOR PARA INTERIOR</t>
  </si>
  <si>
    <t>01.12.03.01.04</t>
  </si>
  <si>
    <t xml:space="preserve">            SALIDA PARA GABINETE DE SEGURIDAD</t>
  </si>
  <si>
    <t>01.12.03.02.01</t>
  </si>
  <si>
    <t>01.12.03.02.02</t>
  </si>
  <si>
    <t>01.12.03.02.03</t>
  </si>
  <si>
    <t xml:space="preserve">            CAJA DE PASO 250x250x100mm</t>
  </si>
  <si>
    <t>01.12.03.03</t>
  </si>
  <si>
    <t>01.12.03.03.01</t>
  </si>
  <si>
    <t>01.12.03.03.02</t>
  </si>
  <si>
    <t>01.12.03.03.03</t>
  </si>
  <si>
    <t xml:space="preserve">            Tuberia de 35mm PVC-P</t>
  </si>
  <si>
    <t>01.12.03.03.04</t>
  </si>
  <si>
    <t>01.12.03.03.05</t>
  </si>
  <si>
    <t xml:space="preserve">            Tuberia de 20mm EMT</t>
  </si>
  <si>
    <t>01.12.03.03.06</t>
  </si>
  <si>
    <t>01.12.03.03.07</t>
  </si>
  <si>
    <t>01.12.03.03.08</t>
  </si>
  <si>
    <t xml:space="preserve">            Tuberia de 40mm EMT</t>
  </si>
  <si>
    <t>01.12.03.03.09</t>
  </si>
  <si>
    <t>EQUIPOS</t>
  </si>
  <si>
    <t xml:space="preserve">    PRUEBAS DE AISLAMIENTO</t>
  </si>
  <si>
    <t xml:space="preserve">    PRUEBA DE RESISTENCIA DE PUESTA A TIERRA</t>
  </si>
  <si>
    <t>ADICIONALES</t>
  </si>
  <si>
    <t xml:space="preserve">    SALIDAS DE ALUMBRADO (incluye cable, tubería y cajas)</t>
  </si>
  <si>
    <t xml:space="preserve">        SALIDA PARA LUMINARIA LED  LO1B</t>
  </si>
  <si>
    <t xml:space="preserve">        SALIDA PARA LUMINARIA  LAC16</t>
  </si>
  <si>
    <t xml:space="preserve">        CAJA DE PASE OCTOGONAL</t>
  </si>
  <si>
    <t xml:space="preserve">        CAJA DE PASE 100X100X50mm</t>
  </si>
  <si>
    <t xml:space="preserve">        CAJA DE PASE 150X150X80mm</t>
  </si>
  <si>
    <t xml:space="preserve">        CAJA DE PASE 150X150X100mm</t>
  </si>
  <si>
    <t xml:space="preserve">    SALIDAS PARA TOMACORRIENTES (incluye cable, tubería, caja, dado y placa)</t>
  </si>
  <si>
    <t xml:space="preserve">        SALIDA TOMACORRIENTE PARA CAMPANA EXTRACTORA T/CA</t>
  </si>
  <si>
    <t xml:space="preserve">        SALIDA TOMACORRIENTE PARA HORNO ELECTRICO T/HO</t>
  </si>
  <si>
    <t xml:space="preserve">        SALIDA TOMACORRIENTE DOBLE 3 EN LINEA E2</t>
  </si>
  <si>
    <t xml:space="preserve">        SALIDA TOMACORRIENTE EN PISO</t>
  </si>
  <si>
    <t xml:space="preserve">        SALIDA TOMACORRIENTE E2/USB</t>
  </si>
  <si>
    <t xml:space="preserve">    CAJAS DE PASE</t>
  </si>
  <si>
    <t xml:space="preserve">        CAJA DE PASE 250X250X200mm</t>
  </si>
  <si>
    <t xml:space="preserve">    SALIDAS PARA FUERZA Y AA (Incluye cable, tubería y cajas)</t>
  </si>
  <si>
    <t xml:space="preserve">        SALIDA DE FUERZA INYECTOR AXIAL IA-01 0.50HP</t>
  </si>
  <si>
    <t xml:space="preserve">        SALIDA DE FUERZA INYECTOR AXIAL IA-02 0.50HP</t>
  </si>
  <si>
    <t xml:space="preserve">        SALIDA DE FUERZA EXTRACTOR AXIAL EA-01 0.50HP</t>
  </si>
  <si>
    <t xml:space="preserve">        SALIDA DE FUERZA PARA ECH-01</t>
  </si>
  <si>
    <t xml:space="preserve">        SALIDA DE FUERZA PARA ECH-02</t>
  </si>
  <si>
    <t xml:space="preserve">        SALIDA DE FUERZA PARA ECH-03</t>
  </si>
  <si>
    <t xml:space="preserve">        SALIDA DE FUERZA PARA ICH-01</t>
  </si>
  <si>
    <t xml:space="preserve">        SALIDA DE FUERZA PARA CARGADOR ELECTRICO</t>
  </si>
  <si>
    <t xml:space="preserve">        SALIDA DE FUERZA PARA BOMBA PARA PILETA</t>
  </si>
  <si>
    <t>01.14.05</t>
  </si>
  <si>
    <t xml:space="preserve">    COMUNICACIONES CAJAS</t>
  </si>
  <si>
    <t>01.14.05.01</t>
  </si>
  <si>
    <t xml:space="preserve">        SALIDA PARA INTERCONEXION CON TELEFONO BOMBERO</t>
  </si>
  <si>
    <t>01.14.05.02</t>
  </si>
  <si>
    <t xml:space="preserve">        CAJA DE PASE 100X100X100MM</t>
  </si>
  <si>
    <t>01.14.06</t>
  </si>
  <si>
    <t xml:space="preserve">    SISTEMA DE PUESTA A TIERRA</t>
  </si>
  <si>
    <t>01.14.06.01</t>
  </si>
  <si>
    <t xml:space="preserve">        SOLDADURA EXOTERMICA</t>
  </si>
  <si>
    <t>01.14.06.02</t>
  </si>
  <si>
    <t xml:space="preserve">        CAJA BORNERA TIPO 1</t>
  </si>
  <si>
    <t>01.14.06.03</t>
  </si>
  <si>
    <t xml:space="preserve">        CAJA BORNERA TIPO 2</t>
  </si>
  <si>
    <t>01.14.06.04</t>
  </si>
  <si>
    <t xml:space="preserve">        CABLE 95 mm2 (TF-BACI)</t>
  </si>
  <si>
    <t>01.14.06.05</t>
  </si>
  <si>
    <t xml:space="preserve">        CABLE 70 mm2 (T-GE)</t>
  </si>
  <si>
    <t>01.14.06.06</t>
  </si>
  <si>
    <t xml:space="preserve">        CABLE 25 mm2 (T-ASC)</t>
  </si>
  <si>
    <t>01.14.06.07</t>
  </si>
  <si>
    <t xml:space="preserve">        DOSIS DE CEMENTO CONDUCTIVO PARA MALLA (BOLSA DE 25 KG.)</t>
  </si>
  <si>
    <t>INSTALACIONES DE DESAGÜE</t>
  </si>
  <si>
    <t xml:space="preserve">    TRABAJOS PRELIMINARES</t>
  </si>
  <si>
    <t xml:space="preserve">        TRAZO Y REPLANTEO</t>
  </si>
  <si>
    <t>ml</t>
  </si>
  <si>
    <t xml:space="preserve">        EXCAVACIÓN DE ZANJA</t>
  </si>
  <si>
    <t xml:space="preserve">        REFINE Y NIVELACIÓN DE ZANJA</t>
  </si>
  <si>
    <t xml:space="preserve">        CAMA DE APOYO PARA TUBERÍAS</t>
  </si>
  <si>
    <t xml:space="preserve">        RELLENO Y COMPACTACIÓN DE ZANJA</t>
  </si>
  <si>
    <t xml:space="preserve">    REDES DE DESAGUE</t>
  </si>
  <si>
    <t xml:space="preserve">        SUMINISTRO E INSTALACION DE TUBERIA PVC-P PARA DESAGÜE DE 6" ENTERRADA</t>
  </si>
  <si>
    <t xml:space="preserve">        SUMINISTRO E INSTALACION DE TUBERIA PVC-CP PARA DESAGÜE DE 2" COLGADA</t>
  </si>
  <si>
    <t xml:space="preserve">        SUMINISTRO E INSTALACION DE TUBERIA PVC-CP PARA DESAGÜE DE 3" COLGADA</t>
  </si>
  <si>
    <t xml:space="preserve">        SUMINISTRO E INSTALACION DE TUBERIA PVC-CP PARA DESAGÜE DE 4" COLGADA</t>
  </si>
  <si>
    <t xml:space="preserve">        SUMINISTRO E INSTALACION DE TUBERIA PVC-CP PARA DESAGÜE DE 6" COLGADA</t>
  </si>
  <si>
    <t xml:space="preserve">        SUMINISTRO E INSTALACION DE TUBERIA PVC-P PARA DESAGÜE DE 2" EMPOTRADA</t>
  </si>
  <si>
    <t xml:space="preserve">        SUMINISTRO E INSTALACION DE TUBERIA PVC-P PARA DESAGÜE DE 3" EMPOTRADA</t>
  </si>
  <si>
    <t xml:space="preserve">        SUMINISTRO E INSTALACION DE TUBERIA PVC-P PARA DESAGÜE DE 4" EMPOTRADA</t>
  </si>
  <si>
    <t xml:space="preserve">        SUMINISTRO E INSTALACION DE TUBERIA PVC-P PARA DRENAJE AA DE 3/4" EMPOTRADA</t>
  </si>
  <si>
    <t xml:space="preserve">        SUMINISTRO E INSTALACION DE TUBERIA PVC-SAL PARA VENTILACIÓN DE 2" EMPOTRADA</t>
  </si>
  <si>
    <t xml:space="preserve">        SUMINISTRO E INSTALACION DE TUBERIA PVC C-10 DE 4" (VENTILACIÓN DE DESAGÜE) COLGADA</t>
  </si>
  <si>
    <t>01.01.02.12</t>
  </si>
  <si>
    <t xml:space="preserve">        SUMINISTRO E INSTALACION DE TUBERIA PVC C-10 DE 4" (IMPULSIÓN DE DESAGÜE) COLGADA</t>
  </si>
  <si>
    <t>01.01.02.13</t>
  </si>
  <si>
    <t xml:space="preserve">        SUMINISTRO E INSTALACION DE TUBERIA PVC C-10 DE 3" (VENTILACIÓN DE SUMIDERO) COLGADA</t>
  </si>
  <si>
    <t>01.01.02.14</t>
  </si>
  <si>
    <t xml:space="preserve">        SUMINISTRO E INSTALACION DE TUBERIA PVC C-10 DE 3" (IMPULSIÓN DE SUMIDERO) COLGADA</t>
  </si>
  <si>
    <t xml:space="preserve">    MONTANTES DE DESAGÜE Y VENTILACIÓN</t>
  </si>
  <si>
    <t xml:space="preserve">        SUMINISTRO E INSTALACION DE TUBERIA PVC  PARA DESAGÜE DE 2" ADOSADA</t>
  </si>
  <si>
    <t xml:space="preserve">        SUMINISTRO E INSTALACION DE TUBERIA PVC  PARA DESAGÜE DE 3" ADOSADA</t>
  </si>
  <si>
    <t xml:space="preserve">        SUMINISTRO E INSTALACION DE TUBERIA PVC  PARA DESAGÜE DE 4" ADOSADA</t>
  </si>
  <si>
    <t>01.01.03.04</t>
  </si>
  <si>
    <t xml:space="preserve">        SUMINISTRO E INSTALACION DE TUBERIA PVC  PARA VENTILACION DE 2" ADOSADA</t>
  </si>
  <si>
    <t>01.01.03.05</t>
  </si>
  <si>
    <t xml:space="preserve">        SUMINISTRO E INSTALACION DE TUBERIA PVC  PARA VENTILACION DE 3" ADOSADA</t>
  </si>
  <si>
    <t>01.01.03.06</t>
  </si>
  <si>
    <t xml:space="preserve">        SUMINISTRO E INSTALACION DE TUBERIA PVC  PARA VENTILACION DE 4" ADOSADA</t>
  </si>
  <si>
    <t>01.01.03.07</t>
  </si>
  <si>
    <t xml:space="preserve">        SUMINISTRO E INSTALACION DE TUBERIA PVC C-10 DE 4" (VENTILACIÓN DE DESAGÜE) ADOSADA</t>
  </si>
  <si>
    <t>01.01.03.08</t>
  </si>
  <si>
    <t xml:space="preserve">        SUMINISTRO E INSTALACION DE TUBERIA PVC C-10 DE 4" (IMPULSIÓN DE DESAGÜE) ADOSADA</t>
  </si>
  <si>
    <t>01.01.03.09</t>
  </si>
  <si>
    <t xml:space="preserve">        SUMINISTRO E INSTALACION DE TUBERIA PVC C-10 DE 3" (VENTILACIÓN DE SUMIDERO) ADOSADA</t>
  </si>
  <si>
    <t>01.01.03.10</t>
  </si>
  <si>
    <t xml:space="preserve">        SUMINISTRO E INSTALACION DE TUBERIA PVC C-10 DE 3" (IMPULSIÓN DE SUMIDERO) ADOSADA</t>
  </si>
  <si>
    <t xml:space="preserve">    SALIDAS DE DESAGÜE Y VENTILACIÓN</t>
  </si>
  <si>
    <t>01.01.04.01</t>
  </si>
  <si>
    <t xml:space="preserve">        SALIDA DE DESAGÜE PVC DE 2"</t>
  </si>
  <si>
    <t>pto</t>
  </si>
  <si>
    <t>01.01.04.02</t>
  </si>
  <si>
    <t xml:space="preserve">        SALIDA DE DESAGÜE PVC DE 4"</t>
  </si>
  <si>
    <t>01.01.04.03</t>
  </si>
  <si>
    <t xml:space="preserve">        SALIDA PARA VENTILACIÓN PVC DE 2"</t>
  </si>
  <si>
    <t>01.01.04.04</t>
  </si>
  <si>
    <t xml:space="preserve">        SALIDA DE DESAGÜE PVC DE 2" CON TRAMPA PARA DUCHAS</t>
  </si>
  <si>
    <t xml:space="preserve">    ACCESORIOS VARIOS</t>
  </si>
  <si>
    <t>01.01.05.01</t>
  </si>
  <si>
    <t xml:space="preserve">        SUMINISTRO E INSTALACION DE SUMIDERO DE BRONCE A RAS DE PISO CON TRAMPA P DE 2"</t>
  </si>
  <si>
    <t>01.01.05.02</t>
  </si>
  <si>
    <t xml:space="preserve">        SUMINISTRO E INSTALACION DE SUMIDERO PARA DUCHA</t>
  </si>
  <si>
    <t>01.01.05.03</t>
  </si>
  <si>
    <t xml:space="preserve">        SUMINISTRO E INSTALACION DE SUMIDERO DE BRONCE A RAS DE PISO CON TRAMPA P DE 3"</t>
  </si>
  <si>
    <t>01.01.05.04</t>
  </si>
  <si>
    <t xml:space="preserve">        SUMINISTRO E INSTALACION DE REGISTRO ROSCADO DE 2"</t>
  </si>
  <si>
    <t>01.01.05.05</t>
  </si>
  <si>
    <t xml:space="preserve">        SUMINISTRO E INSTALACION DE REGISTRO ROSCADO DE 3"</t>
  </si>
  <si>
    <t>01.01.05.06</t>
  </si>
  <si>
    <t xml:space="preserve">        SUMINISTRO E INSTALACION DE REGISTRO ROSCADO DE 4"</t>
  </si>
  <si>
    <t>01.01.05.07</t>
  </si>
  <si>
    <t xml:space="preserve">        SUMINISTRO E INSTALACION DE REGISTRO ROSCADO DE 6"</t>
  </si>
  <si>
    <t>01.01.05.08</t>
  </si>
  <si>
    <t xml:space="preserve">        SUMINISTRO E INSTALACION DE REGISTRO ROSCADO TIPO DADO DE 2"</t>
  </si>
  <si>
    <t>01.01.05.09</t>
  </si>
  <si>
    <t xml:space="preserve">        SUMINISTRO E INSTALACION DE REGISTRO ROSCADO TIPO DADO DE 3"</t>
  </si>
  <si>
    <t>01.01.05.10</t>
  </si>
  <si>
    <t xml:space="preserve">        SUMINISTRO E INSTALACION DE REGISTRO ROSCADO TIPO DADO DE 4"</t>
  </si>
  <si>
    <t>01.01.05.11</t>
  </si>
  <si>
    <t xml:space="preserve">        SUMINISTRO E INSTALACION DE REGISTRO ROSCADO TIPO DADO DE 6"</t>
  </si>
  <si>
    <t>01.01.05.12</t>
  </si>
  <si>
    <t xml:space="preserve">        SUMINISTRO E INSTALACION DE SOMBRERO DE VENTILACION DE 2"</t>
  </si>
  <si>
    <t>01.01.05.13</t>
  </si>
  <si>
    <t xml:space="preserve">        SUMINISTRO E INSTALACION DE SOMBRERO DE VENTILACION DE 3"</t>
  </si>
  <si>
    <t>01.01.05.14</t>
  </si>
  <si>
    <t xml:space="preserve">        SUMINISTRO E INSTALACION DE SOMBRERO DE VENTILACION DE 4"</t>
  </si>
  <si>
    <t>01.01.05.15</t>
  </si>
  <si>
    <t xml:space="preserve">        VALVULA ANTIRETORNO Ø 6"</t>
  </si>
  <si>
    <t>01.01.05.16</t>
  </si>
  <si>
    <t xml:space="preserve">        SUMINISTRO E INSTALACION DE CAJA DE REGISTRO (0.60mX0.60m) (con registro de bronce)</t>
  </si>
  <si>
    <t>01.01.05.17</t>
  </si>
  <si>
    <t xml:space="preserve">        SUMINISTRO E INSTALACION DE CAJA DE REGISTRO (0.60mX0.60m)</t>
  </si>
  <si>
    <t>01.01.05.18</t>
  </si>
  <si>
    <t xml:space="preserve">        SUMINISTRO E INSTALACION DE DRENAJE DE JARDINERA DE 2"</t>
  </si>
  <si>
    <t xml:space="preserve">    DESAGUE DE CISTERNAS  DE AGUA POTABLE, CONTRA INCENDIO Y CUARTO DE BOMBAS</t>
  </si>
  <si>
    <t>01.01.06.01</t>
  </si>
  <si>
    <t xml:space="preserve">        SUMINISTRO E INSTALACION DE REBOSE EN CISTERNA DE AGUA POTABLE Ø6"</t>
  </si>
  <si>
    <t>01.01.06.02</t>
  </si>
  <si>
    <t xml:space="preserve">        SUMINISTRO E INSTALACION DE REBOSE EN CISTERNA DEL SISTEMA CONTRA INCENDIO Ø6"</t>
  </si>
  <si>
    <t>01.01.06.03</t>
  </si>
  <si>
    <t xml:space="preserve">        SUMINISTRO E INSTALACION DE TUBERIA DE DESAGUE PVC SAL Ø6" ENTERRADA</t>
  </si>
  <si>
    <t>01.01.06.04</t>
  </si>
  <si>
    <t xml:space="preserve">        SUMINISTRO E INSTALACION DE SUMIDEROS Y REGISTROS (INCLUYE SALIDA)</t>
  </si>
  <si>
    <t xml:space="preserve">    EQUIPOS DE BOMBEO DE CAMARA SUMIDERO</t>
  </si>
  <si>
    <t>01.01.07.01</t>
  </si>
  <si>
    <t xml:space="preserve">        SUMINISTRO E INSTALACION DE LINEA DE IMPULSION DE 3" (Incluye accesorios)</t>
  </si>
  <si>
    <t xml:space="preserve">    PRUEBA HIDRAÚLICA DEL SISTEMA DE DESAGÜE</t>
  </si>
  <si>
    <t>01.01.08.01</t>
  </si>
  <si>
    <t xml:space="preserve">        PRUEBA HIDRAÚLICA DEL SISTEMA DE DESAGÜE</t>
  </si>
  <si>
    <t>SISTEMA DE AGUA FRIA</t>
  </si>
  <si>
    <t xml:space="preserve">    OBRAS GENERALES</t>
  </si>
  <si>
    <t xml:space="preserve">    REDES DE DISTRIBUCION GENERAL Y ALIMENTADORES</t>
  </si>
  <si>
    <t xml:space="preserve">        SUMINISTRO E INSTALACION DE TUBERIA DE AGUA FRIA PVC C10 1/2" EMPOTRADA</t>
  </si>
  <si>
    <t xml:space="preserve">        SUMINISTRO E INSTALACION DE TUBERIA DE AGUA FRIA PVC C10 3/4" EMPOTRADA</t>
  </si>
  <si>
    <t xml:space="preserve">        SUMINISTRO E INSTALACION DE TUBERIA DE AGUA FRIA PVC C10 1" EMPOTRADA</t>
  </si>
  <si>
    <t xml:space="preserve">        SUMINISTRO E INSTALACION DE TUBERIA DE AGUA FRIA PVC C10 1 1/4" EMPOTRADA</t>
  </si>
  <si>
    <t>01.02.02.05</t>
  </si>
  <si>
    <t xml:space="preserve">        SUMINISTRO E INSTALACION DE TUBERIA DE AGUA FRIA PVC C10 1/2" COLGADA</t>
  </si>
  <si>
    <t>01.02.02.06</t>
  </si>
  <si>
    <t xml:space="preserve">        SUMINISTRO E INSTALACION DE TUBERIA DE AGUA FRIA PVC C10 3/4" COLGADA</t>
  </si>
  <si>
    <t>01.02.02.07</t>
  </si>
  <si>
    <t xml:space="preserve">        SUMINISTRO E INSTALACION DE TUBERIA DE AGUA FRIA PVC C10 1" COLGADA</t>
  </si>
  <si>
    <t>01.02.02.08</t>
  </si>
  <si>
    <t xml:space="preserve">        SUMINISTRO E INSTALACION DE TUBERIA DE AGUA FRIA PVC C10 1 1/4" COLGADA</t>
  </si>
  <si>
    <t>01.02.02.09</t>
  </si>
  <si>
    <t xml:space="preserve">        SUMINISTRO E INSTALACION DE TUBERIA DE AGUA FRIA PVC C10 3" COLGADA</t>
  </si>
  <si>
    <t>01.02.02.10</t>
  </si>
  <si>
    <t xml:space="preserve">        SUMINISTRO E INSTALACION DE TUBERIA DE AGUA FRIA PVC C10 1/2" ADOSADA</t>
  </si>
  <si>
    <t>01.02.02.11</t>
  </si>
  <si>
    <t xml:space="preserve">        SUMINISTRO E INSTALACION DE TUBERIA DE AGUA FRIA PVC C10 3" ADOSADA</t>
  </si>
  <si>
    <t>01.02.02.12</t>
  </si>
  <si>
    <t xml:space="preserve">        SUMINISTRO E INSTALACION DE TUBERIA DE AGUA FRIA PVC C10 2 1/2" ADOSADA</t>
  </si>
  <si>
    <t xml:space="preserve">    ALIMENTACION A CISTERNAS  DE AGUA POTABLE Y CONTRA INCENDIO</t>
  </si>
  <si>
    <t xml:space="preserve">        EMPALME A CONEXIÓN DOMICILIARIA</t>
  </si>
  <si>
    <t xml:space="preserve">        SUMINISTRO E INSTALACION DE TUBERÍA ADOSADA P/ LLENADO DE CISTERNA, 1 1/4"</t>
  </si>
  <si>
    <t xml:space="preserve">    VÁLVULAS</t>
  </si>
  <si>
    <t xml:space="preserve">        SUMINISTRO E INSTALACION DE GRIFO DE RIEGO DE 1/2"</t>
  </si>
  <si>
    <t xml:space="preserve">        SUMINISTRO E INSTALACION DE VALVULA ESFERICA DE BRONCE DE 1/2"</t>
  </si>
  <si>
    <t xml:space="preserve">        SUMINISTRO E INSTALACION DE VALVULA ESFERICA DE BRONCE DE 3/4"</t>
  </si>
  <si>
    <t xml:space="preserve">        SUMINISTRO E INSTALACION DE VALVULA ESFERICA DE BRONCE DE 1"</t>
  </si>
  <si>
    <t>01.02.04.05</t>
  </si>
  <si>
    <t xml:space="preserve">        SUMINISTRO E INSTALACION DE VALVULA ESFERICA DE BRONCE DE 1 1/4"</t>
  </si>
  <si>
    <t>01.02.04.06</t>
  </si>
  <si>
    <t xml:space="preserve">        SUMINISTRO E INSTALACION DE VALVULA ELIMINADORA DE AIRE 1"</t>
  </si>
  <si>
    <t xml:space="preserve">    SALIDAS DE AGUA FRIA</t>
  </si>
  <si>
    <t xml:space="preserve">        SALIDA DE AGUA FRIA PVC C-10, 1/2"</t>
  </si>
  <si>
    <t xml:space="preserve">        SALIDA DE AGUA FRIA PVC C-10, 3/4"</t>
  </si>
  <si>
    <t xml:space="preserve">    INSTALACION DE APARATOS SANITARIOS</t>
  </si>
  <si>
    <t xml:space="preserve">        INSTALACIÓN DE LAVADERO EN LAVANDERIA (Incluye griferias y kit de instalacion (sikaflex, thiner, trapo industrial, etc))</t>
  </si>
  <si>
    <t xml:space="preserve">        INSTALACIÓN DE LAVADERO EN COCINA(Incluye griferias y kit de instalacion (sikaflex, thiner, trapo industrial, etc))</t>
  </si>
  <si>
    <t xml:space="preserve">        INSTALACIÓN DE INODORO (Incluye griferias y kit de instalacion (sikaflex, thiner, trapo industrial, etc))</t>
  </si>
  <si>
    <t xml:space="preserve">        INSTALACIÓN DE LAVATORIO EN BAÑO (Incluye griferias y kit de instalacion (sikaflex, thiner, trapo industrial, etc))</t>
  </si>
  <si>
    <t xml:space="preserve">        INSTALACION DE MEZCLADORA PARA DUCHA (Incluye griferias y kit de instalacion (sikaflex, thiner, trapo industrial, etc))</t>
  </si>
  <si>
    <t>01.02.06.06</t>
  </si>
  <si>
    <t xml:space="preserve">        INSTALACION DE GRIFO PARA REGADIO (Incluye griferias y kit de instalacion (sikaflex, thiner, trapo industrial, etc))</t>
  </si>
  <si>
    <t xml:space="preserve">    EQUIPOS DE BOMBEO DE CUARTO DE BOMBAS</t>
  </si>
  <si>
    <t xml:space="preserve">        SISTEMA DE BOMBEO PRESIÓN CONSTANTE – AGUA POTABLE</t>
  </si>
  <si>
    <t xml:space="preserve">        SISTEMA DE BOMBEO DE AGUAS RESIDUALES</t>
  </si>
  <si>
    <t xml:space="preserve">        SISTEMA DE BOMBEO DE AGUAS SUCIAS - SUMIDERO</t>
  </si>
  <si>
    <t xml:space="preserve">        SUMINISTRO E INSTALACION DE VALVÚLA ESFÉRICA 1 1/4"</t>
  </si>
  <si>
    <t xml:space="preserve">        SUMINISTRO E INSTALACION DE VALVÚLA FLOTADORA 1 1/4"</t>
  </si>
  <si>
    <t xml:space="preserve">    MEDIDORES</t>
  </si>
  <si>
    <t xml:space="preserve">        SUMINISTRO E INSTALACION DE CONTOMETROS DE AGUA, 1 1/4"</t>
  </si>
  <si>
    <t xml:space="preserve">        SUMINISTRO E INSTALACION DE CONTOMETROS DE AGUA, 1"</t>
  </si>
  <si>
    <t xml:space="preserve">        SUMINISTRO E INSTALACION DE CONTOMETROS DE AGUA, 3/4"</t>
  </si>
  <si>
    <t xml:space="preserve">    PRUEBA HIDRAULICA Y DESINFECCION DEL SISTEMA DE AGUA</t>
  </si>
  <si>
    <t xml:space="preserve">        PRUEBA HIDRAÚLICA DE LAS REDES DE AGUA</t>
  </si>
  <si>
    <t xml:space="preserve">        PRUEBA DE VERIFICACION DE ESTRUCTURAS  (24 HORAS)</t>
  </si>
  <si>
    <t>SISTEMA DE AGUA CALIENTE</t>
  </si>
  <si>
    <t>01.03.01.01</t>
  </si>
  <si>
    <t>01.03.02.01</t>
  </si>
  <si>
    <t xml:space="preserve">        SUMINISTRO E INSTALACION DE TUBERIA DE AGUA CALIENTE 1/2" EMPOTRADA</t>
  </si>
  <si>
    <t>01.03.02.02</t>
  </si>
  <si>
    <t xml:space="preserve">        SUMINISTRO E INSTALACION DE TUBERIA DE AGUA CALIENTE 3/4" EMPOTRADA</t>
  </si>
  <si>
    <t xml:space="preserve">    SALIDAS DE AGUA CALIENTE</t>
  </si>
  <si>
    <t>01.03.03.01</t>
  </si>
  <si>
    <t xml:space="preserve">        SALIDA DE AGUA CALIENTE CPVC C-10, 1/2"</t>
  </si>
  <si>
    <t>01.03.03.02</t>
  </si>
  <si>
    <t xml:space="preserve">        SALIDA DE AGUA CALIENTE CPVC C-10, 3/4"</t>
  </si>
  <si>
    <t>01.03.04.01</t>
  </si>
  <si>
    <t>01.03.04.02</t>
  </si>
  <si>
    <t xml:space="preserve">    PINTURA EN TUBERÍAS COLGADAS AGUA FRÍA</t>
  </si>
  <si>
    <t xml:space="preserve">    PINTURA EN TUBERIAS COLGADAS DE DESAGUE</t>
  </si>
  <si>
    <t xml:space="preserve">    LIMPIEZA Y DESINFECCIÓN DE CISTERNA</t>
  </si>
  <si>
    <t xml:space="preserve">    LIMPIEZA Y DESINFECCIÓN DE REDES DE AGUA</t>
  </si>
  <si>
    <t>INSTALACIONES DE GAS</t>
  </si>
  <si>
    <t>SISTEMA DE GAS</t>
  </si>
  <si>
    <t>TAPITAS METÁLICAS</t>
  </si>
  <si>
    <t>DUCTOS COMUNALES</t>
  </si>
  <si>
    <t>EQUIPAMIENTO</t>
  </si>
  <si>
    <t>SISTEMA DE AGUA CONTRAINCENDIO</t>
  </si>
  <si>
    <t xml:space="preserve">    RED CONTRA INCENDIOS Y GABINETES</t>
  </si>
  <si>
    <t>SISTEMA DE EXTRACCIÓN, VENTILACION MECANICA Y AIRE ACONDICIONADO</t>
  </si>
  <si>
    <t xml:space="preserve">    VESTIBULO PREVIO VENTILADO Y ESCALERA</t>
  </si>
  <si>
    <t xml:space="preserve">    EXTRACCIÓN DE MONÓXIDO DE CARBONO</t>
  </si>
  <si>
    <t xml:space="preserve">    VENTILACIÓN EN CUARTO DE BOMBAS</t>
  </si>
  <si>
    <t xml:space="preserve">    VENTILACIÓN EN CAMARA DE BOMBEO Y ESTACIÓN ACELEROMÉTRICA</t>
  </si>
  <si>
    <t xml:space="preserve">    VENTILACIÓN EN CUARTO DE BASURA</t>
  </si>
  <si>
    <t xml:space="preserve">    VENTILACIÓN DE GRUPO ELECTRÓGENO</t>
  </si>
  <si>
    <t xml:space="preserve">    VENTILACIÓN DE ALMACEN DE SERVICIO</t>
  </si>
  <si>
    <t xml:space="preserve">    VENTILACIÓN DE PASILLOS</t>
  </si>
  <si>
    <t xml:space="preserve">    VENTILACIÓN DE BAÑOS, CLOSET Y CENTRO DE LAVADO</t>
  </si>
  <si>
    <t xml:space="preserve">    AIRE ACONDICIONADO</t>
  </si>
  <si>
    <t xml:space="preserve">    ASCENSORES TORRES (suministro - colocación)</t>
  </si>
  <si>
    <t>SISTEMA DE ALARMA CONTRAINCENDIO</t>
  </si>
  <si>
    <t xml:space="preserve">    SISTEMA DE DETECCION DE ALARMA CONTRAINCENDIO</t>
  </si>
  <si>
    <t>SISTEMAS MENORES</t>
  </si>
  <si>
    <t xml:space="preserve">    SISTEMA DE INTERCOMUNICADORES</t>
  </si>
  <si>
    <t xml:space="preserve">    SISTEMA DE CIRCUITO CERRADO DE TV</t>
  </si>
  <si>
    <t xml:space="preserve">    GRUPO ELECTRÓGENO</t>
  </si>
  <si>
    <t xml:space="preserve">    SENSORES</t>
  </si>
  <si>
    <t xml:space="preserve">    ACELEROGRAFO</t>
  </si>
  <si>
    <t>OBRAS EXTERIORES</t>
  </si>
  <si>
    <t>OBRAS COMPLEMENTARIAS</t>
  </si>
  <si>
    <t xml:space="preserve">    CONSTRUCCION DE OBRAS EXTERIORES (FECHADA-VEREDA)</t>
  </si>
  <si>
    <t xml:space="preserve">ANALISIS DE GASTOS GENERALES                                                                          </t>
  </si>
  <si>
    <t>Número de Meses</t>
  </si>
  <si>
    <t>Cantidad</t>
  </si>
  <si>
    <t>Un.</t>
  </si>
  <si>
    <t>Valor Unitario Soles</t>
  </si>
  <si>
    <t>Total Soles</t>
  </si>
  <si>
    <t>Incidencia</t>
  </si>
  <si>
    <t>MESES DE PERMANENCIA</t>
  </si>
  <si>
    <t>Mano de Obra</t>
  </si>
  <si>
    <t>GENERAL</t>
  </si>
  <si>
    <t>Oficina Central</t>
  </si>
  <si>
    <t>HMES</t>
  </si>
  <si>
    <t>Jefe de Proyectos</t>
  </si>
  <si>
    <t>Profesional Residente</t>
  </si>
  <si>
    <t>Ingeniero de Campo 1</t>
  </si>
  <si>
    <t>Ingeniero asistente de Campo</t>
  </si>
  <si>
    <t>Arquitecto de acabados</t>
  </si>
  <si>
    <t>Arquitecto asistente de acabados</t>
  </si>
  <si>
    <t xml:space="preserve">Administrador de Obra </t>
  </si>
  <si>
    <t>Ingeniero de Oficina Técnica</t>
  </si>
  <si>
    <t>Ingeniero asistente de OT</t>
  </si>
  <si>
    <t>Coordinador BIM</t>
  </si>
  <si>
    <t>Ingeniero de Calidad junior</t>
  </si>
  <si>
    <t>Prevencionísta 1</t>
  </si>
  <si>
    <t xml:space="preserve">Monitores </t>
  </si>
  <si>
    <t>Monitoreo y control de salud ocupacional</t>
  </si>
  <si>
    <t>Almacenero 1</t>
  </si>
  <si>
    <t>Llaveros para acabados</t>
  </si>
  <si>
    <t>Sub Total</t>
  </si>
  <si>
    <t>Consumos de Obra</t>
  </si>
  <si>
    <t>Demolición</t>
  </si>
  <si>
    <t>E1</t>
  </si>
  <si>
    <t>Combustibles</t>
  </si>
  <si>
    <t>Excavación</t>
  </si>
  <si>
    <t xml:space="preserve">Teléfonos </t>
  </si>
  <si>
    <t>Cimentacion y Cisterna</t>
  </si>
  <si>
    <t>X</t>
  </si>
  <si>
    <t>Copias de planos</t>
  </si>
  <si>
    <t>Sub Estructura</t>
  </si>
  <si>
    <t>Artículos de escritorio</t>
  </si>
  <si>
    <t>Super Estructura</t>
  </si>
  <si>
    <t>Caja Chica</t>
  </si>
  <si>
    <t>Albañilería</t>
  </si>
  <si>
    <t>Acabados</t>
  </si>
  <si>
    <t>Equipos</t>
  </si>
  <si>
    <t>Equipos de computo</t>
  </si>
  <si>
    <t>Varios Seguridad</t>
  </si>
  <si>
    <t>Varios</t>
  </si>
  <si>
    <t>Post venta</t>
  </si>
  <si>
    <t>Seguros sctr</t>
  </si>
  <si>
    <t>Hmes</t>
  </si>
  <si>
    <t>Examenes medicos ocupacionales staff</t>
  </si>
  <si>
    <t>Financiamiento</t>
  </si>
  <si>
    <t>Fianza de Adelanto (10%)</t>
  </si>
  <si>
    <t>Fianza Fiel Cumplimento (10%)</t>
  </si>
  <si>
    <t>Fianza Garantía (0%)</t>
  </si>
  <si>
    <t>Seguro CAR</t>
  </si>
  <si>
    <t>Sencico (0.2% monto facturado)</t>
  </si>
  <si>
    <t>Gasto Social</t>
  </si>
  <si>
    <t>Reparación de vecinos</t>
  </si>
  <si>
    <t>TOTAL GASTOS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</si>
</sst>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"/>
    <numFmt numFmtId="166" formatCode="d/m/yyyy"/>
    <numFmt numFmtId="167" formatCode="#,##0.0"/>
    <numFmt numFmtId="168" formatCode="_-* #,##0.0_-;\-* #,##0.0_-;_-* &quot;-&quot;??_-;_-@"/>
    <numFmt numFmtId="169" formatCode="0.0%"/>
    <numFmt numFmtId="170" formatCode="#,##0.000"/>
  </numFmts>
  <fonts count="18" x14ac:knownFonts="1">
    <font>
      <sz val="11"/>
      <color theme="1"/>
      <name val="Calibri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sz val="8"/>
      <color rgb="FF0000FF"/>
      <name val="Arial"/>
      <family val="2"/>
    </font>
    <font>
      <sz val="8"/>
      <color rgb="FF080000"/>
      <name val="Arial"/>
      <family val="2"/>
    </font>
    <font>
      <sz val="8"/>
      <color rgb="FFFF8000"/>
      <name val="Arial"/>
      <family val="2"/>
    </font>
    <font>
      <sz val="8"/>
      <color rgb="FF80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b/>
      <sz val="8"/>
      <color rgb="FF08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164" fontId="2" fillId="0" borderId="0" xfId="0" applyNumberFormat="1" applyFont="1"/>
    <xf numFmtId="164" fontId="7" fillId="0" borderId="0" xfId="0" applyNumberFormat="1" applyFont="1"/>
    <xf numFmtId="164" fontId="8" fillId="4" borderId="3" xfId="0" applyNumberFormat="1" applyFont="1" applyFill="1" applyBorder="1" applyAlignment="1">
      <alignment vertical="center" wrapText="1"/>
    </xf>
    <xf numFmtId="164" fontId="8" fillId="4" borderId="3" xfId="0" applyNumberFormat="1" applyFont="1" applyFill="1" applyBorder="1" applyAlignment="1">
      <alignment horizontal="center" vertical="center" wrapText="1"/>
    </xf>
    <xf numFmtId="164" fontId="9" fillId="0" borderId="0" xfId="0" applyNumberFormat="1" applyFont="1"/>
    <xf numFmtId="164" fontId="10" fillId="0" borderId="0" xfId="0" applyNumberFormat="1" applyFont="1"/>
    <xf numFmtId="164" fontId="11" fillId="0" borderId="0" xfId="0" applyNumberFormat="1" applyFont="1"/>
    <xf numFmtId="164" fontId="12" fillId="0" borderId="0" xfId="0" applyNumberFormat="1" applyFont="1"/>
    <xf numFmtId="0" fontId="2" fillId="3" borderId="1" xfId="0" applyFont="1" applyFill="1" applyBorder="1"/>
    <xf numFmtId="0" fontId="4" fillId="3" borderId="1" xfId="0" applyFont="1" applyFill="1" applyBorder="1" applyAlignment="1">
      <alignment vertical="center"/>
    </xf>
    <xf numFmtId="3" fontId="4" fillId="3" borderId="1" xfId="0" applyNumberFormat="1" applyFont="1" applyFill="1" applyBorder="1" applyAlignment="1">
      <alignment vertical="center"/>
    </xf>
    <xf numFmtId="10" fontId="4" fillId="3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/>
    <xf numFmtId="166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wrapText="1"/>
    </xf>
    <xf numFmtId="49" fontId="3" fillId="3" borderId="7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center" vertical="center" wrapText="1"/>
    </xf>
    <xf numFmtId="10" fontId="3" fillId="3" borderId="9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9" fontId="14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3" fontId="4" fillId="3" borderId="8" xfId="0" applyNumberFormat="1" applyFont="1" applyFill="1" applyBorder="1" applyAlignment="1">
      <alignment vertical="center"/>
    </xf>
    <xf numFmtId="10" fontId="4" fillId="3" borderId="9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167" fontId="4" fillId="3" borderId="10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4" fontId="4" fillId="3" borderId="12" xfId="0" applyNumberFormat="1" applyFont="1" applyFill="1" applyBorder="1" applyAlignment="1">
      <alignment vertical="center"/>
    </xf>
    <xf numFmtId="3" fontId="4" fillId="3" borderId="13" xfId="0" applyNumberFormat="1" applyFont="1" applyFill="1" applyBorder="1" applyAlignment="1">
      <alignment vertical="center"/>
    </xf>
    <xf numFmtId="10" fontId="4" fillId="3" borderId="14" xfId="0" applyNumberFormat="1" applyFont="1" applyFill="1" applyBorder="1" applyAlignment="1">
      <alignment vertical="center"/>
    </xf>
    <xf numFmtId="167" fontId="4" fillId="3" borderId="1" xfId="0" applyNumberFormat="1" applyFont="1" applyFill="1" applyBorder="1" applyAlignment="1">
      <alignment vertical="center"/>
    </xf>
    <xf numFmtId="167" fontId="15" fillId="3" borderId="1" xfId="0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vertical="center"/>
    </xf>
    <xf numFmtId="164" fontId="4" fillId="3" borderId="16" xfId="0" applyNumberFormat="1" applyFont="1" applyFill="1" applyBorder="1" applyAlignment="1">
      <alignment vertical="center"/>
    </xf>
    <xf numFmtId="164" fontId="4" fillId="0" borderId="17" xfId="0" applyNumberFormat="1" applyFont="1" applyBorder="1" applyAlignment="1">
      <alignment vertical="center"/>
    </xf>
    <xf numFmtId="3" fontId="4" fillId="3" borderId="18" xfId="0" applyNumberFormat="1" applyFont="1" applyFill="1" applyBorder="1" applyAlignment="1">
      <alignment horizontal="center" vertical="center"/>
    </xf>
    <xf numFmtId="3" fontId="4" fillId="0" borderId="17" xfId="0" applyNumberFormat="1" applyFont="1" applyBorder="1" applyAlignment="1">
      <alignment vertical="center"/>
    </xf>
    <xf numFmtId="3" fontId="4" fillId="3" borderId="18" xfId="0" applyNumberFormat="1" applyFont="1" applyFill="1" applyBorder="1" applyAlignment="1">
      <alignment vertical="center"/>
    </xf>
    <xf numFmtId="10" fontId="4" fillId="3" borderId="19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7" fontId="4" fillId="2" borderId="2" xfId="0" applyNumberFormat="1" applyFont="1" applyFill="1" applyBorder="1" applyAlignment="1">
      <alignment horizontal="center" vertical="center"/>
    </xf>
    <xf numFmtId="164" fontId="4" fillId="3" borderId="18" xfId="0" applyNumberFormat="1" applyFont="1" applyFill="1" applyBorder="1" applyAlignment="1">
      <alignment vertical="center"/>
    </xf>
    <xf numFmtId="168" fontId="4" fillId="3" borderId="1" xfId="0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vertical="center"/>
    </xf>
    <xf numFmtId="164" fontId="4" fillId="3" borderId="21" xfId="0" applyNumberFormat="1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3" fontId="3" fillId="3" borderId="8" xfId="0" applyNumberFormat="1" applyFont="1" applyFill="1" applyBorder="1" applyAlignment="1">
      <alignment vertical="center"/>
    </xf>
    <xf numFmtId="10" fontId="3" fillId="3" borderId="9" xfId="0" applyNumberFormat="1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166" fontId="2" fillId="0" borderId="0" xfId="0" applyNumberFormat="1" applyFont="1"/>
    <xf numFmtId="3" fontId="4" fillId="0" borderId="0" xfId="0" applyNumberFormat="1" applyFont="1" applyAlignment="1">
      <alignment vertical="center"/>
    </xf>
    <xf numFmtId="3" fontId="4" fillId="0" borderId="5" xfId="0" applyNumberFormat="1" applyFont="1" applyBorder="1" applyAlignment="1">
      <alignment vertical="center"/>
    </xf>
    <xf numFmtId="0" fontId="16" fillId="5" borderId="2" xfId="0" applyFont="1" applyFill="1" applyBorder="1" applyAlignment="1">
      <alignment horizontal="right" vertical="center"/>
    </xf>
    <xf numFmtId="0" fontId="4" fillId="3" borderId="11" xfId="0" applyFont="1" applyFill="1" applyBorder="1" applyAlignment="1">
      <alignment vertical="center"/>
    </xf>
    <xf numFmtId="164" fontId="4" fillId="0" borderId="16" xfId="0" applyNumberFormat="1" applyFont="1" applyBorder="1" applyAlignment="1">
      <alignment vertical="center"/>
    </xf>
    <xf numFmtId="3" fontId="4" fillId="3" borderId="12" xfId="0" applyNumberFormat="1" applyFont="1" applyFill="1" applyBorder="1" applyAlignment="1">
      <alignment vertical="center"/>
    </xf>
    <xf numFmtId="3" fontId="4" fillId="3" borderId="16" xfId="0" applyNumberFormat="1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0" fontId="16" fillId="5" borderId="7" xfId="0" applyFont="1" applyFill="1" applyBorder="1" applyAlignment="1">
      <alignment horizontal="right" vertical="center"/>
    </xf>
    <xf numFmtId="164" fontId="16" fillId="5" borderId="2" xfId="0" applyNumberFormat="1" applyFont="1" applyFill="1" applyBorder="1" applyAlignment="1">
      <alignment vertical="center"/>
    </xf>
    <xf numFmtId="0" fontId="4" fillId="3" borderId="24" xfId="0" applyFont="1" applyFill="1" applyBorder="1" applyAlignment="1">
      <alignment vertical="center"/>
    </xf>
    <xf numFmtId="3" fontId="4" fillId="3" borderId="25" xfId="0" applyNumberFormat="1" applyFont="1" applyFill="1" applyBorder="1" applyAlignment="1">
      <alignment vertical="center"/>
    </xf>
    <xf numFmtId="0" fontId="4" fillId="3" borderId="25" xfId="0" applyFont="1" applyFill="1" applyBorder="1" applyAlignment="1">
      <alignment vertical="center"/>
    </xf>
    <xf numFmtId="0" fontId="4" fillId="3" borderId="26" xfId="0" applyFont="1" applyFill="1" applyBorder="1" applyAlignment="1">
      <alignment vertical="center"/>
    </xf>
    <xf numFmtId="43" fontId="4" fillId="0" borderId="16" xfId="0" applyNumberFormat="1" applyFont="1" applyBorder="1" applyAlignment="1">
      <alignment vertical="center"/>
    </xf>
    <xf numFmtId="3" fontId="4" fillId="3" borderId="27" xfId="0" applyNumberFormat="1" applyFont="1" applyFill="1" applyBorder="1" applyAlignment="1">
      <alignment vertical="center"/>
    </xf>
    <xf numFmtId="0" fontId="4" fillId="3" borderId="27" xfId="0" applyFont="1" applyFill="1" applyBorder="1" applyAlignment="1">
      <alignment vertical="center"/>
    </xf>
    <xf numFmtId="3" fontId="4" fillId="3" borderId="28" xfId="0" applyNumberFormat="1" applyFont="1" applyFill="1" applyBorder="1" applyAlignment="1">
      <alignment vertical="center"/>
    </xf>
    <xf numFmtId="0" fontId="4" fillId="3" borderId="28" xfId="0" applyFont="1" applyFill="1" applyBorder="1" applyAlignment="1">
      <alignment vertical="center"/>
    </xf>
    <xf numFmtId="167" fontId="4" fillId="0" borderId="17" xfId="0" applyNumberFormat="1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3" fontId="3" fillId="0" borderId="0" xfId="0" applyNumberFormat="1" applyFont="1" applyAlignment="1">
      <alignment vertical="center"/>
    </xf>
    <xf numFmtId="3" fontId="3" fillId="3" borderId="1" xfId="0" applyNumberFormat="1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3" fontId="2" fillId="3" borderId="8" xfId="0" applyNumberFormat="1" applyFont="1" applyFill="1" applyBorder="1" applyAlignment="1">
      <alignment vertical="center"/>
    </xf>
    <xf numFmtId="3" fontId="2" fillId="0" borderId="5" xfId="0" applyNumberFormat="1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3" fontId="4" fillId="3" borderId="9" xfId="0" applyNumberFormat="1" applyFont="1" applyFill="1" applyBorder="1" applyAlignment="1">
      <alignment vertical="center"/>
    </xf>
    <xf numFmtId="169" fontId="4" fillId="3" borderId="12" xfId="0" applyNumberFormat="1" applyFont="1" applyFill="1" applyBorder="1" applyAlignment="1">
      <alignment vertical="center"/>
    </xf>
    <xf numFmtId="4" fontId="4" fillId="3" borderId="12" xfId="0" applyNumberFormat="1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169" fontId="4" fillId="0" borderId="30" xfId="0" applyNumberFormat="1" applyFont="1" applyBorder="1" applyAlignment="1">
      <alignment vertical="center"/>
    </xf>
    <xf numFmtId="4" fontId="4" fillId="0" borderId="30" xfId="0" applyNumberFormat="1" applyFont="1" applyBorder="1" applyAlignment="1">
      <alignment horizontal="center" vertical="center"/>
    </xf>
    <xf numFmtId="4" fontId="4" fillId="3" borderId="16" xfId="0" applyNumberFormat="1" applyFont="1" applyFill="1" applyBorder="1" applyAlignment="1">
      <alignment vertical="center"/>
    </xf>
    <xf numFmtId="4" fontId="4" fillId="3" borderId="16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4" fontId="3" fillId="3" borderId="8" xfId="0" applyNumberFormat="1" applyFont="1" applyFill="1" applyBorder="1" applyAlignment="1">
      <alignment vertical="center"/>
    </xf>
    <xf numFmtId="170" fontId="3" fillId="0" borderId="0" xfId="0" applyNumberFormat="1" applyFont="1" applyAlignment="1">
      <alignment vertical="center"/>
    </xf>
    <xf numFmtId="170" fontId="3" fillId="3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vertical="center"/>
    </xf>
    <xf numFmtId="43" fontId="4" fillId="3" borderId="1" xfId="0" applyNumberFormat="1" applyFont="1" applyFill="1" applyBorder="1" applyAlignment="1">
      <alignment vertical="center"/>
    </xf>
    <xf numFmtId="43" fontId="2" fillId="3" borderId="1" xfId="0" applyNumberFormat="1" applyFont="1" applyFill="1" applyBorder="1" applyAlignment="1">
      <alignment vertical="center"/>
    </xf>
    <xf numFmtId="4" fontId="4" fillId="3" borderId="1" xfId="0" applyNumberFormat="1" applyFont="1" applyFill="1" applyBorder="1" applyAlignment="1">
      <alignment vertical="center"/>
    </xf>
    <xf numFmtId="164" fontId="17" fillId="0" borderId="0" xfId="0" applyNumberFormat="1" applyFont="1"/>
    <xf numFmtId="164" fontId="10" fillId="6" borderId="0" xfId="0" applyNumberFormat="1" applyFont="1" applyFill="1"/>
    <xf numFmtId="164" fontId="17" fillId="6" borderId="0" xfId="0" applyNumberFormat="1" applyFont="1" applyFill="1"/>
    <xf numFmtId="164" fontId="10" fillId="7" borderId="0" xfId="0" applyNumberFormat="1" applyFont="1" applyFill="1"/>
    <xf numFmtId="164" fontId="10" fillId="8" borderId="0" xfId="0" applyNumberFormat="1" applyFont="1" applyFill="1"/>
    <xf numFmtId="0" fontId="13" fillId="3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6" xfId="0" applyFont="1" applyBorder="1"/>
    <xf numFmtId="167" fontId="3" fillId="3" borderId="4" xfId="0" applyNumberFormat="1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1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0"/>
  <sheetViews>
    <sheetView tabSelected="1" workbookViewId="0"/>
  </sheetViews>
  <sheetFormatPr defaultColWidth="14.42578125" defaultRowHeight="15" customHeight="1" x14ac:dyDescent="0.25"/>
  <cols>
    <col min="1" max="1" width="10.7109375" customWidth="1"/>
    <col min="2" max="2" width="10.28515625" customWidth="1"/>
    <col min="3" max="3" width="62.28515625" customWidth="1"/>
    <col min="4" max="4" width="3.7109375" customWidth="1"/>
    <col min="5" max="5" width="8.28515625" customWidth="1"/>
    <col min="6" max="6" width="10" customWidth="1"/>
    <col min="7" max="7" width="14.28515625" customWidth="1"/>
    <col min="8" max="8" width="8.7109375" customWidth="1"/>
    <col min="9" max="9" width="13.28515625" customWidth="1"/>
    <col min="10" max="26" width="10.7109375" customWidth="1"/>
  </cols>
  <sheetData>
    <row r="1" spans="2:9" x14ac:dyDescent="0.25">
      <c r="B1" s="1"/>
      <c r="C1" s="1"/>
      <c r="D1" s="1"/>
      <c r="E1" s="1"/>
      <c r="F1" s="1"/>
      <c r="G1" s="2">
        <f>G3+0+0+0+0+0+0+0+0</f>
        <v>1350752.09</v>
      </c>
      <c r="H1" s="1"/>
      <c r="I1" s="2">
        <f>I3+0+0+0+0+0+0+0+0</f>
        <v>2968</v>
      </c>
    </row>
    <row r="2" spans="2:9" ht="33.75" x14ac:dyDescent="0.25">
      <c r="B2" s="3" t="s">
        <v>3</v>
      </c>
      <c r="C2" s="3" t="s">
        <v>4</v>
      </c>
      <c r="D2" s="3" t="s">
        <v>5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</row>
    <row r="3" spans="2:9" x14ac:dyDescent="0.25">
      <c r="B3" s="2" t="s">
        <v>14</v>
      </c>
      <c r="C3" s="2" t="s">
        <v>15</v>
      </c>
      <c r="D3" s="1"/>
      <c r="E3" s="1"/>
      <c r="F3" s="1"/>
      <c r="G3" s="2">
        <v>1350752.09</v>
      </c>
      <c r="H3" s="1"/>
      <c r="I3" s="2">
        <v>2968</v>
      </c>
    </row>
    <row r="4" spans="2:9" x14ac:dyDescent="0.25">
      <c r="B4" s="5" t="s">
        <v>16</v>
      </c>
      <c r="C4" s="5" t="s">
        <v>17</v>
      </c>
      <c r="D4" s="1"/>
      <c r="E4" s="1"/>
      <c r="F4" s="1"/>
      <c r="G4" s="5">
        <v>125992.01</v>
      </c>
      <c r="H4" s="1"/>
      <c r="I4" s="5">
        <v>0</v>
      </c>
    </row>
    <row r="5" spans="2:9" x14ac:dyDescent="0.25">
      <c r="B5" s="6" t="s">
        <v>18</v>
      </c>
      <c r="C5" s="6" t="s">
        <v>19</v>
      </c>
      <c r="D5" s="6" t="s">
        <v>20</v>
      </c>
      <c r="E5" s="6">
        <v>1</v>
      </c>
      <c r="F5" s="6">
        <v>7904.33</v>
      </c>
      <c r="G5" s="6">
        <v>7904.33</v>
      </c>
      <c r="H5" s="6">
        <v>0</v>
      </c>
      <c r="I5" s="6">
        <v>0</v>
      </c>
    </row>
    <row r="6" spans="2:9" x14ac:dyDescent="0.25">
      <c r="B6" s="6" t="s">
        <v>21</v>
      </c>
      <c r="C6" s="6" t="s">
        <v>22</v>
      </c>
      <c r="D6" s="6" t="s">
        <v>20</v>
      </c>
      <c r="E6" s="6">
        <v>1</v>
      </c>
      <c r="F6" s="6">
        <v>61868.88</v>
      </c>
      <c r="G6" s="6">
        <v>61868.88</v>
      </c>
      <c r="H6" s="6">
        <v>0</v>
      </c>
      <c r="I6" s="6">
        <v>0</v>
      </c>
    </row>
    <row r="7" spans="2:9" x14ac:dyDescent="0.25">
      <c r="B7" s="6" t="s">
        <v>23</v>
      </c>
      <c r="C7" s="6" t="s">
        <v>24</v>
      </c>
      <c r="D7" s="6" t="s">
        <v>25</v>
      </c>
      <c r="E7" s="6">
        <v>11</v>
      </c>
      <c r="F7" s="6">
        <v>1000.8</v>
      </c>
      <c r="G7" s="6">
        <v>11008.8</v>
      </c>
      <c r="H7" s="6">
        <v>0</v>
      </c>
      <c r="I7" s="6">
        <v>0</v>
      </c>
    </row>
    <row r="8" spans="2:9" x14ac:dyDescent="0.25">
      <c r="B8" s="6" t="s">
        <v>26</v>
      </c>
      <c r="C8" s="6" t="s">
        <v>27</v>
      </c>
      <c r="D8" s="6" t="s">
        <v>25</v>
      </c>
      <c r="E8" s="6">
        <v>11</v>
      </c>
      <c r="F8" s="6">
        <v>3510</v>
      </c>
      <c r="G8" s="6">
        <v>38610</v>
      </c>
      <c r="H8" s="6">
        <v>0</v>
      </c>
      <c r="I8" s="6">
        <v>0</v>
      </c>
    </row>
    <row r="9" spans="2:9" x14ac:dyDescent="0.25">
      <c r="B9" s="6" t="s">
        <v>28</v>
      </c>
      <c r="C9" s="6" t="s">
        <v>29</v>
      </c>
      <c r="D9" s="6" t="s">
        <v>25</v>
      </c>
      <c r="E9" s="6">
        <v>11</v>
      </c>
      <c r="F9" s="6">
        <v>600</v>
      </c>
      <c r="G9" s="6">
        <v>6600</v>
      </c>
      <c r="H9" s="6">
        <v>0</v>
      </c>
      <c r="I9" s="6">
        <v>0</v>
      </c>
    </row>
    <row r="10" spans="2:9" x14ac:dyDescent="0.25">
      <c r="B10" s="5" t="s">
        <v>30</v>
      </c>
      <c r="C10" s="5" t="s">
        <v>31</v>
      </c>
      <c r="D10" s="1"/>
      <c r="E10" s="1"/>
      <c r="F10" s="1"/>
      <c r="G10" s="5">
        <v>121866.23</v>
      </c>
      <c r="H10" s="1"/>
      <c r="I10" s="5">
        <v>468</v>
      </c>
    </row>
    <row r="11" spans="2:9" x14ac:dyDescent="0.25">
      <c r="B11" s="6" t="s">
        <v>32</v>
      </c>
      <c r="C11" s="6" t="s">
        <v>33</v>
      </c>
      <c r="D11" s="6" t="s">
        <v>34</v>
      </c>
      <c r="E11" s="6">
        <v>66</v>
      </c>
      <c r="F11" s="6">
        <v>120</v>
      </c>
      <c r="G11" s="6">
        <v>7920</v>
      </c>
      <c r="H11" s="6">
        <v>0</v>
      </c>
      <c r="I11" s="6">
        <v>0</v>
      </c>
    </row>
    <row r="12" spans="2:9" x14ac:dyDescent="0.25">
      <c r="B12" s="6" t="s">
        <v>35</v>
      </c>
      <c r="C12" s="6" t="s">
        <v>36</v>
      </c>
      <c r="D12" s="6" t="s">
        <v>34</v>
      </c>
      <c r="E12" s="6">
        <v>12</v>
      </c>
      <c r="F12" s="6">
        <v>420</v>
      </c>
      <c r="G12" s="6">
        <v>5040</v>
      </c>
      <c r="H12" s="6">
        <v>0</v>
      </c>
      <c r="I12" s="6">
        <v>0</v>
      </c>
    </row>
    <row r="13" spans="2:9" x14ac:dyDescent="0.25">
      <c r="B13" s="6" t="s">
        <v>37</v>
      </c>
      <c r="C13" s="6" t="s">
        <v>38</v>
      </c>
      <c r="D13" s="6" t="s">
        <v>25</v>
      </c>
      <c r="E13" s="6">
        <v>2</v>
      </c>
      <c r="F13" s="6">
        <v>3400</v>
      </c>
      <c r="G13" s="6">
        <v>6800</v>
      </c>
      <c r="H13" s="6">
        <v>0</v>
      </c>
      <c r="I13" s="6">
        <v>0</v>
      </c>
    </row>
    <row r="14" spans="2:9" x14ac:dyDescent="0.25">
      <c r="B14" s="6" t="s">
        <v>39</v>
      </c>
      <c r="C14" s="6" t="s">
        <v>40</v>
      </c>
      <c r="D14" s="6" t="s">
        <v>25</v>
      </c>
      <c r="E14" s="6">
        <v>3</v>
      </c>
      <c r="F14" s="6">
        <v>1700</v>
      </c>
      <c r="G14" s="6">
        <v>5100</v>
      </c>
      <c r="H14" s="6">
        <v>0</v>
      </c>
      <c r="I14" s="6">
        <v>0</v>
      </c>
    </row>
    <row r="15" spans="2:9" x14ac:dyDescent="0.25">
      <c r="B15" s="6" t="s">
        <v>41</v>
      </c>
      <c r="C15" s="6" t="s">
        <v>42</v>
      </c>
      <c r="D15" s="6" t="s">
        <v>20</v>
      </c>
      <c r="E15" s="6">
        <v>1</v>
      </c>
      <c r="F15" s="6">
        <v>6780</v>
      </c>
      <c r="G15" s="6">
        <v>6780</v>
      </c>
      <c r="H15" s="6">
        <v>0</v>
      </c>
      <c r="I15" s="6">
        <v>0</v>
      </c>
    </row>
    <row r="16" spans="2:9" x14ac:dyDescent="0.25">
      <c r="B16" s="6" t="s">
        <v>43</v>
      </c>
      <c r="C16" s="6" t="s">
        <v>44</v>
      </c>
      <c r="D16" s="6" t="s">
        <v>25</v>
      </c>
      <c r="E16" s="6">
        <v>2</v>
      </c>
      <c r="F16" s="6">
        <v>4075</v>
      </c>
      <c r="G16" s="6">
        <v>8150</v>
      </c>
      <c r="H16" s="6">
        <v>0</v>
      </c>
      <c r="I16" s="6">
        <v>0</v>
      </c>
    </row>
    <row r="17" spans="2:9" x14ac:dyDescent="0.25">
      <c r="B17" s="6" t="s">
        <v>45</v>
      </c>
      <c r="C17" s="6" t="s">
        <v>46</v>
      </c>
      <c r="D17" s="6" t="s">
        <v>25</v>
      </c>
      <c r="E17" s="6">
        <v>2</v>
      </c>
      <c r="F17" s="6">
        <v>3056.25</v>
      </c>
      <c r="G17" s="6">
        <v>6112.5</v>
      </c>
      <c r="H17" s="6">
        <v>0</v>
      </c>
      <c r="I17" s="6">
        <v>0</v>
      </c>
    </row>
    <row r="18" spans="2:9" x14ac:dyDescent="0.25">
      <c r="B18" s="6" t="s">
        <v>47</v>
      </c>
      <c r="C18" s="6" t="s">
        <v>48</v>
      </c>
      <c r="D18" s="6" t="s">
        <v>20</v>
      </c>
      <c r="E18" s="6">
        <v>1</v>
      </c>
      <c r="F18" s="6">
        <v>5600</v>
      </c>
      <c r="G18" s="6">
        <v>5600</v>
      </c>
      <c r="H18" s="6">
        <v>468</v>
      </c>
      <c r="I18" s="6">
        <v>468</v>
      </c>
    </row>
    <row r="19" spans="2:9" x14ac:dyDescent="0.25">
      <c r="B19" s="6" t="s">
        <v>49</v>
      </c>
      <c r="C19" s="6" t="s">
        <v>50</v>
      </c>
      <c r="D19" s="6" t="s">
        <v>20</v>
      </c>
      <c r="E19" s="6">
        <v>1</v>
      </c>
      <c r="F19" s="6">
        <v>11400</v>
      </c>
      <c r="G19" s="6">
        <v>11400</v>
      </c>
      <c r="H19" s="6">
        <v>0</v>
      </c>
      <c r="I19" s="6">
        <v>0</v>
      </c>
    </row>
    <row r="20" spans="2:9" x14ac:dyDescent="0.25">
      <c r="B20" s="6" t="s">
        <v>51</v>
      </c>
      <c r="C20" s="6" t="s">
        <v>52</v>
      </c>
      <c r="D20" s="6" t="s">
        <v>20</v>
      </c>
      <c r="E20" s="6">
        <v>1</v>
      </c>
      <c r="F20" s="6">
        <v>4250</v>
      </c>
      <c r="G20" s="6">
        <v>4250</v>
      </c>
      <c r="H20" s="6">
        <v>0</v>
      </c>
      <c r="I20" s="6">
        <v>0</v>
      </c>
    </row>
    <row r="21" spans="2:9" ht="15.75" customHeight="1" x14ac:dyDescent="0.25">
      <c r="B21" s="6" t="s">
        <v>53</v>
      </c>
      <c r="C21" s="6" t="s">
        <v>54</v>
      </c>
      <c r="D21" s="6" t="s">
        <v>20</v>
      </c>
      <c r="E21" s="6">
        <v>1</v>
      </c>
      <c r="F21" s="6">
        <v>4250</v>
      </c>
      <c r="G21" s="6">
        <v>4250</v>
      </c>
      <c r="H21" s="6">
        <v>0</v>
      </c>
      <c r="I21" s="6">
        <v>0</v>
      </c>
    </row>
    <row r="22" spans="2:9" ht="15.75" customHeight="1" x14ac:dyDescent="0.25">
      <c r="B22" s="6" t="s">
        <v>55</v>
      </c>
      <c r="C22" s="6" t="s">
        <v>56</v>
      </c>
      <c r="D22" s="6" t="s">
        <v>20</v>
      </c>
      <c r="E22" s="6">
        <v>1</v>
      </c>
      <c r="F22" s="6">
        <v>3235</v>
      </c>
      <c r="G22" s="6">
        <v>3235</v>
      </c>
      <c r="H22" s="6">
        <v>0</v>
      </c>
      <c r="I22" s="6">
        <v>0</v>
      </c>
    </row>
    <row r="23" spans="2:9" ht="15.75" customHeight="1" x14ac:dyDescent="0.25">
      <c r="B23" s="6" t="s">
        <v>57</v>
      </c>
      <c r="C23" s="6" t="s">
        <v>58</v>
      </c>
      <c r="D23" s="6" t="s">
        <v>20</v>
      </c>
      <c r="E23" s="6">
        <v>1</v>
      </c>
      <c r="F23" s="6">
        <v>1695</v>
      </c>
      <c r="G23" s="6">
        <v>1695</v>
      </c>
      <c r="H23" s="6">
        <v>0</v>
      </c>
      <c r="I23" s="6">
        <v>0</v>
      </c>
    </row>
    <row r="24" spans="2:9" ht="15.75" customHeight="1" x14ac:dyDescent="0.25">
      <c r="B24" s="6" t="s">
        <v>59</v>
      </c>
      <c r="C24" s="6" t="s">
        <v>60</v>
      </c>
      <c r="D24" s="6" t="s">
        <v>20</v>
      </c>
      <c r="E24" s="6">
        <v>1</v>
      </c>
      <c r="F24" s="6">
        <v>5700</v>
      </c>
      <c r="G24" s="6">
        <v>5700</v>
      </c>
      <c r="H24" s="6">
        <v>0</v>
      </c>
      <c r="I24" s="6">
        <v>0</v>
      </c>
    </row>
    <row r="25" spans="2:9" ht="15.75" customHeight="1" x14ac:dyDescent="0.25">
      <c r="B25" s="6" t="s">
        <v>61</v>
      </c>
      <c r="C25" s="6" t="s">
        <v>62</v>
      </c>
      <c r="D25" s="6" t="s">
        <v>20</v>
      </c>
      <c r="E25" s="6">
        <v>1</v>
      </c>
      <c r="F25" s="6">
        <v>6618.54</v>
      </c>
      <c r="G25" s="6">
        <v>6618.54</v>
      </c>
      <c r="H25" s="6">
        <v>0</v>
      </c>
      <c r="I25" s="6">
        <v>0</v>
      </c>
    </row>
    <row r="26" spans="2:9" ht="15.75" customHeight="1" x14ac:dyDescent="0.25">
      <c r="B26" s="6" t="s">
        <v>63</v>
      </c>
      <c r="C26" s="6" t="s">
        <v>64</v>
      </c>
      <c r="D26" s="6" t="s">
        <v>20</v>
      </c>
      <c r="E26" s="6">
        <v>1</v>
      </c>
      <c r="F26" s="6">
        <v>8974.15</v>
      </c>
      <c r="G26" s="6">
        <v>8974.15</v>
      </c>
      <c r="H26" s="6">
        <v>0</v>
      </c>
      <c r="I26" s="6">
        <v>0</v>
      </c>
    </row>
    <row r="27" spans="2:9" ht="15.75" customHeight="1" x14ac:dyDescent="0.25">
      <c r="B27" s="6" t="s">
        <v>65</v>
      </c>
      <c r="C27" s="6" t="s">
        <v>66</v>
      </c>
      <c r="D27" s="6" t="s">
        <v>20</v>
      </c>
      <c r="E27" s="6">
        <v>1</v>
      </c>
      <c r="F27" s="6">
        <v>1100</v>
      </c>
      <c r="G27" s="6">
        <v>1100</v>
      </c>
      <c r="H27" s="6">
        <v>0</v>
      </c>
      <c r="I27" s="6">
        <v>0</v>
      </c>
    </row>
    <row r="28" spans="2:9" ht="15.75" customHeight="1" x14ac:dyDescent="0.25">
      <c r="B28" s="6" t="s">
        <v>67</v>
      </c>
      <c r="C28" s="6" t="s">
        <v>68</v>
      </c>
      <c r="D28" s="6" t="s">
        <v>25</v>
      </c>
      <c r="E28" s="6">
        <v>2</v>
      </c>
      <c r="F28" s="6">
        <v>3160.44</v>
      </c>
      <c r="G28" s="6">
        <v>6320.88</v>
      </c>
      <c r="H28" s="6">
        <v>0</v>
      </c>
      <c r="I28" s="6">
        <v>0</v>
      </c>
    </row>
    <row r="29" spans="2:9" ht="15.75" customHeight="1" x14ac:dyDescent="0.25">
      <c r="B29" s="6" t="s">
        <v>69</v>
      </c>
      <c r="C29" s="6" t="s">
        <v>70</v>
      </c>
      <c r="D29" s="6" t="s">
        <v>20</v>
      </c>
      <c r="E29" s="6">
        <v>1</v>
      </c>
      <c r="F29" s="6">
        <v>3760.16</v>
      </c>
      <c r="G29" s="6">
        <v>3760.16</v>
      </c>
      <c r="H29" s="6">
        <v>0</v>
      </c>
      <c r="I29" s="6">
        <v>0</v>
      </c>
    </row>
    <row r="30" spans="2:9" ht="15.75" customHeight="1" x14ac:dyDescent="0.25">
      <c r="B30" s="6" t="s">
        <v>71</v>
      </c>
      <c r="C30" s="6" t="s">
        <v>72</v>
      </c>
      <c r="D30" s="6" t="s">
        <v>25</v>
      </c>
      <c r="E30" s="6">
        <v>2</v>
      </c>
      <c r="F30" s="6">
        <v>6530</v>
      </c>
      <c r="G30" s="6">
        <v>13060</v>
      </c>
      <c r="H30" s="6">
        <v>0</v>
      </c>
      <c r="I30" s="6">
        <v>0</v>
      </c>
    </row>
    <row r="31" spans="2:9" ht="15.75" customHeight="1" x14ac:dyDescent="0.25">
      <c r="B31" s="5" t="s">
        <v>73</v>
      </c>
      <c r="C31" s="5" t="s">
        <v>74</v>
      </c>
      <c r="D31" s="1"/>
      <c r="E31" s="1"/>
      <c r="F31" s="1"/>
      <c r="G31" s="5">
        <v>44800</v>
      </c>
      <c r="H31" s="1"/>
      <c r="I31" s="5">
        <v>0</v>
      </c>
    </row>
    <row r="32" spans="2:9" ht="15.75" customHeight="1" x14ac:dyDescent="0.25">
      <c r="B32" s="6" t="s">
        <v>75</v>
      </c>
      <c r="C32" s="6" t="s">
        <v>76</v>
      </c>
      <c r="D32" s="6" t="s">
        <v>77</v>
      </c>
      <c r="E32" s="6">
        <v>18</v>
      </c>
      <c r="F32" s="6">
        <v>800</v>
      </c>
      <c r="G32" s="6">
        <v>14400</v>
      </c>
      <c r="H32" s="6">
        <v>0</v>
      </c>
      <c r="I32" s="6">
        <v>0</v>
      </c>
    </row>
    <row r="33" spans="2:9" ht="15.75" customHeight="1" x14ac:dyDescent="0.25">
      <c r="B33" s="6" t="s">
        <v>78</v>
      </c>
      <c r="C33" s="6" t="s">
        <v>79</v>
      </c>
      <c r="D33" s="6" t="s">
        <v>77</v>
      </c>
      <c r="E33" s="6">
        <v>38</v>
      </c>
      <c r="F33" s="6">
        <v>800</v>
      </c>
      <c r="G33" s="6">
        <v>30400</v>
      </c>
      <c r="H33" s="6">
        <v>0</v>
      </c>
      <c r="I33" s="6">
        <v>0</v>
      </c>
    </row>
    <row r="34" spans="2:9" ht="15.75" customHeight="1" x14ac:dyDescent="0.25">
      <c r="B34" s="5" t="s">
        <v>80</v>
      </c>
      <c r="C34" s="5" t="s">
        <v>81</v>
      </c>
      <c r="D34" s="1"/>
      <c r="E34" s="1"/>
      <c r="F34" s="1"/>
      <c r="G34" s="5">
        <v>386747.12</v>
      </c>
      <c r="H34" s="1"/>
      <c r="I34" s="5">
        <v>2500</v>
      </c>
    </row>
    <row r="35" spans="2:9" ht="15.75" customHeight="1" x14ac:dyDescent="0.25">
      <c r="B35" s="6" t="s">
        <v>82</v>
      </c>
      <c r="C35" s="6" t="s">
        <v>83</v>
      </c>
      <c r="D35" s="6" t="s">
        <v>20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</row>
    <row r="36" spans="2:9" ht="15.75" customHeight="1" x14ac:dyDescent="0.25">
      <c r="B36" s="6" t="s">
        <v>84</v>
      </c>
      <c r="C36" s="6" t="s">
        <v>85</v>
      </c>
      <c r="D36" s="6" t="s">
        <v>25</v>
      </c>
      <c r="E36" s="6">
        <v>2</v>
      </c>
      <c r="F36" s="6">
        <v>7994</v>
      </c>
      <c r="G36" s="6">
        <v>15988</v>
      </c>
      <c r="H36" s="6">
        <v>1250</v>
      </c>
      <c r="I36" s="6">
        <v>2500</v>
      </c>
    </row>
    <row r="37" spans="2:9" ht="15.75" customHeight="1" x14ac:dyDescent="0.25">
      <c r="B37" s="6" t="s">
        <v>86</v>
      </c>
      <c r="C37" s="6" t="s">
        <v>87</v>
      </c>
      <c r="D37" s="6" t="s">
        <v>20</v>
      </c>
      <c r="E37" s="6">
        <v>1</v>
      </c>
      <c r="F37" s="6">
        <v>137320</v>
      </c>
      <c r="G37" s="6">
        <v>137320</v>
      </c>
      <c r="H37" s="6">
        <v>0</v>
      </c>
      <c r="I37" s="6">
        <v>0</v>
      </c>
    </row>
    <row r="38" spans="2:9" ht="15.75" customHeight="1" x14ac:dyDescent="0.25">
      <c r="B38" s="6" t="s">
        <v>88</v>
      </c>
      <c r="C38" s="6" t="s">
        <v>89</v>
      </c>
      <c r="D38" s="6" t="s">
        <v>20</v>
      </c>
      <c r="E38" s="6">
        <v>1</v>
      </c>
      <c r="F38" s="6">
        <v>233439.12</v>
      </c>
      <c r="G38" s="6">
        <v>233439.12</v>
      </c>
      <c r="H38" s="6">
        <v>0</v>
      </c>
      <c r="I38" s="6">
        <v>0</v>
      </c>
    </row>
    <row r="39" spans="2:9" ht="15.75" customHeight="1" x14ac:dyDescent="0.25">
      <c r="B39" s="5" t="s">
        <v>90</v>
      </c>
      <c r="C39" s="5" t="s">
        <v>91</v>
      </c>
      <c r="D39" s="1"/>
      <c r="E39" s="1"/>
      <c r="F39" s="1"/>
      <c r="G39" s="5">
        <v>145377.75</v>
      </c>
      <c r="H39" s="1"/>
      <c r="I39" s="5">
        <v>0</v>
      </c>
    </row>
    <row r="40" spans="2:9" ht="15.75" customHeight="1" x14ac:dyDescent="0.25">
      <c r="B40" s="6" t="s">
        <v>92</v>
      </c>
      <c r="C40" s="6" t="s">
        <v>93</v>
      </c>
      <c r="D40" s="6" t="s">
        <v>25</v>
      </c>
      <c r="E40" s="6">
        <v>10.5</v>
      </c>
      <c r="F40" s="6">
        <v>9764.5</v>
      </c>
      <c r="G40" s="6">
        <v>102527.25</v>
      </c>
      <c r="H40" s="6">
        <v>0</v>
      </c>
      <c r="I40" s="6">
        <v>0</v>
      </c>
    </row>
    <row r="41" spans="2:9" ht="15.75" customHeight="1" x14ac:dyDescent="0.25">
      <c r="B41" s="6" t="s">
        <v>94</v>
      </c>
      <c r="C41" s="6" t="s">
        <v>95</v>
      </c>
      <c r="D41" s="6" t="s">
        <v>25</v>
      </c>
      <c r="E41" s="6">
        <v>5.5</v>
      </c>
      <c r="F41" s="6">
        <v>7791</v>
      </c>
      <c r="G41" s="6">
        <v>42850.5</v>
      </c>
      <c r="H41" s="6">
        <v>0</v>
      </c>
      <c r="I41" s="6">
        <v>0</v>
      </c>
    </row>
    <row r="42" spans="2:9" ht="15.75" customHeight="1" x14ac:dyDescent="0.25">
      <c r="B42" s="5" t="s">
        <v>96</v>
      </c>
      <c r="C42" s="5" t="s">
        <v>97</v>
      </c>
      <c r="D42" s="1"/>
      <c r="E42" s="1"/>
      <c r="F42" s="1"/>
      <c r="G42" s="5">
        <v>144643.69</v>
      </c>
      <c r="H42" s="1"/>
      <c r="I42" s="5">
        <v>0</v>
      </c>
    </row>
    <row r="43" spans="2:9" ht="15.75" customHeight="1" x14ac:dyDescent="0.25">
      <c r="B43" s="6" t="s">
        <v>98</v>
      </c>
      <c r="C43" s="6" t="s">
        <v>99</v>
      </c>
      <c r="D43" s="6" t="s">
        <v>25</v>
      </c>
      <c r="E43" s="6">
        <v>12</v>
      </c>
      <c r="F43" s="6">
        <v>3232</v>
      </c>
      <c r="G43" s="6">
        <v>38784</v>
      </c>
      <c r="H43" s="6">
        <v>0</v>
      </c>
      <c r="I43" s="6">
        <v>0</v>
      </c>
    </row>
    <row r="44" spans="2:9" ht="15.75" customHeight="1" x14ac:dyDescent="0.25">
      <c r="B44" s="6" t="s">
        <v>100</v>
      </c>
      <c r="C44" s="6" t="s">
        <v>101</v>
      </c>
      <c r="D44" s="6" t="s">
        <v>102</v>
      </c>
      <c r="E44" s="6">
        <v>1260</v>
      </c>
      <c r="F44" s="6">
        <v>45</v>
      </c>
      <c r="G44" s="6">
        <v>56700</v>
      </c>
      <c r="H44" s="6">
        <v>0</v>
      </c>
      <c r="I44" s="6">
        <v>0</v>
      </c>
    </row>
    <row r="45" spans="2:9" ht="15.75" customHeight="1" x14ac:dyDescent="0.25">
      <c r="B45" s="6" t="s">
        <v>103</v>
      </c>
      <c r="C45" s="6" t="s">
        <v>104</v>
      </c>
      <c r="D45" s="6" t="s">
        <v>105</v>
      </c>
      <c r="E45" s="6">
        <v>4672.18</v>
      </c>
      <c r="F45" s="6">
        <v>3.3</v>
      </c>
      <c r="G45" s="6">
        <v>15418.19</v>
      </c>
      <c r="H45" s="6">
        <v>0</v>
      </c>
      <c r="I45" s="6">
        <v>0</v>
      </c>
    </row>
    <row r="46" spans="2:9" ht="15.75" customHeight="1" x14ac:dyDescent="0.25">
      <c r="B46" s="6" t="s">
        <v>106</v>
      </c>
      <c r="C46" s="6" t="s">
        <v>107</v>
      </c>
      <c r="D46" s="6" t="s">
        <v>105</v>
      </c>
      <c r="E46" s="6">
        <v>6488.75</v>
      </c>
      <c r="F46" s="6">
        <v>5.2</v>
      </c>
      <c r="G46" s="6">
        <v>33741.5</v>
      </c>
      <c r="H46" s="6">
        <v>0</v>
      </c>
      <c r="I46" s="6">
        <v>0</v>
      </c>
    </row>
    <row r="47" spans="2:9" ht="15.75" customHeight="1" x14ac:dyDescent="0.25">
      <c r="B47" s="5" t="s">
        <v>108</v>
      </c>
      <c r="C47" s="5" t="s">
        <v>109</v>
      </c>
      <c r="D47" s="1"/>
      <c r="E47" s="1"/>
      <c r="F47" s="1"/>
      <c r="G47" s="5">
        <v>21510</v>
      </c>
      <c r="H47" s="1"/>
      <c r="I47" s="5">
        <v>0</v>
      </c>
    </row>
    <row r="48" spans="2:9" ht="15.75" customHeight="1" x14ac:dyDescent="0.25">
      <c r="B48" s="6" t="s">
        <v>110</v>
      </c>
      <c r="C48" s="6" t="s">
        <v>111</v>
      </c>
      <c r="D48" s="6" t="s">
        <v>112</v>
      </c>
      <c r="E48" s="6">
        <v>239</v>
      </c>
      <c r="F48" s="6">
        <v>90</v>
      </c>
      <c r="G48" s="6">
        <v>21510</v>
      </c>
      <c r="H48" s="6">
        <v>0</v>
      </c>
      <c r="I48" s="6">
        <v>0</v>
      </c>
    </row>
    <row r="49" spans="2:9" ht="15.75" customHeight="1" x14ac:dyDescent="0.25">
      <c r="B49" s="5" t="s">
        <v>113</v>
      </c>
      <c r="C49" s="5" t="s">
        <v>114</v>
      </c>
      <c r="D49" s="1"/>
      <c r="E49" s="1"/>
      <c r="F49" s="1"/>
      <c r="G49" s="5">
        <v>63800</v>
      </c>
      <c r="H49" s="1"/>
      <c r="I49" s="5">
        <v>0</v>
      </c>
    </row>
    <row r="50" spans="2:9" ht="15.75" customHeight="1" x14ac:dyDescent="0.25">
      <c r="B50" s="6" t="s">
        <v>115</v>
      </c>
      <c r="C50" s="6" t="s">
        <v>116</v>
      </c>
      <c r="D50" s="6" t="s">
        <v>25</v>
      </c>
      <c r="E50" s="6">
        <v>11</v>
      </c>
      <c r="F50" s="6">
        <v>5800</v>
      </c>
      <c r="G50" s="6">
        <v>63800</v>
      </c>
      <c r="H50" s="6">
        <v>0</v>
      </c>
      <c r="I50" s="6">
        <v>0</v>
      </c>
    </row>
    <row r="51" spans="2:9" ht="15.75" customHeight="1" x14ac:dyDescent="0.25">
      <c r="B51" s="5" t="s">
        <v>117</v>
      </c>
      <c r="C51" s="5" t="s">
        <v>118</v>
      </c>
      <c r="D51" s="1"/>
      <c r="E51" s="1"/>
      <c r="F51" s="1"/>
      <c r="G51" s="5">
        <v>243015.29</v>
      </c>
      <c r="H51" s="1"/>
      <c r="I51" s="5">
        <v>0</v>
      </c>
    </row>
    <row r="52" spans="2:9" ht="15.75" customHeight="1" x14ac:dyDescent="0.25">
      <c r="B52" s="6" t="s">
        <v>119</v>
      </c>
      <c r="C52" s="6" t="s">
        <v>120</v>
      </c>
      <c r="D52" s="6" t="s">
        <v>112</v>
      </c>
      <c r="E52" s="6">
        <v>90</v>
      </c>
      <c r="F52" s="6">
        <v>120</v>
      </c>
      <c r="G52" s="6">
        <v>10800</v>
      </c>
      <c r="H52" s="6">
        <v>0</v>
      </c>
      <c r="I52" s="6">
        <v>0</v>
      </c>
    </row>
    <row r="53" spans="2:9" ht="15.75" customHeight="1" x14ac:dyDescent="0.25">
      <c r="B53" s="6" t="s">
        <v>121</v>
      </c>
      <c r="C53" s="6" t="s">
        <v>122</v>
      </c>
      <c r="D53" s="6" t="s">
        <v>112</v>
      </c>
      <c r="E53" s="6">
        <v>1</v>
      </c>
      <c r="F53" s="6">
        <v>71501.25</v>
      </c>
      <c r="G53" s="6">
        <v>71501.25</v>
      </c>
      <c r="H53" s="6">
        <v>0</v>
      </c>
      <c r="I53" s="6">
        <v>0</v>
      </c>
    </row>
    <row r="54" spans="2:9" ht="15.75" customHeight="1" x14ac:dyDescent="0.25">
      <c r="B54" s="6" t="s">
        <v>123</v>
      </c>
      <c r="C54" s="6" t="s">
        <v>124</v>
      </c>
      <c r="D54" s="6" t="s">
        <v>20</v>
      </c>
      <c r="E54" s="6">
        <v>1</v>
      </c>
      <c r="F54" s="6">
        <v>68619.240000000005</v>
      </c>
      <c r="G54" s="6">
        <v>68619.240000000005</v>
      </c>
      <c r="H54" s="6">
        <v>0</v>
      </c>
      <c r="I54" s="6">
        <v>0</v>
      </c>
    </row>
    <row r="55" spans="2:9" ht="15.75" customHeight="1" x14ac:dyDescent="0.25">
      <c r="B55" s="6" t="s">
        <v>125</v>
      </c>
      <c r="C55" s="6" t="s">
        <v>126</v>
      </c>
      <c r="D55" s="6" t="s">
        <v>20</v>
      </c>
      <c r="E55" s="6">
        <v>1</v>
      </c>
      <c r="F55" s="6">
        <v>20000</v>
      </c>
      <c r="G55" s="6">
        <v>20000</v>
      </c>
      <c r="H55" s="6">
        <v>0</v>
      </c>
      <c r="I55" s="6">
        <v>0</v>
      </c>
    </row>
    <row r="56" spans="2:9" ht="15.75" customHeight="1" x14ac:dyDescent="0.25">
      <c r="B56" s="6" t="s">
        <v>127</v>
      </c>
      <c r="C56" s="6" t="s">
        <v>128</v>
      </c>
      <c r="D56" s="6" t="s">
        <v>20</v>
      </c>
      <c r="E56" s="6">
        <v>1</v>
      </c>
      <c r="F56" s="6">
        <v>3260</v>
      </c>
      <c r="G56" s="6">
        <v>3260</v>
      </c>
      <c r="H56" s="6">
        <v>0</v>
      </c>
      <c r="I56" s="6">
        <v>0</v>
      </c>
    </row>
    <row r="57" spans="2:9" ht="15.75" customHeight="1" x14ac:dyDescent="0.25">
      <c r="B57" s="6" t="s">
        <v>129</v>
      </c>
      <c r="C57" s="6" t="s">
        <v>130</v>
      </c>
      <c r="D57" s="6" t="s">
        <v>112</v>
      </c>
      <c r="E57" s="6">
        <v>2</v>
      </c>
      <c r="F57" s="6">
        <v>1725</v>
      </c>
      <c r="G57" s="6">
        <v>3450</v>
      </c>
      <c r="H57" s="6">
        <v>0</v>
      </c>
      <c r="I57" s="6">
        <v>0</v>
      </c>
    </row>
    <row r="58" spans="2:9" ht="15.75" customHeight="1" x14ac:dyDescent="0.25">
      <c r="B58" s="6" t="s">
        <v>131</v>
      </c>
      <c r="C58" s="6" t="s">
        <v>132</v>
      </c>
      <c r="D58" s="6" t="s">
        <v>112</v>
      </c>
      <c r="E58" s="6">
        <v>2</v>
      </c>
      <c r="F58" s="6">
        <v>1970</v>
      </c>
      <c r="G58" s="6">
        <v>3940</v>
      </c>
      <c r="H58" s="6">
        <v>0</v>
      </c>
      <c r="I58" s="6">
        <v>0</v>
      </c>
    </row>
    <row r="59" spans="2:9" ht="15.75" customHeight="1" x14ac:dyDescent="0.25">
      <c r="B59" s="6" t="s">
        <v>133</v>
      </c>
      <c r="C59" s="6" t="s">
        <v>134</v>
      </c>
      <c r="D59" s="6" t="s">
        <v>25</v>
      </c>
      <c r="E59" s="6">
        <v>10</v>
      </c>
      <c r="F59" s="6">
        <v>6144.48</v>
      </c>
      <c r="G59" s="6">
        <v>61444.800000000003</v>
      </c>
      <c r="H59" s="6">
        <v>0</v>
      </c>
      <c r="I59" s="6">
        <v>0</v>
      </c>
    </row>
    <row r="60" spans="2:9" ht="15.75" customHeight="1" x14ac:dyDescent="0.25">
      <c r="B60" s="5" t="s">
        <v>135</v>
      </c>
      <c r="C60" s="5" t="s">
        <v>136</v>
      </c>
      <c r="D60" s="1"/>
      <c r="E60" s="1"/>
      <c r="F60" s="1"/>
      <c r="G60" s="5">
        <v>53000</v>
      </c>
      <c r="H60" s="1"/>
      <c r="I60" s="5">
        <v>0</v>
      </c>
    </row>
    <row r="61" spans="2:9" ht="15.75" customHeight="1" x14ac:dyDescent="0.25">
      <c r="B61" s="6" t="s">
        <v>137</v>
      </c>
      <c r="C61" s="6" t="s">
        <v>138</v>
      </c>
      <c r="D61" s="6" t="s">
        <v>112</v>
      </c>
      <c r="E61" s="6">
        <v>1</v>
      </c>
      <c r="F61" s="6">
        <v>45000</v>
      </c>
      <c r="G61" s="6">
        <v>45000</v>
      </c>
      <c r="H61" s="6">
        <v>0</v>
      </c>
      <c r="I61" s="6">
        <v>0</v>
      </c>
    </row>
    <row r="62" spans="2:9" ht="15.75" customHeight="1" x14ac:dyDescent="0.25">
      <c r="B62" s="6" t="s">
        <v>139</v>
      </c>
      <c r="C62" s="6" t="s">
        <v>140</v>
      </c>
      <c r="D62" s="6" t="s">
        <v>20</v>
      </c>
      <c r="E62" s="6">
        <v>1</v>
      </c>
      <c r="F62" s="6">
        <v>8000</v>
      </c>
      <c r="G62" s="6">
        <v>8000</v>
      </c>
      <c r="H62" s="6">
        <v>0</v>
      </c>
      <c r="I62" s="6">
        <v>0</v>
      </c>
    </row>
    <row r="63" spans="2:9" ht="15.75" customHeight="1" x14ac:dyDescent="0.25">
      <c r="B63" s="1"/>
      <c r="C63" s="1"/>
      <c r="D63" s="1"/>
      <c r="E63" s="1"/>
      <c r="F63" s="1"/>
      <c r="G63" s="1"/>
      <c r="H63" s="1"/>
      <c r="I63" s="1"/>
    </row>
    <row r="64" spans="2:9" ht="15.75" customHeight="1" x14ac:dyDescent="0.25">
      <c r="B64" s="1"/>
      <c r="C64" s="1"/>
      <c r="D64" s="1"/>
      <c r="E64" s="1"/>
      <c r="F64" s="1"/>
      <c r="G64" s="1"/>
      <c r="H64" s="1"/>
      <c r="I64" s="1"/>
    </row>
    <row r="65" spans="2:9" ht="15.75" customHeight="1" x14ac:dyDescent="0.25">
      <c r="B65" s="1"/>
      <c r="C65" s="1"/>
      <c r="D65" s="1"/>
      <c r="E65" s="1"/>
      <c r="F65" s="1"/>
      <c r="G65" s="1"/>
      <c r="H65" s="1"/>
      <c r="I65" s="1"/>
    </row>
    <row r="66" spans="2:9" ht="15.75" customHeight="1" x14ac:dyDescent="0.25">
      <c r="B66" s="1"/>
      <c r="C66" s="1"/>
      <c r="D66" s="1"/>
      <c r="E66" s="1"/>
      <c r="F66" s="1"/>
      <c r="G66" s="1"/>
      <c r="H66" s="1"/>
      <c r="I66" s="1"/>
    </row>
    <row r="67" spans="2:9" ht="15.75" customHeight="1" x14ac:dyDescent="0.25">
      <c r="B67" s="1"/>
      <c r="C67" s="1"/>
      <c r="D67" s="1"/>
      <c r="E67" s="1"/>
      <c r="F67" s="1"/>
      <c r="G67" s="1"/>
      <c r="H67" s="1"/>
      <c r="I67" s="1"/>
    </row>
    <row r="68" spans="2:9" ht="15.75" customHeight="1" x14ac:dyDescent="0.25">
      <c r="B68" s="1"/>
      <c r="C68" s="1"/>
      <c r="D68" s="1"/>
      <c r="E68" s="1"/>
      <c r="F68" s="1"/>
      <c r="G68" s="1"/>
      <c r="H68" s="1"/>
      <c r="I68" s="1"/>
    </row>
    <row r="69" spans="2:9" ht="15.75" customHeight="1" x14ac:dyDescent="0.25">
      <c r="B69" s="1"/>
      <c r="C69" s="1"/>
      <c r="D69" s="1"/>
      <c r="E69" s="1"/>
      <c r="F69" s="1"/>
      <c r="G69" s="1"/>
      <c r="H69" s="1"/>
      <c r="I69" s="1"/>
    </row>
    <row r="70" spans="2:9" ht="15.75" customHeight="1" x14ac:dyDescent="0.25">
      <c r="B70" s="1"/>
      <c r="C70" s="1"/>
      <c r="D70" s="1"/>
      <c r="E70" s="1"/>
      <c r="F70" s="1"/>
      <c r="G70" s="1"/>
      <c r="H70" s="1"/>
      <c r="I70" s="1"/>
    </row>
    <row r="71" spans="2:9" ht="15.75" customHeight="1" x14ac:dyDescent="0.25">
      <c r="B71" s="1"/>
      <c r="C71" s="1"/>
      <c r="D71" s="1"/>
      <c r="E71" s="1"/>
      <c r="F71" s="1"/>
      <c r="G71" s="1"/>
      <c r="H71" s="1"/>
      <c r="I71" s="1"/>
    </row>
    <row r="72" spans="2:9" ht="15.75" customHeight="1" x14ac:dyDescent="0.25">
      <c r="B72" s="1"/>
      <c r="C72" s="1"/>
      <c r="D72" s="1"/>
      <c r="E72" s="1"/>
      <c r="F72" s="1"/>
      <c r="G72" s="1"/>
      <c r="H72" s="1"/>
      <c r="I72" s="1"/>
    </row>
    <row r="73" spans="2:9" ht="15.75" customHeight="1" x14ac:dyDescent="0.25">
      <c r="B73" s="1"/>
      <c r="C73" s="1"/>
      <c r="D73" s="1"/>
      <c r="E73" s="1"/>
      <c r="F73" s="1"/>
      <c r="G73" s="1"/>
      <c r="H73" s="1"/>
      <c r="I73" s="1"/>
    </row>
    <row r="74" spans="2:9" ht="15.75" customHeight="1" x14ac:dyDescent="0.25">
      <c r="B74" s="1"/>
      <c r="C74" s="1"/>
      <c r="D74" s="1"/>
      <c r="E74" s="1"/>
      <c r="F74" s="1"/>
      <c r="G74" s="1"/>
      <c r="H74" s="1"/>
      <c r="I74" s="1"/>
    </row>
    <row r="75" spans="2:9" ht="15.75" customHeight="1" x14ac:dyDescent="0.25">
      <c r="B75" s="1"/>
      <c r="C75" s="1"/>
      <c r="D75" s="1"/>
      <c r="E75" s="1"/>
      <c r="F75" s="1"/>
      <c r="G75" s="1"/>
      <c r="H75" s="1"/>
      <c r="I75" s="1"/>
    </row>
    <row r="76" spans="2:9" ht="15.75" customHeight="1" x14ac:dyDescent="0.25">
      <c r="B76" s="1"/>
      <c r="C76" s="1"/>
      <c r="D76" s="1"/>
      <c r="E76" s="1"/>
      <c r="F76" s="1"/>
      <c r="G76" s="1"/>
      <c r="H76" s="1"/>
      <c r="I76" s="1"/>
    </row>
    <row r="77" spans="2:9" ht="15.75" customHeight="1" x14ac:dyDescent="0.25">
      <c r="B77" s="1"/>
      <c r="C77" s="1"/>
      <c r="D77" s="1"/>
      <c r="E77" s="1"/>
      <c r="F77" s="1"/>
      <c r="G77" s="1"/>
      <c r="H77" s="1"/>
      <c r="I77" s="1"/>
    </row>
    <row r="78" spans="2:9" ht="15.75" customHeight="1" x14ac:dyDescent="0.25">
      <c r="B78" s="1"/>
      <c r="C78" s="1"/>
      <c r="D78" s="1"/>
      <c r="E78" s="1"/>
      <c r="F78" s="1"/>
      <c r="G78" s="1"/>
      <c r="H78" s="1"/>
      <c r="I78" s="1"/>
    </row>
    <row r="79" spans="2:9" ht="15.75" customHeight="1" x14ac:dyDescent="0.25">
      <c r="B79" s="1"/>
      <c r="C79" s="1"/>
      <c r="D79" s="1"/>
      <c r="E79" s="1"/>
      <c r="F79" s="1"/>
      <c r="G79" s="1"/>
      <c r="H79" s="1"/>
      <c r="I79" s="1"/>
    </row>
    <row r="80" spans="2:9" ht="15.75" customHeight="1" x14ac:dyDescent="0.25">
      <c r="B80" s="1"/>
      <c r="C80" s="1"/>
      <c r="D80" s="1"/>
      <c r="E80" s="1"/>
      <c r="F80" s="1"/>
      <c r="G80" s="1"/>
      <c r="H80" s="1"/>
      <c r="I80" s="1"/>
    </row>
    <row r="81" spans="2:9" ht="15.75" customHeight="1" x14ac:dyDescent="0.25">
      <c r="B81" s="1"/>
      <c r="C81" s="1"/>
      <c r="D81" s="1"/>
      <c r="E81" s="1"/>
      <c r="F81" s="1"/>
      <c r="G81" s="1"/>
      <c r="H81" s="1"/>
      <c r="I81" s="1"/>
    </row>
    <row r="82" spans="2:9" ht="15.75" customHeight="1" x14ac:dyDescent="0.25">
      <c r="B82" s="1"/>
      <c r="C82" s="1"/>
      <c r="D82" s="1"/>
      <c r="E82" s="1"/>
      <c r="F82" s="1"/>
      <c r="G82" s="1"/>
      <c r="H82" s="1"/>
      <c r="I82" s="1"/>
    </row>
    <row r="83" spans="2:9" ht="15.75" customHeight="1" x14ac:dyDescent="0.25">
      <c r="B83" s="1"/>
      <c r="C83" s="1"/>
      <c r="D83" s="1"/>
      <c r="E83" s="1"/>
      <c r="F83" s="1"/>
      <c r="G83" s="1"/>
      <c r="H83" s="1"/>
      <c r="I83" s="1"/>
    </row>
    <row r="84" spans="2:9" ht="15.75" customHeight="1" x14ac:dyDescent="0.25">
      <c r="B84" s="1"/>
      <c r="C84" s="1"/>
      <c r="D84" s="1"/>
      <c r="E84" s="1"/>
      <c r="F84" s="1"/>
      <c r="G84" s="1"/>
      <c r="H84" s="1"/>
      <c r="I84" s="1"/>
    </row>
    <row r="85" spans="2:9" ht="15.75" customHeight="1" x14ac:dyDescent="0.25">
      <c r="B85" s="1"/>
      <c r="C85" s="1"/>
      <c r="D85" s="1"/>
      <c r="E85" s="1"/>
      <c r="F85" s="1"/>
      <c r="G85" s="1"/>
      <c r="H85" s="1"/>
      <c r="I85" s="1"/>
    </row>
    <row r="86" spans="2:9" ht="15.75" customHeight="1" x14ac:dyDescent="0.25">
      <c r="B86" s="1"/>
      <c r="C86" s="1"/>
      <c r="D86" s="1"/>
      <c r="E86" s="1"/>
      <c r="F86" s="1"/>
      <c r="G86" s="1"/>
      <c r="H86" s="1"/>
      <c r="I86" s="1"/>
    </row>
    <row r="87" spans="2:9" ht="15.75" customHeight="1" x14ac:dyDescent="0.25">
      <c r="B87" s="1"/>
      <c r="C87" s="1"/>
      <c r="D87" s="1"/>
      <c r="E87" s="1"/>
      <c r="F87" s="1"/>
      <c r="G87" s="1"/>
      <c r="H87" s="1"/>
      <c r="I87" s="1"/>
    </row>
    <row r="88" spans="2:9" ht="15.75" customHeight="1" x14ac:dyDescent="0.25">
      <c r="B88" s="1"/>
      <c r="C88" s="1"/>
      <c r="D88" s="1"/>
      <c r="E88" s="1"/>
      <c r="F88" s="1"/>
      <c r="G88" s="1"/>
      <c r="H88" s="1"/>
      <c r="I88" s="1"/>
    </row>
    <row r="89" spans="2:9" ht="15.75" customHeight="1" x14ac:dyDescent="0.25">
      <c r="B89" s="1"/>
      <c r="C89" s="1"/>
      <c r="D89" s="1"/>
      <c r="E89" s="1"/>
      <c r="F89" s="1"/>
      <c r="G89" s="1"/>
      <c r="H89" s="1"/>
      <c r="I89" s="1"/>
    </row>
    <row r="90" spans="2:9" ht="15.75" customHeight="1" x14ac:dyDescent="0.25">
      <c r="B90" s="1"/>
      <c r="C90" s="1"/>
      <c r="D90" s="1"/>
      <c r="E90" s="1"/>
      <c r="F90" s="1"/>
      <c r="G90" s="1"/>
      <c r="H90" s="1"/>
      <c r="I90" s="1"/>
    </row>
    <row r="91" spans="2:9" ht="15.75" customHeight="1" x14ac:dyDescent="0.25">
      <c r="B91" s="1"/>
      <c r="C91" s="1"/>
      <c r="D91" s="1"/>
      <c r="E91" s="1"/>
      <c r="F91" s="1"/>
      <c r="G91" s="1"/>
      <c r="H91" s="1"/>
      <c r="I91" s="1"/>
    </row>
    <row r="92" spans="2:9" ht="15.75" customHeight="1" x14ac:dyDescent="0.25">
      <c r="B92" s="1"/>
      <c r="C92" s="1"/>
      <c r="D92" s="1"/>
      <c r="E92" s="1"/>
      <c r="F92" s="1"/>
      <c r="G92" s="1"/>
      <c r="H92" s="1"/>
      <c r="I92" s="1"/>
    </row>
    <row r="93" spans="2:9" ht="15.75" customHeight="1" x14ac:dyDescent="0.25">
      <c r="B93" s="1"/>
      <c r="C93" s="1"/>
      <c r="D93" s="1"/>
      <c r="E93" s="1"/>
      <c r="F93" s="1"/>
      <c r="G93" s="1"/>
      <c r="H93" s="1"/>
      <c r="I93" s="1"/>
    </row>
    <row r="94" spans="2:9" ht="15.75" customHeight="1" x14ac:dyDescent="0.25">
      <c r="B94" s="1"/>
      <c r="C94" s="1"/>
      <c r="D94" s="1"/>
      <c r="E94" s="1"/>
      <c r="F94" s="1"/>
      <c r="G94" s="1"/>
      <c r="H94" s="1"/>
      <c r="I94" s="1"/>
    </row>
    <row r="95" spans="2:9" ht="15.75" customHeight="1" x14ac:dyDescent="0.25">
      <c r="B95" s="1"/>
      <c r="C95" s="1"/>
      <c r="D95" s="1"/>
      <c r="E95" s="1"/>
      <c r="F95" s="1"/>
      <c r="G95" s="1"/>
      <c r="H95" s="1"/>
      <c r="I95" s="1"/>
    </row>
    <row r="96" spans="2:9" ht="15.75" customHeight="1" x14ac:dyDescent="0.25">
      <c r="B96" s="1"/>
      <c r="C96" s="1"/>
      <c r="D96" s="1"/>
      <c r="E96" s="1"/>
      <c r="F96" s="1"/>
      <c r="G96" s="1"/>
      <c r="H96" s="1"/>
      <c r="I96" s="1"/>
    </row>
    <row r="97" spans="2:9" ht="15.75" customHeight="1" x14ac:dyDescent="0.25">
      <c r="B97" s="1"/>
      <c r="C97" s="1"/>
      <c r="D97" s="1"/>
      <c r="E97" s="1"/>
      <c r="F97" s="1"/>
      <c r="G97" s="1"/>
      <c r="H97" s="1"/>
      <c r="I97" s="1"/>
    </row>
    <row r="98" spans="2:9" ht="15.75" customHeight="1" x14ac:dyDescent="0.25">
      <c r="B98" s="1"/>
      <c r="C98" s="1"/>
      <c r="D98" s="1"/>
      <c r="E98" s="1"/>
      <c r="F98" s="1"/>
      <c r="G98" s="1"/>
      <c r="H98" s="1"/>
      <c r="I98" s="1"/>
    </row>
    <row r="99" spans="2:9" ht="15.75" customHeight="1" x14ac:dyDescent="0.25">
      <c r="B99" s="1"/>
      <c r="C99" s="1"/>
      <c r="D99" s="1"/>
      <c r="E99" s="1"/>
      <c r="F99" s="1"/>
      <c r="G99" s="1"/>
      <c r="H99" s="1"/>
      <c r="I99" s="1"/>
    </row>
    <row r="100" spans="2:9" ht="15.75" customHeight="1" x14ac:dyDescent="0.25">
      <c r="B100" s="1"/>
      <c r="C100" s="1"/>
      <c r="D100" s="1"/>
      <c r="E100" s="1"/>
      <c r="F100" s="1"/>
      <c r="G100" s="1"/>
      <c r="H100" s="1"/>
      <c r="I100" s="1"/>
    </row>
    <row r="101" spans="2:9" ht="15.75" customHeight="1" x14ac:dyDescent="0.25">
      <c r="B101" s="1"/>
      <c r="C101" s="1"/>
      <c r="D101" s="1"/>
      <c r="E101" s="1"/>
      <c r="F101" s="1"/>
      <c r="G101" s="1"/>
      <c r="H101" s="1"/>
      <c r="I101" s="1"/>
    </row>
    <row r="102" spans="2:9" ht="15.75" customHeight="1" x14ac:dyDescent="0.25">
      <c r="B102" s="1"/>
      <c r="C102" s="1"/>
      <c r="D102" s="1"/>
      <c r="E102" s="1"/>
      <c r="F102" s="1"/>
      <c r="G102" s="1"/>
      <c r="H102" s="1"/>
      <c r="I102" s="1"/>
    </row>
    <row r="103" spans="2:9" ht="15.75" customHeight="1" x14ac:dyDescent="0.25">
      <c r="B103" s="1"/>
      <c r="C103" s="1"/>
      <c r="D103" s="1"/>
      <c r="E103" s="1"/>
      <c r="F103" s="1"/>
      <c r="G103" s="1"/>
      <c r="H103" s="1"/>
      <c r="I103" s="1"/>
    </row>
    <row r="104" spans="2:9" ht="15.75" customHeight="1" x14ac:dyDescent="0.25">
      <c r="B104" s="1"/>
      <c r="C104" s="1"/>
      <c r="D104" s="1"/>
      <c r="E104" s="1"/>
      <c r="F104" s="1"/>
      <c r="G104" s="1"/>
      <c r="H104" s="1"/>
      <c r="I104" s="1"/>
    </row>
    <row r="105" spans="2:9" ht="15.75" customHeight="1" x14ac:dyDescent="0.25">
      <c r="B105" s="1"/>
      <c r="C105" s="1"/>
      <c r="D105" s="1"/>
      <c r="E105" s="1"/>
      <c r="F105" s="1"/>
      <c r="G105" s="1"/>
      <c r="H105" s="1"/>
      <c r="I105" s="1"/>
    </row>
    <row r="106" spans="2:9" ht="15.75" customHeight="1" x14ac:dyDescent="0.25">
      <c r="B106" s="1"/>
      <c r="C106" s="1"/>
      <c r="D106" s="1"/>
      <c r="E106" s="1"/>
      <c r="F106" s="1"/>
      <c r="G106" s="1"/>
      <c r="H106" s="1"/>
      <c r="I106" s="1"/>
    </row>
    <row r="107" spans="2:9" ht="15.75" customHeight="1" x14ac:dyDescent="0.25">
      <c r="B107" s="1"/>
      <c r="C107" s="1"/>
      <c r="D107" s="1"/>
      <c r="E107" s="1"/>
      <c r="F107" s="1"/>
      <c r="G107" s="1"/>
      <c r="H107" s="1"/>
      <c r="I107" s="1"/>
    </row>
    <row r="108" spans="2:9" ht="15.75" customHeight="1" x14ac:dyDescent="0.25">
      <c r="B108" s="1"/>
      <c r="C108" s="1"/>
      <c r="D108" s="1"/>
      <c r="E108" s="1"/>
      <c r="F108" s="1"/>
      <c r="G108" s="1"/>
      <c r="H108" s="1"/>
      <c r="I108" s="1"/>
    </row>
    <row r="109" spans="2:9" ht="15.75" customHeight="1" x14ac:dyDescent="0.25">
      <c r="B109" s="1"/>
      <c r="C109" s="1"/>
      <c r="D109" s="1"/>
      <c r="E109" s="1"/>
      <c r="F109" s="1"/>
      <c r="G109" s="1"/>
      <c r="H109" s="1"/>
      <c r="I109" s="1"/>
    </row>
    <row r="110" spans="2:9" ht="15.75" customHeight="1" x14ac:dyDescent="0.25">
      <c r="B110" s="1"/>
      <c r="C110" s="1"/>
      <c r="D110" s="1"/>
      <c r="E110" s="1"/>
      <c r="F110" s="1"/>
      <c r="G110" s="1"/>
      <c r="H110" s="1"/>
      <c r="I110" s="1"/>
    </row>
    <row r="111" spans="2:9" ht="15.75" customHeight="1" x14ac:dyDescent="0.25">
      <c r="B111" s="1"/>
      <c r="C111" s="1"/>
      <c r="D111" s="1"/>
      <c r="E111" s="1"/>
      <c r="F111" s="1"/>
      <c r="G111" s="1"/>
      <c r="H111" s="1"/>
      <c r="I111" s="1"/>
    </row>
    <row r="112" spans="2:9" ht="15.75" customHeight="1" x14ac:dyDescent="0.25">
      <c r="B112" s="1"/>
      <c r="C112" s="1"/>
      <c r="D112" s="1"/>
      <c r="E112" s="1"/>
      <c r="F112" s="1"/>
      <c r="G112" s="1"/>
      <c r="H112" s="1"/>
      <c r="I112" s="1"/>
    </row>
    <row r="113" spans="2:9" ht="15.75" customHeight="1" x14ac:dyDescent="0.25">
      <c r="B113" s="1"/>
      <c r="C113" s="1"/>
      <c r="D113" s="1"/>
      <c r="E113" s="1"/>
      <c r="F113" s="1"/>
      <c r="G113" s="1"/>
      <c r="H113" s="1"/>
      <c r="I113" s="1"/>
    </row>
    <row r="114" spans="2:9" ht="15.75" customHeight="1" x14ac:dyDescent="0.25">
      <c r="B114" s="1"/>
      <c r="C114" s="1"/>
      <c r="D114" s="1"/>
      <c r="E114" s="1"/>
      <c r="F114" s="1"/>
      <c r="G114" s="1"/>
      <c r="H114" s="1"/>
      <c r="I114" s="1"/>
    </row>
    <row r="115" spans="2:9" ht="15.75" customHeight="1" x14ac:dyDescent="0.25">
      <c r="B115" s="1"/>
      <c r="C115" s="1"/>
      <c r="D115" s="1"/>
      <c r="E115" s="1"/>
      <c r="F115" s="1"/>
      <c r="G115" s="1"/>
      <c r="H115" s="1"/>
      <c r="I115" s="1"/>
    </row>
    <row r="116" spans="2:9" ht="15.75" customHeight="1" x14ac:dyDescent="0.25">
      <c r="B116" s="1"/>
      <c r="C116" s="1"/>
      <c r="D116" s="1"/>
      <c r="E116" s="1"/>
      <c r="F116" s="1"/>
      <c r="G116" s="1"/>
      <c r="H116" s="1"/>
      <c r="I116" s="1"/>
    </row>
    <row r="117" spans="2:9" ht="15.75" customHeight="1" x14ac:dyDescent="0.25">
      <c r="B117" s="1"/>
      <c r="C117" s="1"/>
      <c r="D117" s="1"/>
      <c r="E117" s="1"/>
      <c r="F117" s="1"/>
      <c r="G117" s="1"/>
      <c r="H117" s="1"/>
      <c r="I117" s="1"/>
    </row>
    <row r="118" spans="2:9" ht="15.75" customHeight="1" x14ac:dyDescent="0.25">
      <c r="B118" s="1"/>
      <c r="C118" s="1"/>
      <c r="D118" s="1"/>
      <c r="E118" s="1"/>
      <c r="F118" s="1"/>
      <c r="G118" s="1"/>
      <c r="H118" s="1"/>
      <c r="I118" s="1"/>
    </row>
    <row r="119" spans="2:9" ht="15.75" customHeight="1" x14ac:dyDescent="0.25">
      <c r="B119" s="1"/>
      <c r="C119" s="1"/>
      <c r="D119" s="1"/>
      <c r="E119" s="1"/>
      <c r="F119" s="1"/>
      <c r="G119" s="1"/>
      <c r="H119" s="1"/>
      <c r="I119" s="1"/>
    </row>
    <row r="120" spans="2:9" ht="15.75" customHeight="1" x14ac:dyDescent="0.25">
      <c r="B120" s="1"/>
      <c r="C120" s="1"/>
      <c r="D120" s="1"/>
      <c r="E120" s="1"/>
      <c r="F120" s="1"/>
      <c r="G120" s="1"/>
      <c r="H120" s="1"/>
      <c r="I120" s="1"/>
    </row>
    <row r="121" spans="2:9" ht="15.75" customHeight="1" x14ac:dyDescent="0.25">
      <c r="B121" s="1"/>
      <c r="C121" s="1"/>
      <c r="D121" s="1"/>
      <c r="E121" s="1"/>
      <c r="F121" s="1"/>
      <c r="G121" s="1"/>
      <c r="H121" s="1"/>
      <c r="I121" s="1"/>
    </row>
    <row r="122" spans="2:9" ht="15.75" customHeight="1" x14ac:dyDescent="0.25">
      <c r="B122" s="1"/>
      <c r="C122" s="1"/>
      <c r="D122" s="1"/>
      <c r="E122" s="1"/>
      <c r="F122" s="1"/>
      <c r="G122" s="1"/>
      <c r="H122" s="1"/>
      <c r="I122" s="1"/>
    </row>
    <row r="123" spans="2:9" ht="15.75" customHeight="1" x14ac:dyDescent="0.25">
      <c r="B123" s="1"/>
      <c r="C123" s="1"/>
      <c r="D123" s="1"/>
      <c r="E123" s="1"/>
      <c r="F123" s="1"/>
      <c r="G123" s="1"/>
      <c r="H123" s="1"/>
      <c r="I123" s="1"/>
    </row>
    <row r="124" spans="2:9" ht="15.75" customHeight="1" x14ac:dyDescent="0.25">
      <c r="B124" s="1"/>
      <c r="C124" s="1"/>
      <c r="D124" s="1"/>
      <c r="E124" s="1"/>
      <c r="F124" s="1"/>
      <c r="G124" s="1"/>
      <c r="H124" s="1"/>
      <c r="I124" s="1"/>
    </row>
    <row r="125" spans="2:9" ht="15.75" customHeight="1" x14ac:dyDescent="0.25">
      <c r="B125" s="1"/>
      <c r="C125" s="1"/>
      <c r="D125" s="1"/>
      <c r="E125" s="1"/>
      <c r="F125" s="1"/>
      <c r="G125" s="1"/>
      <c r="H125" s="1"/>
      <c r="I125" s="1"/>
    </row>
    <row r="126" spans="2:9" ht="15.75" customHeight="1" x14ac:dyDescent="0.25">
      <c r="B126" s="1"/>
      <c r="C126" s="1"/>
      <c r="D126" s="1"/>
      <c r="E126" s="1"/>
      <c r="F126" s="1"/>
      <c r="G126" s="1"/>
      <c r="H126" s="1"/>
      <c r="I126" s="1"/>
    </row>
    <row r="127" spans="2:9" ht="15.75" customHeight="1" x14ac:dyDescent="0.25">
      <c r="B127" s="1"/>
      <c r="C127" s="1"/>
      <c r="D127" s="1"/>
      <c r="E127" s="1"/>
      <c r="F127" s="1"/>
      <c r="G127" s="1"/>
      <c r="H127" s="1"/>
      <c r="I127" s="1"/>
    </row>
    <row r="128" spans="2:9" ht="15.75" customHeight="1" x14ac:dyDescent="0.25">
      <c r="B128" s="1"/>
      <c r="C128" s="1"/>
      <c r="D128" s="1"/>
      <c r="E128" s="1"/>
      <c r="F128" s="1"/>
      <c r="G128" s="1"/>
      <c r="H128" s="1"/>
      <c r="I128" s="1"/>
    </row>
    <row r="129" spans="2:9" ht="15.75" customHeight="1" x14ac:dyDescent="0.25">
      <c r="B129" s="1"/>
      <c r="C129" s="1"/>
      <c r="D129" s="1"/>
      <c r="E129" s="1"/>
      <c r="F129" s="1"/>
      <c r="G129" s="1"/>
      <c r="H129" s="1"/>
      <c r="I129" s="1"/>
    </row>
    <row r="130" spans="2:9" ht="15.75" customHeight="1" x14ac:dyDescent="0.25">
      <c r="B130" s="1"/>
      <c r="C130" s="1"/>
      <c r="D130" s="1"/>
      <c r="E130" s="1"/>
      <c r="F130" s="1"/>
      <c r="G130" s="1"/>
      <c r="H130" s="1"/>
      <c r="I130" s="1"/>
    </row>
    <row r="131" spans="2:9" ht="15.75" customHeight="1" x14ac:dyDescent="0.25">
      <c r="B131" s="1"/>
      <c r="C131" s="1"/>
      <c r="D131" s="1"/>
      <c r="E131" s="1"/>
      <c r="F131" s="1"/>
      <c r="G131" s="1"/>
      <c r="H131" s="1"/>
      <c r="I131" s="1"/>
    </row>
    <row r="132" spans="2:9" ht="15.75" customHeight="1" x14ac:dyDescent="0.25">
      <c r="B132" s="1"/>
      <c r="C132" s="1"/>
      <c r="D132" s="1"/>
      <c r="E132" s="1"/>
      <c r="F132" s="1"/>
      <c r="G132" s="1"/>
      <c r="H132" s="1"/>
      <c r="I132" s="1"/>
    </row>
    <row r="133" spans="2:9" ht="15.75" customHeight="1" x14ac:dyDescent="0.25">
      <c r="B133" s="1"/>
      <c r="C133" s="1"/>
      <c r="D133" s="1"/>
      <c r="E133" s="1"/>
      <c r="F133" s="1"/>
      <c r="G133" s="1"/>
      <c r="H133" s="1"/>
      <c r="I133" s="1"/>
    </row>
    <row r="134" spans="2:9" ht="15.75" customHeight="1" x14ac:dyDescent="0.25">
      <c r="B134" s="1"/>
      <c r="C134" s="1"/>
      <c r="D134" s="1"/>
      <c r="E134" s="1"/>
      <c r="F134" s="1"/>
      <c r="G134" s="1"/>
      <c r="H134" s="1"/>
      <c r="I134" s="1"/>
    </row>
    <row r="135" spans="2:9" ht="15.75" customHeight="1" x14ac:dyDescent="0.25">
      <c r="B135" s="1"/>
      <c r="C135" s="1"/>
      <c r="D135" s="1"/>
      <c r="E135" s="1"/>
      <c r="F135" s="1"/>
      <c r="G135" s="1"/>
      <c r="H135" s="1"/>
      <c r="I135" s="1"/>
    </row>
    <row r="136" spans="2:9" ht="15.75" customHeight="1" x14ac:dyDescent="0.25">
      <c r="B136" s="1"/>
      <c r="C136" s="1"/>
      <c r="D136" s="1"/>
      <c r="E136" s="1"/>
      <c r="F136" s="1"/>
      <c r="G136" s="1"/>
      <c r="H136" s="1"/>
      <c r="I136" s="1"/>
    </row>
    <row r="137" spans="2:9" ht="15.75" customHeight="1" x14ac:dyDescent="0.25">
      <c r="B137" s="1"/>
      <c r="C137" s="1"/>
      <c r="D137" s="1"/>
      <c r="E137" s="1"/>
      <c r="F137" s="1"/>
      <c r="G137" s="1"/>
      <c r="H137" s="1"/>
      <c r="I137" s="1"/>
    </row>
    <row r="138" spans="2:9" ht="15.75" customHeight="1" x14ac:dyDescent="0.25">
      <c r="B138" s="1"/>
      <c r="C138" s="1"/>
      <c r="D138" s="1"/>
      <c r="E138" s="1"/>
      <c r="F138" s="1"/>
      <c r="G138" s="1"/>
      <c r="H138" s="1"/>
      <c r="I138" s="1"/>
    </row>
    <row r="139" spans="2:9" ht="15.75" customHeight="1" x14ac:dyDescent="0.25">
      <c r="B139" s="1"/>
      <c r="C139" s="1"/>
      <c r="D139" s="1"/>
      <c r="E139" s="1"/>
      <c r="F139" s="1"/>
      <c r="G139" s="1"/>
      <c r="H139" s="1"/>
      <c r="I139" s="1"/>
    </row>
    <row r="140" spans="2:9" ht="15.75" customHeight="1" x14ac:dyDescent="0.25">
      <c r="B140" s="1"/>
      <c r="C140" s="1"/>
      <c r="D140" s="1"/>
      <c r="E140" s="1"/>
      <c r="F140" s="1"/>
      <c r="G140" s="1"/>
      <c r="H140" s="1"/>
      <c r="I140" s="1"/>
    </row>
    <row r="141" spans="2:9" ht="15.75" customHeight="1" x14ac:dyDescent="0.25">
      <c r="B141" s="1"/>
      <c r="C141" s="1"/>
      <c r="D141" s="1"/>
      <c r="E141" s="1"/>
      <c r="F141" s="1"/>
      <c r="G141" s="1"/>
      <c r="H141" s="1"/>
      <c r="I141" s="1"/>
    </row>
    <row r="142" spans="2:9" ht="15.75" customHeight="1" x14ac:dyDescent="0.25">
      <c r="B142" s="1"/>
      <c r="C142" s="1"/>
      <c r="D142" s="1"/>
      <c r="E142" s="1"/>
      <c r="F142" s="1"/>
      <c r="G142" s="1"/>
      <c r="H142" s="1"/>
      <c r="I142" s="1"/>
    </row>
    <row r="143" spans="2:9" ht="15.75" customHeight="1" x14ac:dyDescent="0.25">
      <c r="B143" s="1"/>
      <c r="C143" s="1"/>
      <c r="D143" s="1"/>
      <c r="E143" s="1"/>
      <c r="F143" s="1"/>
      <c r="G143" s="1"/>
      <c r="H143" s="1"/>
      <c r="I143" s="1"/>
    </row>
    <row r="144" spans="2:9" ht="15.75" customHeight="1" x14ac:dyDescent="0.25">
      <c r="B144" s="1"/>
      <c r="C144" s="1"/>
      <c r="D144" s="1"/>
      <c r="E144" s="1"/>
      <c r="F144" s="1"/>
      <c r="G144" s="1"/>
      <c r="H144" s="1"/>
      <c r="I144" s="1"/>
    </row>
    <row r="145" spans="2:9" ht="15.75" customHeight="1" x14ac:dyDescent="0.25">
      <c r="B145" s="1"/>
      <c r="C145" s="1"/>
      <c r="D145" s="1"/>
      <c r="E145" s="1"/>
      <c r="F145" s="1"/>
      <c r="G145" s="1"/>
      <c r="H145" s="1"/>
      <c r="I145" s="1"/>
    </row>
    <row r="146" spans="2:9" ht="15.75" customHeight="1" x14ac:dyDescent="0.25">
      <c r="B146" s="1"/>
      <c r="C146" s="1"/>
      <c r="D146" s="1"/>
      <c r="E146" s="1"/>
      <c r="F146" s="1"/>
      <c r="G146" s="1"/>
      <c r="H146" s="1"/>
      <c r="I146" s="1"/>
    </row>
    <row r="147" spans="2:9" ht="15.75" customHeight="1" x14ac:dyDescent="0.25">
      <c r="B147" s="1"/>
      <c r="C147" s="1"/>
      <c r="D147" s="1"/>
      <c r="E147" s="1"/>
      <c r="F147" s="1"/>
      <c r="G147" s="1"/>
      <c r="H147" s="1"/>
      <c r="I147" s="1"/>
    </row>
    <row r="148" spans="2:9" ht="15.75" customHeight="1" x14ac:dyDescent="0.25">
      <c r="B148" s="1"/>
      <c r="C148" s="1"/>
      <c r="D148" s="1"/>
      <c r="E148" s="1"/>
      <c r="F148" s="1"/>
      <c r="G148" s="1"/>
      <c r="H148" s="1"/>
      <c r="I148" s="1"/>
    </row>
    <row r="149" spans="2:9" ht="15.75" customHeight="1" x14ac:dyDescent="0.25">
      <c r="B149" s="1"/>
      <c r="C149" s="1"/>
      <c r="D149" s="1"/>
      <c r="E149" s="1"/>
      <c r="F149" s="1"/>
      <c r="G149" s="1"/>
      <c r="H149" s="1"/>
      <c r="I149" s="1"/>
    </row>
    <row r="150" spans="2:9" ht="15.75" customHeight="1" x14ac:dyDescent="0.25">
      <c r="B150" s="1"/>
      <c r="C150" s="1"/>
      <c r="D150" s="1"/>
      <c r="E150" s="1"/>
      <c r="F150" s="1"/>
      <c r="G150" s="1"/>
      <c r="H150" s="1"/>
      <c r="I150" s="1"/>
    </row>
    <row r="151" spans="2:9" ht="15.75" customHeight="1" x14ac:dyDescent="0.25">
      <c r="B151" s="1"/>
      <c r="C151" s="1"/>
      <c r="D151" s="1"/>
      <c r="E151" s="1"/>
      <c r="F151" s="1"/>
      <c r="G151" s="1"/>
      <c r="H151" s="1"/>
      <c r="I151" s="1"/>
    </row>
    <row r="152" spans="2:9" ht="15.75" customHeight="1" x14ac:dyDescent="0.25">
      <c r="B152" s="1"/>
      <c r="C152" s="1"/>
      <c r="D152" s="1"/>
      <c r="E152" s="1"/>
      <c r="F152" s="1"/>
      <c r="G152" s="1"/>
      <c r="H152" s="1"/>
      <c r="I152" s="1"/>
    </row>
    <row r="153" spans="2:9" ht="15.75" customHeight="1" x14ac:dyDescent="0.25">
      <c r="B153" s="1"/>
      <c r="C153" s="1"/>
      <c r="D153" s="1"/>
      <c r="E153" s="1"/>
      <c r="F153" s="1"/>
      <c r="G153" s="1"/>
      <c r="H153" s="1"/>
      <c r="I153" s="1"/>
    </row>
    <row r="154" spans="2:9" ht="15.75" customHeight="1" x14ac:dyDescent="0.25">
      <c r="B154" s="1"/>
      <c r="C154" s="1"/>
      <c r="D154" s="1"/>
      <c r="E154" s="1"/>
      <c r="F154" s="1"/>
      <c r="G154" s="1"/>
      <c r="H154" s="1"/>
      <c r="I154" s="1"/>
    </row>
    <row r="155" spans="2:9" ht="15.75" customHeight="1" x14ac:dyDescent="0.25">
      <c r="B155" s="1"/>
      <c r="C155" s="1"/>
      <c r="D155" s="1"/>
      <c r="E155" s="1"/>
      <c r="F155" s="1"/>
      <c r="G155" s="1"/>
      <c r="H155" s="1"/>
      <c r="I155" s="1"/>
    </row>
    <row r="156" spans="2:9" ht="15.75" customHeight="1" x14ac:dyDescent="0.25">
      <c r="B156" s="1"/>
      <c r="C156" s="1"/>
      <c r="D156" s="1"/>
      <c r="E156" s="1"/>
      <c r="F156" s="1"/>
      <c r="G156" s="1"/>
      <c r="H156" s="1"/>
      <c r="I156" s="1"/>
    </row>
    <row r="157" spans="2:9" ht="15.75" customHeight="1" x14ac:dyDescent="0.25">
      <c r="B157" s="1"/>
      <c r="C157" s="1"/>
      <c r="D157" s="1"/>
      <c r="E157" s="1"/>
      <c r="F157" s="1"/>
      <c r="G157" s="1"/>
      <c r="H157" s="1"/>
      <c r="I157" s="1"/>
    </row>
    <row r="158" spans="2:9" ht="15.75" customHeight="1" x14ac:dyDescent="0.25">
      <c r="B158" s="1"/>
      <c r="C158" s="1"/>
      <c r="D158" s="1"/>
      <c r="E158" s="1"/>
      <c r="F158" s="1"/>
      <c r="G158" s="1"/>
      <c r="H158" s="1"/>
      <c r="I158" s="1"/>
    </row>
    <row r="159" spans="2:9" ht="15.75" customHeight="1" x14ac:dyDescent="0.25">
      <c r="B159" s="1"/>
      <c r="C159" s="1"/>
      <c r="D159" s="1"/>
      <c r="E159" s="1"/>
      <c r="F159" s="1"/>
      <c r="G159" s="1"/>
      <c r="H159" s="1"/>
      <c r="I159" s="1"/>
    </row>
    <row r="160" spans="2:9" ht="15.75" customHeight="1" x14ac:dyDescent="0.25">
      <c r="B160" s="1"/>
      <c r="C160" s="1"/>
      <c r="D160" s="1"/>
      <c r="E160" s="1"/>
      <c r="F160" s="1"/>
      <c r="G160" s="1"/>
      <c r="H160" s="1"/>
      <c r="I160" s="1"/>
    </row>
    <row r="161" spans="2:9" ht="15.75" customHeight="1" x14ac:dyDescent="0.25">
      <c r="B161" s="1"/>
      <c r="C161" s="1"/>
      <c r="D161" s="1"/>
      <c r="E161" s="1"/>
      <c r="F161" s="1"/>
      <c r="G161" s="1"/>
      <c r="H161" s="1"/>
      <c r="I161" s="1"/>
    </row>
    <row r="162" spans="2:9" ht="15.75" customHeight="1" x14ac:dyDescent="0.25">
      <c r="B162" s="1"/>
      <c r="C162" s="1"/>
      <c r="D162" s="1"/>
      <c r="E162" s="1"/>
      <c r="F162" s="1"/>
      <c r="G162" s="1"/>
      <c r="H162" s="1"/>
      <c r="I162" s="1"/>
    </row>
    <row r="163" spans="2:9" ht="15.75" customHeight="1" x14ac:dyDescent="0.25">
      <c r="B163" s="1"/>
      <c r="C163" s="1"/>
      <c r="D163" s="1"/>
      <c r="E163" s="1"/>
      <c r="F163" s="1"/>
      <c r="G163" s="1"/>
      <c r="H163" s="1"/>
      <c r="I163" s="1"/>
    </row>
    <row r="164" spans="2:9" ht="15.75" customHeight="1" x14ac:dyDescent="0.25">
      <c r="B164" s="1"/>
      <c r="C164" s="1"/>
      <c r="D164" s="1"/>
      <c r="E164" s="1"/>
      <c r="F164" s="1"/>
      <c r="G164" s="1"/>
      <c r="H164" s="1"/>
      <c r="I164" s="1"/>
    </row>
    <row r="165" spans="2:9" ht="15.75" customHeight="1" x14ac:dyDescent="0.25">
      <c r="B165" s="1"/>
      <c r="C165" s="1"/>
      <c r="D165" s="1"/>
      <c r="E165" s="1"/>
      <c r="F165" s="1"/>
      <c r="G165" s="1"/>
      <c r="H165" s="1"/>
      <c r="I165" s="1"/>
    </row>
    <row r="166" spans="2:9" ht="15.75" customHeight="1" x14ac:dyDescent="0.25">
      <c r="B166" s="1"/>
      <c r="C166" s="1"/>
      <c r="D166" s="1"/>
      <c r="E166" s="1"/>
      <c r="F166" s="1"/>
      <c r="G166" s="1"/>
      <c r="H166" s="1"/>
      <c r="I166" s="1"/>
    </row>
    <row r="167" spans="2:9" ht="15.75" customHeight="1" x14ac:dyDescent="0.25">
      <c r="B167" s="1"/>
      <c r="C167" s="1"/>
      <c r="D167" s="1"/>
      <c r="E167" s="1"/>
      <c r="F167" s="1"/>
      <c r="G167" s="1"/>
      <c r="H167" s="1"/>
      <c r="I167" s="1"/>
    </row>
    <row r="168" spans="2:9" ht="15.75" customHeight="1" x14ac:dyDescent="0.25">
      <c r="B168" s="1"/>
      <c r="C168" s="1"/>
      <c r="D168" s="1"/>
      <c r="E168" s="1"/>
      <c r="F168" s="1"/>
      <c r="G168" s="1"/>
      <c r="H168" s="1"/>
      <c r="I168" s="1"/>
    </row>
    <row r="169" spans="2:9" ht="15.75" customHeight="1" x14ac:dyDescent="0.25">
      <c r="B169" s="1"/>
      <c r="C169" s="1"/>
      <c r="D169" s="1"/>
      <c r="E169" s="1"/>
      <c r="F169" s="1"/>
      <c r="G169" s="1"/>
      <c r="H169" s="1"/>
      <c r="I169" s="1"/>
    </row>
    <row r="170" spans="2:9" ht="15.75" customHeight="1" x14ac:dyDescent="0.25">
      <c r="B170" s="1"/>
      <c r="C170" s="1"/>
      <c r="D170" s="1"/>
      <c r="E170" s="1"/>
      <c r="F170" s="1"/>
      <c r="G170" s="1"/>
      <c r="H170" s="1"/>
      <c r="I170" s="1"/>
    </row>
    <row r="171" spans="2:9" ht="15.75" customHeight="1" x14ac:dyDescent="0.25">
      <c r="B171" s="1"/>
      <c r="C171" s="1"/>
      <c r="D171" s="1"/>
      <c r="E171" s="1"/>
      <c r="F171" s="1"/>
      <c r="G171" s="1"/>
      <c r="H171" s="1"/>
      <c r="I171" s="1"/>
    </row>
    <row r="172" spans="2:9" ht="15.75" customHeight="1" x14ac:dyDescent="0.25">
      <c r="B172" s="1"/>
      <c r="C172" s="1"/>
      <c r="D172" s="1"/>
      <c r="E172" s="1"/>
      <c r="F172" s="1"/>
      <c r="G172" s="1"/>
      <c r="H172" s="1"/>
      <c r="I172" s="1"/>
    </row>
    <row r="173" spans="2:9" ht="15.75" customHeight="1" x14ac:dyDescent="0.25">
      <c r="B173" s="1"/>
      <c r="C173" s="1"/>
      <c r="D173" s="1"/>
      <c r="E173" s="1"/>
      <c r="F173" s="1"/>
      <c r="G173" s="1"/>
      <c r="H173" s="1"/>
      <c r="I173" s="1"/>
    </row>
    <row r="174" spans="2:9" ht="15.75" customHeight="1" x14ac:dyDescent="0.25">
      <c r="B174" s="1"/>
      <c r="C174" s="1"/>
      <c r="D174" s="1"/>
      <c r="E174" s="1"/>
      <c r="F174" s="1"/>
      <c r="G174" s="1"/>
      <c r="H174" s="1"/>
      <c r="I174" s="1"/>
    </row>
    <row r="175" spans="2:9" ht="15.75" customHeight="1" x14ac:dyDescent="0.25">
      <c r="B175" s="1"/>
      <c r="C175" s="1"/>
      <c r="D175" s="1"/>
      <c r="E175" s="1"/>
      <c r="F175" s="1"/>
      <c r="G175" s="1"/>
      <c r="H175" s="1"/>
      <c r="I175" s="1"/>
    </row>
    <row r="176" spans="2:9" ht="15.75" customHeight="1" x14ac:dyDescent="0.25">
      <c r="B176" s="1"/>
      <c r="C176" s="1"/>
      <c r="D176" s="1"/>
      <c r="E176" s="1"/>
      <c r="F176" s="1"/>
      <c r="G176" s="1"/>
      <c r="H176" s="1"/>
      <c r="I176" s="1"/>
    </row>
    <row r="177" spans="2:9" ht="15.75" customHeight="1" x14ac:dyDescent="0.25">
      <c r="B177" s="1"/>
      <c r="C177" s="1"/>
      <c r="D177" s="1"/>
      <c r="E177" s="1"/>
      <c r="F177" s="1"/>
      <c r="G177" s="1"/>
      <c r="H177" s="1"/>
      <c r="I177" s="1"/>
    </row>
    <row r="178" spans="2:9" ht="15.75" customHeight="1" x14ac:dyDescent="0.25">
      <c r="B178" s="1"/>
      <c r="C178" s="1"/>
      <c r="D178" s="1"/>
      <c r="E178" s="1"/>
      <c r="F178" s="1"/>
      <c r="G178" s="1"/>
      <c r="H178" s="1"/>
      <c r="I178" s="1"/>
    </row>
    <row r="179" spans="2:9" ht="15.75" customHeight="1" x14ac:dyDescent="0.25">
      <c r="B179" s="1"/>
      <c r="C179" s="1"/>
      <c r="D179" s="1"/>
      <c r="E179" s="1"/>
      <c r="F179" s="1"/>
      <c r="G179" s="1"/>
      <c r="H179" s="1"/>
      <c r="I179" s="1"/>
    </row>
    <row r="180" spans="2:9" ht="15.75" customHeight="1" x14ac:dyDescent="0.25">
      <c r="B180" s="1"/>
      <c r="C180" s="1"/>
      <c r="D180" s="1"/>
      <c r="E180" s="1"/>
      <c r="F180" s="1"/>
      <c r="G180" s="1"/>
      <c r="H180" s="1"/>
      <c r="I180" s="1"/>
    </row>
    <row r="181" spans="2:9" ht="15.75" customHeight="1" x14ac:dyDescent="0.25">
      <c r="B181" s="1"/>
      <c r="C181" s="1"/>
      <c r="D181" s="1"/>
      <c r="E181" s="1"/>
      <c r="F181" s="1"/>
      <c r="G181" s="1"/>
      <c r="H181" s="1"/>
      <c r="I181" s="1"/>
    </row>
    <row r="182" spans="2:9" ht="15.75" customHeight="1" x14ac:dyDescent="0.25">
      <c r="B182" s="1"/>
      <c r="C182" s="1"/>
      <c r="D182" s="1"/>
      <c r="E182" s="1"/>
      <c r="F182" s="1"/>
      <c r="G182" s="1"/>
      <c r="H182" s="1"/>
      <c r="I182" s="1"/>
    </row>
    <row r="183" spans="2:9" ht="15.75" customHeight="1" x14ac:dyDescent="0.25">
      <c r="B183" s="1"/>
      <c r="C183" s="1"/>
      <c r="D183" s="1"/>
      <c r="E183" s="1"/>
      <c r="F183" s="1"/>
      <c r="G183" s="1"/>
      <c r="H183" s="1"/>
      <c r="I183" s="1"/>
    </row>
    <row r="184" spans="2:9" ht="15.75" customHeight="1" x14ac:dyDescent="0.25">
      <c r="B184" s="1"/>
      <c r="C184" s="1"/>
      <c r="D184" s="1"/>
      <c r="E184" s="1"/>
      <c r="F184" s="1"/>
      <c r="G184" s="1"/>
      <c r="H184" s="1"/>
      <c r="I184" s="1"/>
    </row>
    <row r="185" spans="2:9" ht="15.75" customHeight="1" x14ac:dyDescent="0.25">
      <c r="B185" s="1"/>
      <c r="C185" s="1"/>
      <c r="D185" s="1"/>
      <c r="E185" s="1"/>
      <c r="F185" s="1"/>
      <c r="G185" s="1"/>
      <c r="H185" s="1"/>
      <c r="I185" s="1"/>
    </row>
    <row r="186" spans="2:9" ht="15.75" customHeight="1" x14ac:dyDescent="0.25">
      <c r="B186" s="1"/>
      <c r="C186" s="1"/>
      <c r="D186" s="1"/>
      <c r="E186" s="1"/>
      <c r="F186" s="1"/>
      <c r="G186" s="1"/>
      <c r="H186" s="1"/>
      <c r="I186" s="1"/>
    </row>
    <row r="187" spans="2:9" ht="15.75" customHeight="1" x14ac:dyDescent="0.25">
      <c r="B187" s="1"/>
      <c r="C187" s="1"/>
      <c r="D187" s="1"/>
      <c r="E187" s="1"/>
      <c r="F187" s="1"/>
      <c r="G187" s="1"/>
      <c r="H187" s="1"/>
      <c r="I187" s="1"/>
    </row>
    <row r="188" spans="2:9" ht="15.75" customHeight="1" x14ac:dyDescent="0.25">
      <c r="B188" s="1"/>
      <c r="C188" s="1"/>
      <c r="D188" s="1"/>
      <c r="E188" s="1"/>
      <c r="F188" s="1"/>
      <c r="G188" s="1"/>
      <c r="H188" s="1"/>
      <c r="I188" s="1"/>
    </row>
    <row r="189" spans="2:9" ht="15.75" customHeight="1" x14ac:dyDescent="0.25">
      <c r="B189" s="1"/>
      <c r="C189" s="1"/>
      <c r="D189" s="1"/>
      <c r="E189" s="1"/>
      <c r="F189" s="1"/>
      <c r="G189" s="1"/>
      <c r="H189" s="1"/>
      <c r="I189" s="1"/>
    </row>
    <row r="190" spans="2:9" ht="15.75" customHeight="1" x14ac:dyDescent="0.25">
      <c r="B190" s="1"/>
      <c r="C190" s="1"/>
      <c r="D190" s="1"/>
      <c r="E190" s="1"/>
      <c r="F190" s="1"/>
      <c r="G190" s="1"/>
      <c r="H190" s="1"/>
      <c r="I190" s="1"/>
    </row>
    <row r="191" spans="2:9" ht="15.75" customHeight="1" x14ac:dyDescent="0.25">
      <c r="B191" s="1"/>
      <c r="C191" s="1"/>
      <c r="D191" s="1"/>
      <c r="E191" s="1"/>
      <c r="F191" s="1"/>
      <c r="G191" s="1"/>
      <c r="H191" s="1"/>
      <c r="I191" s="1"/>
    </row>
    <row r="192" spans="2:9" ht="15.75" customHeight="1" x14ac:dyDescent="0.25">
      <c r="B192" s="1"/>
      <c r="C192" s="1"/>
      <c r="D192" s="1"/>
      <c r="E192" s="1"/>
      <c r="F192" s="1"/>
      <c r="G192" s="1"/>
      <c r="H192" s="1"/>
      <c r="I192" s="1"/>
    </row>
    <row r="193" spans="2:9" ht="15.75" customHeight="1" x14ac:dyDescent="0.25">
      <c r="B193" s="1"/>
      <c r="C193" s="1"/>
      <c r="D193" s="1"/>
      <c r="E193" s="1"/>
      <c r="F193" s="1"/>
      <c r="G193" s="1"/>
      <c r="H193" s="1"/>
      <c r="I193" s="1"/>
    </row>
    <row r="194" spans="2:9" ht="15.75" customHeight="1" x14ac:dyDescent="0.25">
      <c r="B194" s="1"/>
      <c r="C194" s="1"/>
      <c r="D194" s="1"/>
      <c r="E194" s="1"/>
      <c r="F194" s="1"/>
      <c r="G194" s="1"/>
      <c r="H194" s="1"/>
      <c r="I194" s="1"/>
    </row>
    <row r="195" spans="2:9" ht="15.75" customHeight="1" x14ac:dyDescent="0.25">
      <c r="B195" s="1"/>
      <c r="C195" s="1"/>
      <c r="D195" s="1"/>
      <c r="E195" s="1"/>
      <c r="F195" s="1"/>
      <c r="G195" s="1"/>
      <c r="H195" s="1"/>
      <c r="I195" s="1"/>
    </row>
    <row r="196" spans="2:9" ht="15.75" customHeight="1" x14ac:dyDescent="0.25">
      <c r="B196" s="1"/>
      <c r="C196" s="1"/>
      <c r="D196" s="1"/>
      <c r="E196" s="1"/>
      <c r="F196" s="1"/>
      <c r="G196" s="1"/>
      <c r="H196" s="1"/>
      <c r="I196" s="1"/>
    </row>
    <row r="197" spans="2:9" ht="15.75" customHeight="1" x14ac:dyDescent="0.25">
      <c r="B197" s="1"/>
      <c r="C197" s="1"/>
      <c r="D197" s="1"/>
      <c r="E197" s="1"/>
      <c r="F197" s="1"/>
      <c r="G197" s="1"/>
      <c r="H197" s="1"/>
      <c r="I197" s="1"/>
    </row>
    <row r="198" spans="2:9" ht="15.75" customHeight="1" x14ac:dyDescent="0.25">
      <c r="B198" s="1"/>
      <c r="C198" s="1"/>
      <c r="D198" s="1"/>
      <c r="E198" s="1"/>
      <c r="F198" s="1"/>
      <c r="G198" s="1"/>
      <c r="H198" s="1"/>
      <c r="I198" s="1"/>
    </row>
    <row r="199" spans="2:9" ht="15.75" customHeight="1" x14ac:dyDescent="0.25">
      <c r="B199" s="1"/>
      <c r="C199" s="1"/>
      <c r="D199" s="1"/>
      <c r="E199" s="1"/>
      <c r="F199" s="1"/>
      <c r="G199" s="1"/>
      <c r="H199" s="1"/>
      <c r="I199" s="1"/>
    </row>
    <row r="200" spans="2:9" ht="15.75" customHeight="1" x14ac:dyDescent="0.25">
      <c r="B200" s="1"/>
      <c r="C200" s="1"/>
      <c r="D200" s="1"/>
      <c r="E200" s="1"/>
      <c r="F200" s="1"/>
      <c r="G200" s="1"/>
      <c r="H200" s="1"/>
      <c r="I200" s="1"/>
    </row>
    <row r="201" spans="2:9" ht="15.75" customHeight="1" x14ac:dyDescent="0.25">
      <c r="B201" s="1"/>
      <c r="C201" s="1"/>
      <c r="D201" s="1"/>
      <c r="E201" s="1"/>
      <c r="F201" s="1"/>
      <c r="G201" s="1"/>
      <c r="H201" s="1"/>
      <c r="I201" s="1"/>
    </row>
    <row r="202" spans="2:9" ht="15.75" customHeight="1" x14ac:dyDescent="0.25">
      <c r="B202" s="1"/>
      <c r="C202" s="1"/>
      <c r="D202" s="1"/>
      <c r="E202" s="1"/>
      <c r="F202" s="1"/>
      <c r="G202" s="1"/>
      <c r="H202" s="1"/>
      <c r="I202" s="1"/>
    </row>
    <row r="203" spans="2:9" ht="15.75" customHeight="1" x14ac:dyDescent="0.25">
      <c r="B203" s="1"/>
      <c r="C203" s="1"/>
      <c r="D203" s="1"/>
      <c r="E203" s="1"/>
      <c r="F203" s="1"/>
      <c r="G203" s="1"/>
      <c r="H203" s="1"/>
      <c r="I203" s="1"/>
    </row>
    <row r="204" spans="2:9" ht="15.75" customHeight="1" x14ac:dyDescent="0.25">
      <c r="B204" s="1"/>
      <c r="C204" s="1"/>
      <c r="D204" s="1"/>
      <c r="E204" s="1"/>
      <c r="F204" s="1"/>
      <c r="G204" s="1"/>
      <c r="H204" s="1"/>
      <c r="I204" s="1"/>
    </row>
    <row r="205" spans="2:9" ht="15.75" customHeight="1" x14ac:dyDescent="0.25">
      <c r="B205" s="1"/>
      <c r="C205" s="1"/>
      <c r="D205" s="1"/>
      <c r="E205" s="1"/>
      <c r="F205" s="1"/>
      <c r="G205" s="1"/>
      <c r="H205" s="1"/>
      <c r="I205" s="1"/>
    </row>
    <row r="206" spans="2:9" ht="15.75" customHeight="1" x14ac:dyDescent="0.25">
      <c r="B206" s="1"/>
      <c r="C206" s="1"/>
      <c r="D206" s="1"/>
      <c r="E206" s="1"/>
      <c r="F206" s="1"/>
      <c r="G206" s="1"/>
      <c r="H206" s="1"/>
      <c r="I206" s="1"/>
    </row>
    <row r="207" spans="2:9" ht="15.75" customHeight="1" x14ac:dyDescent="0.25">
      <c r="B207" s="1"/>
      <c r="C207" s="1"/>
      <c r="D207" s="1"/>
      <c r="E207" s="1"/>
      <c r="F207" s="1"/>
      <c r="G207" s="1"/>
      <c r="H207" s="1"/>
      <c r="I207" s="1"/>
    </row>
    <row r="208" spans="2:9" ht="15.75" customHeight="1" x14ac:dyDescent="0.25">
      <c r="B208" s="1"/>
      <c r="C208" s="1"/>
      <c r="D208" s="1"/>
      <c r="E208" s="1"/>
      <c r="F208" s="1"/>
      <c r="G208" s="1"/>
      <c r="H208" s="1"/>
      <c r="I208" s="1"/>
    </row>
    <row r="209" spans="2:9" ht="15.75" customHeight="1" x14ac:dyDescent="0.25">
      <c r="B209" s="1"/>
      <c r="C209" s="1"/>
      <c r="D209" s="1"/>
      <c r="E209" s="1"/>
      <c r="F209" s="1"/>
      <c r="G209" s="1"/>
      <c r="H209" s="1"/>
      <c r="I209" s="1"/>
    </row>
    <row r="210" spans="2:9" ht="15.75" customHeight="1" x14ac:dyDescent="0.25">
      <c r="B210" s="1"/>
      <c r="C210" s="1"/>
      <c r="D210" s="1"/>
      <c r="E210" s="1"/>
      <c r="F210" s="1"/>
      <c r="G210" s="1"/>
      <c r="H210" s="1"/>
      <c r="I210" s="1"/>
    </row>
    <row r="211" spans="2:9" ht="15.75" customHeight="1" x14ac:dyDescent="0.25">
      <c r="B211" s="1"/>
      <c r="C211" s="1"/>
      <c r="D211" s="1"/>
      <c r="E211" s="1"/>
      <c r="F211" s="1"/>
      <c r="G211" s="1"/>
      <c r="H211" s="1"/>
      <c r="I211" s="1"/>
    </row>
    <row r="212" spans="2:9" ht="15.75" customHeight="1" x14ac:dyDescent="0.25">
      <c r="B212" s="1"/>
      <c r="C212" s="1"/>
      <c r="D212" s="1"/>
      <c r="E212" s="1"/>
      <c r="F212" s="1"/>
      <c r="G212" s="1"/>
      <c r="H212" s="1"/>
      <c r="I212" s="1"/>
    </row>
    <row r="213" spans="2:9" ht="15.75" customHeight="1" x14ac:dyDescent="0.25">
      <c r="B213" s="1"/>
      <c r="C213" s="1"/>
      <c r="D213" s="1"/>
      <c r="E213" s="1"/>
      <c r="F213" s="1"/>
      <c r="G213" s="1"/>
      <c r="H213" s="1"/>
      <c r="I213" s="1"/>
    </row>
    <row r="214" spans="2:9" ht="15.75" customHeight="1" x14ac:dyDescent="0.25">
      <c r="B214" s="1"/>
      <c r="C214" s="1"/>
      <c r="D214" s="1"/>
      <c r="E214" s="1"/>
      <c r="F214" s="1"/>
      <c r="G214" s="1"/>
      <c r="H214" s="1"/>
      <c r="I214" s="1"/>
    </row>
    <row r="215" spans="2:9" ht="15.75" customHeight="1" x14ac:dyDescent="0.25">
      <c r="B215" s="1"/>
      <c r="C215" s="1"/>
      <c r="D215" s="1"/>
      <c r="E215" s="1"/>
      <c r="F215" s="1"/>
      <c r="G215" s="1"/>
      <c r="H215" s="1"/>
      <c r="I215" s="1"/>
    </row>
    <row r="216" spans="2:9" ht="15.75" customHeight="1" x14ac:dyDescent="0.25">
      <c r="B216" s="1"/>
      <c r="C216" s="1"/>
      <c r="D216" s="1"/>
      <c r="E216" s="1"/>
      <c r="F216" s="1"/>
      <c r="G216" s="1"/>
      <c r="H216" s="1"/>
      <c r="I216" s="1"/>
    </row>
    <row r="217" spans="2:9" ht="15.75" customHeight="1" x14ac:dyDescent="0.25">
      <c r="B217" s="1"/>
      <c r="C217" s="1"/>
      <c r="D217" s="1"/>
      <c r="E217" s="1"/>
      <c r="F217" s="1"/>
      <c r="G217" s="1"/>
      <c r="H217" s="1"/>
      <c r="I217" s="1"/>
    </row>
    <row r="218" spans="2:9" ht="15.75" customHeight="1" x14ac:dyDescent="0.25">
      <c r="B218" s="1"/>
      <c r="C218" s="1"/>
      <c r="D218" s="1"/>
      <c r="E218" s="1"/>
      <c r="F218" s="1"/>
      <c r="G218" s="1"/>
      <c r="H218" s="1"/>
      <c r="I218" s="1"/>
    </row>
    <row r="219" spans="2:9" ht="15.75" customHeight="1" x14ac:dyDescent="0.25">
      <c r="B219" s="1"/>
      <c r="C219" s="1"/>
      <c r="D219" s="1"/>
      <c r="E219" s="1"/>
      <c r="F219" s="1"/>
      <c r="G219" s="1"/>
      <c r="H219" s="1"/>
      <c r="I219" s="1"/>
    </row>
    <row r="220" spans="2:9" ht="15.75" customHeight="1" x14ac:dyDescent="0.25">
      <c r="B220" s="1"/>
      <c r="C220" s="1"/>
      <c r="D220" s="1"/>
      <c r="E220" s="1"/>
      <c r="F220" s="1"/>
      <c r="G220" s="1"/>
      <c r="H220" s="1"/>
      <c r="I220" s="1"/>
    </row>
    <row r="221" spans="2:9" ht="15.75" customHeight="1" x14ac:dyDescent="0.25">
      <c r="B221" s="1"/>
      <c r="C221" s="1"/>
      <c r="D221" s="1"/>
      <c r="E221" s="1"/>
      <c r="F221" s="1"/>
      <c r="G221" s="1"/>
      <c r="H221" s="1"/>
      <c r="I221" s="1"/>
    </row>
    <row r="222" spans="2:9" ht="15.75" customHeight="1" x14ac:dyDescent="0.25">
      <c r="B222" s="1"/>
      <c r="C222" s="1"/>
      <c r="D222" s="1"/>
      <c r="E222" s="1"/>
      <c r="F222" s="1"/>
      <c r="G222" s="1"/>
      <c r="H222" s="1"/>
      <c r="I222" s="1"/>
    </row>
    <row r="223" spans="2:9" ht="15.75" customHeight="1" x14ac:dyDescent="0.25">
      <c r="B223" s="1"/>
      <c r="C223" s="1"/>
      <c r="D223" s="1"/>
      <c r="E223" s="1"/>
      <c r="F223" s="1"/>
      <c r="G223" s="1"/>
      <c r="H223" s="1"/>
      <c r="I223" s="1"/>
    </row>
    <row r="224" spans="2:9" ht="15.75" customHeight="1" x14ac:dyDescent="0.25">
      <c r="B224" s="1"/>
      <c r="C224" s="1"/>
      <c r="D224" s="1"/>
      <c r="E224" s="1"/>
      <c r="F224" s="1"/>
      <c r="G224" s="1"/>
      <c r="H224" s="1"/>
      <c r="I224" s="1"/>
    </row>
    <row r="225" spans="2:9" ht="15.75" customHeight="1" x14ac:dyDescent="0.25">
      <c r="B225" s="1"/>
      <c r="C225" s="1"/>
      <c r="D225" s="1"/>
      <c r="E225" s="1"/>
      <c r="F225" s="1"/>
      <c r="G225" s="1"/>
      <c r="H225" s="1"/>
      <c r="I225" s="1"/>
    </row>
    <row r="226" spans="2:9" ht="15.75" customHeight="1" x14ac:dyDescent="0.25">
      <c r="B226" s="1"/>
      <c r="C226" s="1"/>
      <c r="D226" s="1"/>
      <c r="E226" s="1"/>
      <c r="F226" s="1"/>
      <c r="G226" s="1"/>
      <c r="H226" s="1"/>
      <c r="I226" s="1"/>
    </row>
    <row r="227" spans="2:9" ht="15.75" customHeight="1" x14ac:dyDescent="0.25">
      <c r="B227" s="1"/>
      <c r="C227" s="1"/>
      <c r="D227" s="1"/>
      <c r="E227" s="1"/>
      <c r="F227" s="1"/>
      <c r="G227" s="1"/>
      <c r="H227" s="1"/>
      <c r="I227" s="1"/>
    </row>
    <row r="228" spans="2:9" ht="15.75" customHeight="1" x14ac:dyDescent="0.25">
      <c r="B228" s="1"/>
      <c r="C228" s="1"/>
      <c r="D228" s="1"/>
      <c r="E228" s="1"/>
      <c r="F228" s="1"/>
      <c r="G228" s="1"/>
      <c r="H228" s="1"/>
      <c r="I228" s="1"/>
    </row>
    <row r="229" spans="2:9" ht="15.75" customHeight="1" x14ac:dyDescent="0.25">
      <c r="B229" s="1"/>
      <c r="C229" s="1"/>
      <c r="D229" s="1"/>
      <c r="E229" s="1"/>
      <c r="F229" s="1"/>
      <c r="G229" s="1"/>
      <c r="H229" s="1"/>
      <c r="I229" s="1"/>
    </row>
    <row r="230" spans="2:9" ht="15.75" customHeight="1" x14ac:dyDescent="0.25">
      <c r="B230" s="1"/>
      <c r="C230" s="1"/>
      <c r="D230" s="1"/>
      <c r="E230" s="1"/>
      <c r="F230" s="1"/>
      <c r="G230" s="1"/>
      <c r="H230" s="1"/>
      <c r="I230" s="1"/>
    </row>
    <row r="231" spans="2:9" ht="15.75" customHeight="1" x14ac:dyDescent="0.25">
      <c r="B231" s="1"/>
      <c r="C231" s="1"/>
      <c r="D231" s="1"/>
      <c r="E231" s="1"/>
      <c r="F231" s="1"/>
      <c r="G231" s="1"/>
      <c r="H231" s="1"/>
      <c r="I231" s="1"/>
    </row>
    <row r="232" spans="2:9" ht="15.75" customHeight="1" x14ac:dyDescent="0.25">
      <c r="B232" s="1"/>
      <c r="C232" s="1"/>
      <c r="D232" s="1"/>
      <c r="E232" s="1"/>
      <c r="F232" s="1"/>
      <c r="G232" s="1"/>
      <c r="H232" s="1"/>
      <c r="I232" s="1"/>
    </row>
    <row r="233" spans="2:9" ht="15.75" customHeight="1" x14ac:dyDescent="0.25">
      <c r="B233" s="1"/>
      <c r="C233" s="1"/>
      <c r="D233" s="1"/>
      <c r="E233" s="1"/>
      <c r="F233" s="1"/>
      <c r="G233" s="1"/>
      <c r="H233" s="1"/>
      <c r="I233" s="1"/>
    </row>
    <row r="234" spans="2:9" ht="15.75" customHeight="1" x14ac:dyDescent="0.25">
      <c r="B234" s="1"/>
      <c r="C234" s="1"/>
      <c r="D234" s="1"/>
      <c r="E234" s="1"/>
      <c r="F234" s="1"/>
      <c r="G234" s="1"/>
      <c r="H234" s="1"/>
      <c r="I234" s="1"/>
    </row>
    <row r="235" spans="2:9" ht="15.75" customHeight="1" x14ac:dyDescent="0.25">
      <c r="B235" s="1"/>
      <c r="C235" s="1"/>
      <c r="D235" s="1"/>
      <c r="E235" s="1"/>
      <c r="F235" s="1"/>
      <c r="G235" s="1"/>
      <c r="H235" s="1"/>
      <c r="I235" s="1"/>
    </row>
    <row r="236" spans="2:9" ht="15.75" customHeight="1" x14ac:dyDescent="0.25">
      <c r="B236" s="1"/>
      <c r="C236" s="1"/>
      <c r="D236" s="1"/>
      <c r="E236" s="1"/>
      <c r="F236" s="1"/>
      <c r="G236" s="1"/>
      <c r="H236" s="1"/>
      <c r="I236" s="1"/>
    </row>
    <row r="237" spans="2:9" ht="15.75" customHeight="1" x14ac:dyDescent="0.25">
      <c r="B237" s="1"/>
      <c r="C237" s="1"/>
      <c r="D237" s="1"/>
      <c r="E237" s="1"/>
      <c r="F237" s="1"/>
      <c r="G237" s="1"/>
      <c r="H237" s="1"/>
      <c r="I237" s="1"/>
    </row>
    <row r="238" spans="2:9" ht="15.75" customHeight="1" x14ac:dyDescent="0.25">
      <c r="B238" s="1"/>
      <c r="C238" s="1"/>
      <c r="D238" s="1"/>
      <c r="E238" s="1"/>
      <c r="F238" s="1"/>
      <c r="G238" s="1"/>
      <c r="H238" s="1"/>
      <c r="I238" s="1"/>
    </row>
    <row r="239" spans="2:9" ht="15.75" customHeight="1" x14ac:dyDescent="0.25">
      <c r="B239" s="1"/>
      <c r="C239" s="1"/>
      <c r="D239" s="1"/>
      <c r="E239" s="1"/>
      <c r="F239" s="1"/>
      <c r="G239" s="1"/>
      <c r="H239" s="1"/>
      <c r="I239" s="1"/>
    </row>
    <row r="240" spans="2:9" ht="15.75" customHeight="1" x14ac:dyDescent="0.25">
      <c r="B240" s="1"/>
      <c r="C240" s="1"/>
      <c r="D240" s="1"/>
      <c r="E240" s="1"/>
      <c r="F240" s="1"/>
      <c r="G240" s="1"/>
      <c r="H240" s="1"/>
      <c r="I240" s="1"/>
    </row>
    <row r="241" spans="2:9" ht="15.75" customHeight="1" x14ac:dyDescent="0.25">
      <c r="B241" s="1"/>
      <c r="C241" s="1"/>
      <c r="D241" s="1"/>
      <c r="E241" s="1"/>
      <c r="F241" s="1"/>
      <c r="G241" s="1"/>
      <c r="H241" s="1"/>
      <c r="I241" s="1"/>
    </row>
    <row r="242" spans="2:9" ht="15.75" customHeight="1" x14ac:dyDescent="0.25">
      <c r="B242" s="1"/>
      <c r="C242" s="1"/>
      <c r="D242" s="1"/>
      <c r="E242" s="1"/>
      <c r="F242" s="1"/>
      <c r="G242" s="1"/>
      <c r="H242" s="1"/>
      <c r="I242" s="1"/>
    </row>
    <row r="243" spans="2:9" ht="15.75" customHeight="1" x14ac:dyDescent="0.25">
      <c r="B243" s="1"/>
      <c r="C243" s="1"/>
      <c r="D243" s="1"/>
      <c r="E243" s="1"/>
      <c r="F243" s="1"/>
      <c r="G243" s="1"/>
      <c r="H243" s="1"/>
      <c r="I243" s="1"/>
    </row>
    <row r="244" spans="2:9" ht="15.75" customHeight="1" x14ac:dyDescent="0.25">
      <c r="B244" s="1"/>
      <c r="C244" s="1"/>
      <c r="D244" s="1"/>
      <c r="E244" s="1"/>
      <c r="F244" s="1"/>
      <c r="G244" s="1"/>
      <c r="H244" s="1"/>
      <c r="I244" s="1"/>
    </row>
    <row r="245" spans="2:9" ht="15.75" customHeight="1" x14ac:dyDescent="0.25">
      <c r="B245" s="1"/>
      <c r="C245" s="1"/>
      <c r="D245" s="1"/>
      <c r="E245" s="1"/>
      <c r="F245" s="1"/>
      <c r="G245" s="1"/>
      <c r="H245" s="1"/>
      <c r="I245" s="1"/>
    </row>
    <row r="246" spans="2:9" ht="15.75" customHeight="1" x14ac:dyDescent="0.25">
      <c r="B246" s="1"/>
      <c r="C246" s="1"/>
      <c r="D246" s="1"/>
      <c r="E246" s="1"/>
      <c r="F246" s="1"/>
      <c r="G246" s="1"/>
      <c r="H246" s="1"/>
      <c r="I246" s="1"/>
    </row>
    <row r="247" spans="2:9" ht="15.75" customHeight="1" x14ac:dyDescent="0.25">
      <c r="B247" s="1"/>
      <c r="C247" s="1"/>
      <c r="D247" s="1"/>
      <c r="E247" s="1"/>
      <c r="F247" s="1"/>
      <c r="G247" s="1"/>
      <c r="H247" s="1"/>
      <c r="I247" s="1"/>
    </row>
    <row r="248" spans="2:9" ht="15.75" customHeight="1" x14ac:dyDescent="0.25">
      <c r="B248" s="1"/>
      <c r="C248" s="1"/>
      <c r="D248" s="1"/>
      <c r="E248" s="1"/>
      <c r="F248" s="1"/>
      <c r="G248" s="1"/>
      <c r="H248" s="1"/>
      <c r="I248" s="1"/>
    </row>
    <row r="249" spans="2:9" ht="15.75" customHeight="1" x14ac:dyDescent="0.25">
      <c r="B249" s="1"/>
      <c r="C249" s="1"/>
      <c r="D249" s="1"/>
      <c r="E249" s="1"/>
      <c r="F249" s="1"/>
      <c r="G249" s="1"/>
      <c r="H249" s="1"/>
      <c r="I249" s="1"/>
    </row>
    <row r="250" spans="2:9" ht="15.75" customHeight="1" x14ac:dyDescent="0.25">
      <c r="B250" s="1"/>
      <c r="C250" s="1"/>
      <c r="D250" s="1"/>
      <c r="E250" s="1"/>
      <c r="F250" s="1"/>
      <c r="G250" s="1"/>
      <c r="H250" s="1"/>
      <c r="I250" s="1"/>
    </row>
    <row r="251" spans="2:9" ht="15.75" customHeight="1" x14ac:dyDescent="0.25">
      <c r="B251" s="1"/>
      <c r="C251" s="1"/>
      <c r="D251" s="1"/>
      <c r="E251" s="1"/>
      <c r="F251" s="1"/>
      <c r="G251" s="1"/>
      <c r="H251" s="1"/>
      <c r="I251" s="1"/>
    </row>
    <row r="252" spans="2:9" ht="15.75" customHeight="1" x14ac:dyDescent="0.25">
      <c r="B252" s="1"/>
      <c r="C252" s="1"/>
      <c r="D252" s="1"/>
      <c r="E252" s="1"/>
      <c r="F252" s="1"/>
      <c r="G252" s="1"/>
      <c r="H252" s="1"/>
      <c r="I252" s="1"/>
    </row>
    <row r="253" spans="2:9" ht="15.75" customHeight="1" x14ac:dyDescent="0.25">
      <c r="B253" s="1"/>
      <c r="C253" s="1"/>
      <c r="D253" s="1"/>
      <c r="E253" s="1"/>
      <c r="F253" s="1"/>
      <c r="G253" s="1"/>
      <c r="H253" s="1"/>
      <c r="I253" s="1"/>
    </row>
    <row r="254" spans="2:9" ht="15.75" customHeight="1" x14ac:dyDescent="0.25">
      <c r="B254" s="1"/>
      <c r="C254" s="1"/>
      <c r="D254" s="1"/>
      <c r="E254" s="1"/>
      <c r="F254" s="1"/>
      <c r="G254" s="1"/>
      <c r="H254" s="1"/>
      <c r="I254" s="1"/>
    </row>
    <row r="255" spans="2:9" ht="15.75" customHeight="1" x14ac:dyDescent="0.25">
      <c r="B255" s="1"/>
      <c r="C255" s="1"/>
      <c r="D255" s="1"/>
      <c r="E255" s="1"/>
      <c r="F255" s="1"/>
      <c r="G255" s="1"/>
      <c r="H255" s="1"/>
      <c r="I255" s="1"/>
    </row>
    <row r="256" spans="2:9" ht="15.75" customHeight="1" x14ac:dyDescent="0.25">
      <c r="B256" s="1"/>
      <c r="C256" s="1"/>
      <c r="D256" s="1"/>
      <c r="E256" s="1"/>
      <c r="F256" s="1"/>
      <c r="G256" s="1"/>
      <c r="H256" s="1"/>
      <c r="I256" s="1"/>
    </row>
    <row r="257" spans="2:9" ht="15.75" customHeight="1" x14ac:dyDescent="0.25">
      <c r="B257" s="1"/>
      <c r="C257" s="1"/>
      <c r="D257" s="1"/>
      <c r="E257" s="1"/>
      <c r="F257" s="1"/>
      <c r="G257" s="1"/>
      <c r="H257" s="1"/>
      <c r="I257" s="1"/>
    </row>
    <row r="258" spans="2:9" ht="15.75" customHeight="1" x14ac:dyDescent="0.25">
      <c r="B258" s="1"/>
      <c r="C258" s="1"/>
      <c r="D258" s="1"/>
      <c r="E258" s="1"/>
      <c r="F258" s="1"/>
      <c r="G258" s="1"/>
      <c r="H258" s="1"/>
      <c r="I258" s="1"/>
    </row>
    <row r="259" spans="2:9" ht="15.75" customHeight="1" x14ac:dyDescent="0.25">
      <c r="B259" s="1"/>
      <c r="C259" s="1"/>
      <c r="D259" s="1"/>
      <c r="E259" s="1"/>
      <c r="F259" s="1"/>
      <c r="G259" s="1"/>
      <c r="H259" s="1"/>
      <c r="I259" s="1"/>
    </row>
    <row r="260" spans="2:9" ht="15.75" customHeight="1" x14ac:dyDescent="0.25">
      <c r="B260" s="1"/>
      <c r="C260" s="1"/>
      <c r="D260" s="1"/>
      <c r="E260" s="1"/>
      <c r="F260" s="1"/>
      <c r="G260" s="1"/>
      <c r="H260" s="1"/>
      <c r="I260" s="1"/>
    </row>
    <row r="261" spans="2:9" ht="15.75" customHeight="1" x14ac:dyDescent="0.25">
      <c r="B261" s="1"/>
      <c r="C261" s="1"/>
      <c r="D261" s="1"/>
      <c r="E261" s="1"/>
      <c r="F261" s="1"/>
      <c r="G261" s="1"/>
      <c r="H261" s="1"/>
      <c r="I261" s="1"/>
    </row>
    <row r="262" spans="2:9" ht="15.75" customHeight="1" x14ac:dyDescent="0.25">
      <c r="B262" s="1"/>
      <c r="C262" s="1"/>
      <c r="D262" s="1"/>
      <c r="E262" s="1"/>
      <c r="F262" s="1"/>
      <c r="G262" s="1"/>
      <c r="H262" s="1"/>
      <c r="I262" s="1"/>
    </row>
    <row r="263" spans="2:9" ht="15.75" customHeight="1" x14ac:dyDescent="0.25">
      <c r="B263" s="1"/>
      <c r="C263" s="1"/>
      <c r="D263" s="1"/>
      <c r="E263" s="1"/>
      <c r="F263" s="1"/>
      <c r="G263" s="1"/>
      <c r="H263" s="1"/>
      <c r="I263" s="1"/>
    </row>
    <row r="264" spans="2:9" ht="15.75" customHeight="1" x14ac:dyDescent="0.25">
      <c r="B264" s="1"/>
      <c r="C264" s="1"/>
      <c r="D264" s="1"/>
      <c r="E264" s="1"/>
      <c r="F264" s="1"/>
      <c r="G264" s="1"/>
      <c r="H264" s="1"/>
      <c r="I264" s="1"/>
    </row>
    <row r="265" spans="2:9" ht="15.75" customHeight="1" x14ac:dyDescent="0.25">
      <c r="B265" s="1"/>
      <c r="C265" s="1"/>
      <c r="D265" s="1"/>
      <c r="E265" s="1"/>
      <c r="F265" s="1"/>
      <c r="G265" s="1"/>
      <c r="H265" s="1"/>
      <c r="I265" s="1"/>
    </row>
    <row r="266" spans="2:9" ht="15.75" customHeight="1" x14ac:dyDescent="0.25">
      <c r="B266" s="1"/>
      <c r="C266" s="1"/>
      <c r="D266" s="1"/>
      <c r="E266" s="1"/>
      <c r="F266" s="1"/>
      <c r="G266" s="1"/>
      <c r="H266" s="1"/>
      <c r="I266" s="1"/>
    </row>
    <row r="267" spans="2:9" ht="15.75" customHeight="1" x14ac:dyDescent="0.25">
      <c r="B267" s="1"/>
      <c r="C267" s="1"/>
      <c r="D267" s="1"/>
      <c r="E267" s="1"/>
      <c r="F267" s="1"/>
      <c r="G267" s="1"/>
      <c r="H267" s="1"/>
      <c r="I267" s="1"/>
    </row>
    <row r="268" spans="2:9" ht="15.75" customHeight="1" x14ac:dyDescent="0.25">
      <c r="B268" s="1"/>
      <c r="C268" s="1"/>
      <c r="D268" s="1"/>
      <c r="E268" s="1"/>
      <c r="F268" s="1"/>
      <c r="G268" s="1"/>
      <c r="H268" s="1"/>
      <c r="I268" s="1"/>
    </row>
    <row r="269" spans="2:9" ht="15.75" customHeight="1" x14ac:dyDescent="0.25">
      <c r="B269" s="1"/>
      <c r="C269" s="1"/>
      <c r="D269" s="1"/>
      <c r="E269" s="1"/>
      <c r="F269" s="1"/>
      <c r="G269" s="1"/>
      <c r="H269" s="1"/>
      <c r="I269" s="1"/>
    </row>
    <row r="270" spans="2:9" ht="15.75" customHeight="1" x14ac:dyDescent="0.25">
      <c r="B270" s="1"/>
      <c r="C270" s="1"/>
      <c r="D270" s="1"/>
      <c r="E270" s="1"/>
      <c r="F270" s="1"/>
      <c r="G270" s="1"/>
      <c r="H270" s="1"/>
      <c r="I270" s="1"/>
    </row>
    <row r="271" spans="2:9" ht="15.75" customHeight="1" x14ac:dyDescent="0.25">
      <c r="B271" s="1"/>
      <c r="C271" s="1"/>
      <c r="D271" s="1"/>
      <c r="E271" s="1"/>
      <c r="F271" s="1"/>
      <c r="G271" s="1"/>
      <c r="H271" s="1"/>
      <c r="I271" s="1"/>
    </row>
    <row r="272" spans="2:9" ht="15.75" customHeight="1" x14ac:dyDescent="0.25">
      <c r="B272" s="1"/>
      <c r="C272" s="1"/>
      <c r="D272" s="1"/>
      <c r="E272" s="1"/>
      <c r="F272" s="1"/>
      <c r="G272" s="1"/>
      <c r="H272" s="1"/>
      <c r="I272" s="1"/>
    </row>
    <row r="273" spans="2:9" ht="15.75" customHeight="1" x14ac:dyDescent="0.25">
      <c r="B273" s="1"/>
      <c r="C273" s="1"/>
      <c r="D273" s="1"/>
      <c r="E273" s="1"/>
      <c r="F273" s="1"/>
      <c r="G273" s="1"/>
      <c r="H273" s="1"/>
      <c r="I273" s="1"/>
    </row>
    <row r="274" spans="2:9" ht="15.75" customHeight="1" x14ac:dyDescent="0.25">
      <c r="B274" s="1"/>
      <c r="C274" s="1"/>
      <c r="D274" s="1"/>
      <c r="E274" s="1"/>
      <c r="F274" s="1"/>
      <c r="G274" s="1"/>
      <c r="H274" s="1"/>
      <c r="I274" s="1"/>
    </row>
    <row r="275" spans="2:9" ht="15.75" customHeight="1" x14ac:dyDescent="0.25">
      <c r="B275" s="1"/>
      <c r="C275" s="1"/>
      <c r="D275" s="1"/>
      <c r="E275" s="1"/>
      <c r="F275" s="1"/>
      <c r="G275" s="1"/>
      <c r="H275" s="1"/>
      <c r="I275" s="1"/>
    </row>
    <row r="276" spans="2:9" ht="15.75" customHeight="1" x14ac:dyDescent="0.25">
      <c r="B276" s="1"/>
      <c r="C276" s="1"/>
      <c r="D276" s="1"/>
      <c r="E276" s="1"/>
      <c r="F276" s="1"/>
      <c r="G276" s="1"/>
      <c r="H276" s="1"/>
      <c r="I276" s="1"/>
    </row>
    <row r="277" spans="2:9" ht="15.75" customHeight="1" x14ac:dyDescent="0.25">
      <c r="B277" s="1"/>
      <c r="C277" s="1"/>
      <c r="D277" s="1"/>
      <c r="E277" s="1"/>
      <c r="F277" s="1"/>
      <c r="G277" s="1"/>
      <c r="H277" s="1"/>
      <c r="I277" s="1"/>
    </row>
    <row r="278" spans="2:9" ht="15.75" customHeight="1" x14ac:dyDescent="0.25">
      <c r="B278" s="1"/>
      <c r="C278" s="1"/>
      <c r="D278" s="1"/>
      <c r="E278" s="1"/>
      <c r="F278" s="1"/>
      <c r="G278" s="1"/>
      <c r="H278" s="1"/>
      <c r="I278" s="1"/>
    </row>
    <row r="279" spans="2:9" ht="15.75" customHeight="1" x14ac:dyDescent="0.25">
      <c r="B279" s="1"/>
      <c r="C279" s="1"/>
      <c r="D279" s="1"/>
      <c r="E279" s="1"/>
      <c r="F279" s="1"/>
      <c r="G279" s="1"/>
      <c r="H279" s="1"/>
      <c r="I279" s="1"/>
    </row>
    <row r="280" spans="2:9" ht="15.75" customHeight="1" x14ac:dyDescent="0.25">
      <c r="B280" s="1"/>
      <c r="C280" s="1"/>
      <c r="D280" s="1"/>
      <c r="E280" s="1"/>
      <c r="F280" s="1"/>
      <c r="G280" s="1"/>
      <c r="H280" s="1"/>
      <c r="I280" s="1"/>
    </row>
    <row r="281" spans="2:9" ht="15.75" customHeight="1" x14ac:dyDescent="0.25">
      <c r="B281" s="1"/>
      <c r="C281" s="1"/>
      <c r="D281" s="1"/>
      <c r="E281" s="1"/>
      <c r="F281" s="1"/>
      <c r="G281" s="1"/>
      <c r="H281" s="1"/>
      <c r="I281" s="1"/>
    </row>
    <row r="282" spans="2:9" ht="15.75" customHeight="1" x14ac:dyDescent="0.25">
      <c r="B282" s="1"/>
      <c r="C282" s="1"/>
      <c r="D282" s="1"/>
      <c r="E282" s="1"/>
      <c r="F282" s="1"/>
      <c r="G282" s="1"/>
      <c r="H282" s="1"/>
      <c r="I282" s="1"/>
    </row>
    <row r="283" spans="2:9" ht="15.75" customHeight="1" x14ac:dyDescent="0.25">
      <c r="B283" s="1"/>
      <c r="C283" s="1"/>
      <c r="D283" s="1"/>
      <c r="E283" s="1"/>
      <c r="F283" s="1"/>
      <c r="G283" s="1"/>
      <c r="H283" s="1"/>
      <c r="I283" s="1"/>
    </row>
    <row r="284" spans="2:9" ht="15.75" customHeight="1" x14ac:dyDescent="0.25">
      <c r="B284" s="1"/>
      <c r="C284" s="1"/>
      <c r="D284" s="1"/>
      <c r="E284" s="1"/>
      <c r="F284" s="1"/>
      <c r="G284" s="1"/>
      <c r="H284" s="1"/>
      <c r="I284" s="1"/>
    </row>
    <row r="285" spans="2:9" ht="15.75" customHeight="1" x14ac:dyDescent="0.25">
      <c r="B285" s="1"/>
      <c r="C285" s="1"/>
      <c r="D285" s="1"/>
      <c r="E285" s="1"/>
      <c r="F285" s="1"/>
      <c r="G285" s="1"/>
      <c r="H285" s="1"/>
      <c r="I285" s="1"/>
    </row>
    <row r="286" spans="2:9" ht="15.75" customHeight="1" x14ac:dyDescent="0.25">
      <c r="B286" s="1"/>
      <c r="C286" s="1"/>
      <c r="D286" s="1"/>
      <c r="E286" s="1"/>
      <c r="F286" s="1"/>
      <c r="G286" s="1"/>
      <c r="H286" s="1"/>
      <c r="I286" s="1"/>
    </row>
    <row r="287" spans="2:9" ht="15.75" customHeight="1" x14ac:dyDescent="0.25">
      <c r="B287" s="1"/>
      <c r="C287" s="1"/>
      <c r="D287" s="1"/>
      <c r="E287" s="1"/>
      <c r="F287" s="1"/>
      <c r="G287" s="1"/>
      <c r="H287" s="1"/>
      <c r="I287" s="1"/>
    </row>
    <row r="288" spans="2:9" ht="15.75" customHeight="1" x14ac:dyDescent="0.25">
      <c r="B288" s="1"/>
      <c r="C288" s="1"/>
      <c r="D288" s="1"/>
      <c r="E288" s="1"/>
      <c r="F288" s="1"/>
      <c r="G288" s="1"/>
      <c r="H288" s="1"/>
      <c r="I288" s="1"/>
    </row>
    <row r="289" spans="2:9" ht="15.75" customHeight="1" x14ac:dyDescent="0.25">
      <c r="B289" s="1"/>
      <c r="C289" s="1"/>
      <c r="D289" s="1"/>
      <c r="E289" s="1"/>
      <c r="F289" s="1"/>
      <c r="G289" s="1"/>
      <c r="H289" s="1"/>
      <c r="I289" s="1"/>
    </row>
    <row r="290" spans="2:9" ht="15.75" customHeight="1" x14ac:dyDescent="0.25">
      <c r="B290" s="1"/>
      <c r="C290" s="1"/>
      <c r="D290" s="1"/>
      <c r="E290" s="1"/>
      <c r="F290" s="1"/>
      <c r="G290" s="1"/>
      <c r="H290" s="1"/>
      <c r="I290" s="1"/>
    </row>
    <row r="291" spans="2:9" ht="15.75" customHeight="1" x14ac:dyDescent="0.25">
      <c r="B291" s="1"/>
      <c r="C291" s="1"/>
      <c r="D291" s="1"/>
      <c r="E291" s="1"/>
      <c r="F291" s="1"/>
      <c r="G291" s="1"/>
      <c r="H291" s="1"/>
      <c r="I291" s="1"/>
    </row>
    <row r="292" spans="2:9" ht="15.75" customHeight="1" x14ac:dyDescent="0.25">
      <c r="B292" s="1"/>
      <c r="C292" s="1"/>
      <c r="D292" s="1"/>
      <c r="E292" s="1"/>
      <c r="F292" s="1"/>
      <c r="G292" s="1"/>
      <c r="H292" s="1"/>
      <c r="I292" s="1"/>
    </row>
    <row r="293" spans="2:9" ht="15.75" customHeight="1" x14ac:dyDescent="0.25">
      <c r="B293" s="1"/>
      <c r="C293" s="1"/>
      <c r="D293" s="1"/>
      <c r="E293" s="1"/>
      <c r="F293" s="1"/>
      <c r="G293" s="1"/>
      <c r="H293" s="1"/>
      <c r="I293" s="1"/>
    </row>
    <row r="294" spans="2:9" ht="15.75" customHeight="1" x14ac:dyDescent="0.25">
      <c r="B294" s="1"/>
      <c r="C294" s="1"/>
      <c r="D294" s="1"/>
      <c r="E294" s="1"/>
      <c r="F294" s="1"/>
      <c r="G294" s="1"/>
      <c r="H294" s="1"/>
      <c r="I294" s="1"/>
    </row>
    <row r="295" spans="2:9" ht="15.75" customHeight="1" x14ac:dyDescent="0.25">
      <c r="B295" s="1"/>
      <c r="C295" s="1"/>
      <c r="D295" s="1"/>
      <c r="E295" s="1"/>
      <c r="F295" s="1"/>
      <c r="G295" s="1"/>
      <c r="H295" s="1"/>
      <c r="I295" s="1"/>
    </row>
    <row r="296" spans="2:9" ht="15.75" customHeight="1" x14ac:dyDescent="0.25">
      <c r="B296" s="1"/>
      <c r="C296" s="1"/>
      <c r="D296" s="1"/>
      <c r="E296" s="1"/>
      <c r="F296" s="1"/>
      <c r="G296" s="1"/>
      <c r="H296" s="1"/>
      <c r="I296" s="1"/>
    </row>
    <row r="297" spans="2:9" ht="15.75" customHeight="1" x14ac:dyDescent="0.25">
      <c r="B297" s="1"/>
      <c r="C297" s="1"/>
      <c r="D297" s="1"/>
      <c r="E297" s="1"/>
      <c r="F297" s="1"/>
      <c r="G297" s="1"/>
      <c r="H297" s="1"/>
      <c r="I297" s="1"/>
    </row>
    <row r="298" spans="2:9" ht="15.75" customHeight="1" x14ac:dyDescent="0.25">
      <c r="B298" s="1"/>
      <c r="C298" s="1"/>
      <c r="D298" s="1"/>
      <c r="E298" s="1"/>
      <c r="F298" s="1"/>
      <c r="G298" s="1"/>
      <c r="H298" s="1"/>
      <c r="I298" s="1"/>
    </row>
    <row r="299" spans="2:9" ht="15.75" customHeight="1" x14ac:dyDescent="0.25">
      <c r="B299" s="1"/>
      <c r="C299" s="1"/>
      <c r="D299" s="1"/>
      <c r="E299" s="1"/>
      <c r="F299" s="1"/>
      <c r="G299" s="1"/>
      <c r="H299" s="1"/>
      <c r="I299" s="1"/>
    </row>
    <row r="300" spans="2:9" ht="15.75" customHeight="1" x14ac:dyDescent="0.25">
      <c r="B300" s="1"/>
      <c r="C300" s="1"/>
      <c r="D300" s="1"/>
      <c r="E300" s="1"/>
      <c r="F300" s="1"/>
      <c r="G300" s="1"/>
      <c r="H300" s="1"/>
      <c r="I300" s="1"/>
    </row>
    <row r="301" spans="2:9" ht="15.75" customHeight="1" x14ac:dyDescent="0.25">
      <c r="B301" s="1"/>
      <c r="C301" s="1"/>
      <c r="D301" s="1"/>
      <c r="E301" s="1"/>
      <c r="F301" s="1"/>
      <c r="G301" s="1"/>
      <c r="H301" s="1"/>
      <c r="I301" s="1"/>
    </row>
    <row r="302" spans="2:9" ht="15.75" customHeight="1" x14ac:dyDescent="0.25">
      <c r="B302" s="1"/>
      <c r="C302" s="1"/>
      <c r="D302" s="1"/>
      <c r="E302" s="1"/>
      <c r="F302" s="1"/>
      <c r="G302" s="1"/>
      <c r="H302" s="1"/>
      <c r="I302" s="1"/>
    </row>
    <row r="303" spans="2:9" ht="15.75" customHeight="1" x14ac:dyDescent="0.25">
      <c r="B303" s="1"/>
      <c r="C303" s="1"/>
      <c r="D303" s="1"/>
      <c r="E303" s="1"/>
      <c r="F303" s="1"/>
      <c r="G303" s="1"/>
      <c r="H303" s="1"/>
      <c r="I303" s="1"/>
    </row>
    <row r="304" spans="2:9" ht="15.75" customHeight="1" x14ac:dyDescent="0.25">
      <c r="B304" s="1"/>
      <c r="C304" s="1"/>
      <c r="D304" s="1"/>
      <c r="E304" s="1"/>
      <c r="F304" s="1"/>
      <c r="G304" s="1"/>
      <c r="H304" s="1"/>
      <c r="I304" s="1"/>
    </row>
    <row r="305" spans="2:9" ht="15.75" customHeight="1" x14ac:dyDescent="0.25">
      <c r="B305" s="1"/>
      <c r="C305" s="1"/>
      <c r="D305" s="1"/>
      <c r="E305" s="1"/>
      <c r="F305" s="1"/>
      <c r="G305" s="1"/>
      <c r="H305" s="1"/>
      <c r="I305" s="1"/>
    </row>
    <row r="306" spans="2:9" ht="15.75" customHeight="1" x14ac:dyDescent="0.25">
      <c r="B306" s="1"/>
      <c r="C306" s="1"/>
      <c r="D306" s="1"/>
      <c r="E306" s="1"/>
      <c r="F306" s="1"/>
      <c r="G306" s="1"/>
      <c r="H306" s="1"/>
      <c r="I306" s="1"/>
    </row>
    <row r="307" spans="2:9" ht="15.75" customHeight="1" x14ac:dyDescent="0.25">
      <c r="B307" s="1"/>
      <c r="C307" s="1"/>
      <c r="D307" s="1"/>
      <c r="E307" s="1"/>
      <c r="F307" s="1"/>
      <c r="G307" s="1"/>
      <c r="H307" s="1"/>
      <c r="I307" s="1"/>
    </row>
    <row r="308" spans="2:9" ht="15.75" customHeight="1" x14ac:dyDescent="0.25">
      <c r="B308" s="1"/>
      <c r="C308" s="1"/>
      <c r="D308" s="1"/>
      <c r="E308" s="1"/>
      <c r="F308" s="1"/>
      <c r="G308" s="1"/>
      <c r="H308" s="1"/>
      <c r="I308" s="1"/>
    </row>
    <row r="309" spans="2:9" ht="15.75" customHeight="1" x14ac:dyDescent="0.25">
      <c r="B309" s="1"/>
      <c r="C309" s="1"/>
      <c r="D309" s="1"/>
      <c r="E309" s="1"/>
      <c r="F309" s="1"/>
      <c r="G309" s="1"/>
      <c r="H309" s="1"/>
      <c r="I309" s="1"/>
    </row>
    <row r="310" spans="2:9" ht="15.75" customHeight="1" x14ac:dyDescent="0.25">
      <c r="B310" s="1"/>
      <c r="C310" s="1"/>
      <c r="D310" s="1"/>
      <c r="E310" s="1"/>
      <c r="F310" s="1"/>
      <c r="G310" s="1"/>
      <c r="H310" s="1"/>
      <c r="I310" s="1"/>
    </row>
    <row r="311" spans="2:9" ht="15.75" customHeight="1" x14ac:dyDescent="0.25">
      <c r="B311" s="1"/>
      <c r="C311" s="1"/>
      <c r="D311" s="1"/>
      <c r="E311" s="1"/>
      <c r="F311" s="1"/>
      <c r="G311" s="1"/>
      <c r="H311" s="1"/>
      <c r="I311" s="1"/>
    </row>
    <row r="312" spans="2:9" ht="15.75" customHeight="1" x14ac:dyDescent="0.25">
      <c r="B312" s="1"/>
      <c r="C312" s="1"/>
      <c r="D312" s="1"/>
      <c r="E312" s="1"/>
      <c r="F312" s="1"/>
      <c r="G312" s="1"/>
      <c r="H312" s="1"/>
      <c r="I312" s="1"/>
    </row>
    <row r="313" spans="2:9" ht="15.75" customHeight="1" x14ac:dyDescent="0.25">
      <c r="B313" s="1"/>
      <c r="C313" s="1"/>
      <c r="D313" s="1"/>
      <c r="E313" s="1"/>
      <c r="F313" s="1"/>
      <c r="G313" s="1"/>
      <c r="H313" s="1"/>
      <c r="I313" s="1"/>
    </row>
    <row r="314" spans="2:9" ht="15.75" customHeight="1" x14ac:dyDescent="0.25">
      <c r="B314" s="1"/>
      <c r="C314" s="1"/>
      <c r="D314" s="1"/>
      <c r="E314" s="1"/>
      <c r="F314" s="1"/>
      <c r="G314" s="1"/>
      <c r="H314" s="1"/>
      <c r="I314" s="1"/>
    </row>
    <row r="315" spans="2:9" ht="15.75" customHeight="1" x14ac:dyDescent="0.25">
      <c r="B315" s="1"/>
      <c r="C315" s="1"/>
      <c r="D315" s="1"/>
      <c r="E315" s="1"/>
      <c r="F315" s="1"/>
      <c r="G315" s="1"/>
      <c r="H315" s="1"/>
      <c r="I315" s="1"/>
    </row>
    <row r="316" spans="2:9" ht="15.75" customHeight="1" x14ac:dyDescent="0.25">
      <c r="B316" s="1"/>
      <c r="C316" s="1"/>
      <c r="D316" s="1"/>
      <c r="E316" s="1"/>
      <c r="F316" s="1"/>
      <c r="G316" s="1"/>
      <c r="H316" s="1"/>
      <c r="I316" s="1"/>
    </row>
    <row r="317" spans="2:9" ht="15.75" customHeight="1" x14ac:dyDescent="0.25">
      <c r="B317" s="1"/>
      <c r="C317" s="1"/>
      <c r="D317" s="1"/>
      <c r="E317" s="1"/>
      <c r="F317" s="1"/>
      <c r="G317" s="1"/>
      <c r="H317" s="1"/>
      <c r="I317" s="1"/>
    </row>
    <row r="318" spans="2:9" ht="15.75" customHeight="1" x14ac:dyDescent="0.25">
      <c r="B318" s="1"/>
      <c r="C318" s="1"/>
      <c r="D318" s="1"/>
      <c r="E318" s="1"/>
      <c r="F318" s="1"/>
      <c r="G318" s="1"/>
      <c r="H318" s="1"/>
      <c r="I318" s="1"/>
    </row>
    <row r="319" spans="2:9" ht="15.75" customHeight="1" x14ac:dyDescent="0.25">
      <c r="B319" s="1"/>
      <c r="C319" s="1"/>
      <c r="D319" s="1"/>
      <c r="E319" s="1"/>
      <c r="F319" s="1"/>
      <c r="G319" s="1"/>
      <c r="H319" s="1"/>
      <c r="I319" s="1"/>
    </row>
    <row r="320" spans="2:9" ht="15.75" customHeight="1" x14ac:dyDescent="0.25">
      <c r="B320" s="1"/>
      <c r="C320" s="1"/>
      <c r="D320" s="1"/>
      <c r="E320" s="1"/>
      <c r="F320" s="1"/>
      <c r="G320" s="1"/>
      <c r="H320" s="1"/>
      <c r="I320" s="1"/>
    </row>
    <row r="321" spans="2:9" ht="15.75" customHeight="1" x14ac:dyDescent="0.25">
      <c r="B321" s="1"/>
      <c r="C321" s="1"/>
      <c r="D321" s="1"/>
      <c r="E321" s="1"/>
      <c r="F321" s="1"/>
      <c r="G321" s="1"/>
      <c r="H321" s="1"/>
      <c r="I321" s="1"/>
    </row>
    <row r="322" spans="2:9" ht="15.75" customHeight="1" x14ac:dyDescent="0.25">
      <c r="B322" s="1"/>
      <c r="C322" s="1"/>
      <c r="D322" s="1"/>
      <c r="E322" s="1"/>
      <c r="F322" s="1"/>
      <c r="G322" s="1"/>
      <c r="H322" s="1"/>
      <c r="I322" s="1"/>
    </row>
    <row r="323" spans="2:9" ht="15.75" customHeight="1" x14ac:dyDescent="0.25">
      <c r="B323" s="1"/>
      <c r="C323" s="1"/>
      <c r="D323" s="1"/>
      <c r="E323" s="1"/>
      <c r="F323" s="1"/>
      <c r="G323" s="1"/>
      <c r="H323" s="1"/>
      <c r="I323" s="1"/>
    </row>
    <row r="324" spans="2:9" ht="15.75" customHeight="1" x14ac:dyDescent="0.25">
      <c r="B324" s="1"/>
      <c r="C324" s="1"/>
      <c r="D324" s="1"/>
      <c r="E324" s="1"/>
      <c r="F324" s="1"/>
      <c r="G324" s="1"/>
      <c r="H324" s="1"/>
      <c r="I324" s="1"/>
    </row>
    <row r="325" spans="2:9" ht="15.75" customHeight="1" x14ac:dyDescent="0.25">
      <c r="B325" s="1"/>
      <c r="C325" s="1"/>
      <c r="D325" s="1"/>
      <c r="E325" s="1"/>
      <c r="F325" s="1"/>
      <c r="G325" s="1"/>
      <c r="H325" s="1"/>
      <c r="I325" s="1"/>
    </row>
    <row r="326" spans="2:9" ht="15.75" customHeight="1" x14ac:dyDescent="0.25">
      <c r="B326" s="1"/>
      <c r="C326" s="1"/>
      <c r="D326" s="1"/>
      <c r="E326" s="1"/>
      <c r="F326" s="1"/>
      <c r="G326" s="1"/>
      <c r="H326" s="1"/>
      <c r="I326" s="1"/>
    </row>
    <row r="327" spans="2:9" ht="15.75" customHeight="1" x14ac:dyDescent="0.25">
      <c r="B327" s="1"/>
      <c r="C327" s="1"/>
      <c r="D327" s="1"/>
      <c r="E327" s="1"/>
      <c r="F327" s="1"/>
      <c r="G327" s="1"/>
      <c r="H327" s="1"/>
      <c r="I327" s="1"/>
    </row>
    <row r="328" spans="2:9" ht="15.75" customHeight="1" x14ac:dyDescent="0.25">
      <c r="B328" s="1"/>
      <c r="C328" s="1"/>
      <c r="D328" s="1"/>
      <c r="E328" s="1"/>
      <c r="F328" s="1"/>
      <c r="G328" s="1"/>
      <c r="H328" s="1"/>
      <c r="I328" s="1"/>
    </row>
    <row r="329" spans="2:9" ht="15.75" customHeight="1" x14ac:dyDescent="0.25">
      <c r="B329" s="1"/>
      <c r="C329" s="1"/>
      <c r="D329" s="1"/>
      <c r="E329" s="1"/>
      <c r="F329" s="1"/>
      <c r="G329" s="1"/>
      <c r="H329" s="1"/>
      <c r="I329" s="1"/>
    </row>
    <row r="330" spans="2:9" ht="15.75" customHeight="1" x14ac:dyDescent="0.25">
      <c r="B330" s="1"/>
      <c r="C330" s="1"/>
      <c r="D330" s="1"/>
      <c r="E330" s="1"/>
      <c r="F330" s="1"/>
      <c r="G330" s="1"/>
      <c r="H330" s="1"/>
      <c r="I330" s="1"/>
    </row>
    <row r="331" spans="2:9" ht="15.75" customHeight="1" x14ac:dyDescent="0.25">
      <c r="B331" s="1"/>
      <c r="C331" s="1"/>
      <c r="D331" s="1"/>
      <c r="E331" s="1"/>
      <c r="F331" s="1"/>
      <c r="G331" s="1"/>
      <c r="H331" s="1"/>
      <c r="I331" s="1"/>
    </row>
    <row r="332" spans="2:9" ht="15.75" customHeight="1" x14ac:dyDescent="0.25">
      <c r="B332" s="1"/>
      <c r="C332" s="1"/>
      <c r="D332" s="1"/>
      <c r="E332" s="1"/>
      <c r="F332" s="1"/>
      <c r="G332" s="1"/>
      <c r="H332" s="1"/>
      <c r="I332" s="1"/>
    </row>
    <row r="333" spans="2:9" ht="15.75" customHeight="1" x14ac:dyDescent="0.25">
      <c r="B333" s="1"/>
      <c r="C333" s="1"/>
      <c r="D333" s="1"/>
      <c r="E333" s="1"/>
      <c r="F333" s="1"/>
      <c r="G333" s="1"/>
      <c r="H333" s="1"/>
      <c r="I333" s="1"/>
    </row>
    <row r="334" spans="2:9" ht="15.75" customHeight="1" x14ac:dyDescent="0.25">
      <c r="B334" s="1"/>
      <c r="C334" s="1"/>
      <c r="D334" s="1"/>
      <c r="E334" s="1"/>
      <c r="F334" s="1"/>
      <c r="G334" s="1"/>
      <c r="H334" s="1"/>
      <c r="I334" s="1"/>
    </row>
    <row r="335" spans="2:9" ht="15.75" customHeight="1" x14ac:dyDescent="0.25">
      <c r="B335" s="1"/>
      <c r="C335" s="1"/>
      <c r="D335" s="1"/>
      <c r="E335" s="1"/>
      <c r="F335" s="1"/>
      <c r="G335" s="1"/>
      <c r="H335" s="1"/>
      <c r="I335" s="1"/>
    </row>
    <row r="336" spans="2:9" ht="15.75" customHeight="1" x14ac:dyDescent="0.25">
      <c r="B336" s="1"/>
      <c r="C336" s="1"/>
      <c r="D336" s="1"/>
      <c r="E336" s="1"/>
      <c r="F336" s="1"/>
      <c r="G336" s="1"/>
      <c r="H336" s="1"/>
      <c r="I336" s="1"/>
    </row>
    <row r="337" spans="2:9" ht="15.75" customHeight="1" x14ac:dyDescent="0.25">
      <c r="B337" s="1"/>
      <c r="C337" s="1"/>
      <c r="D337" s="1"/>
      <c r="E337" s="1"/>
      <c r="F337" s="1"/>
      <c r="G337" s="1"/>
      <c r="H337" s="1"/>
      <c r="I337" s="1"/>
    </row>
    <row r="338" spans="2:9" ht="15.75" customHeight="1" x14ac:dyDescent="0.25">
      <c r="B338" s="1"/>
      <c r="C338" s="1"/>
      <c r="D338" s="1"/>
      <c r="E338" s="1"/>
      <c r="F338" s="1"/>
      <c r="G338" s="1"/>
      <c r="H338" s="1"/>
      <c r="I338" s="1"/>
    </row>
    <row r="339" spans="2:9" ht="15.75" customHeight="1" x14ac:dyDescent="0.25">
      <c r="B339" s="1"/>
      <c r="C339" s="1"/>
      <c r="D339" s="1"/>
      <c r="E339" s="1"/>
      <c r="F339" s="1"/>
      <c r="G339" s="1"/>
      <c r="H339" s="1"/>
      <c r="I339" s="1"/>
    </row>
    <row r="340" spans="2:9" ht="15.75" customHeight="1" x14ac:dyDescent="0.25">
      <c r="B340" s="1"/>
      <c r="C340" s="1"/>
      <c r="D340" s="1"/>
      <c r="E340" s="1"/>
      <c r="F340" s="1"/>
      <c r="G340" s="1"/>
      <c r="H340" s="1"/>
      <c r="I340" s="1"/>
    </row>
    <row r="341" spans="2:9" ht="15.75" customHeight="1" x14ac:dyDescent="0.25">
      <c r="B341" s="1"/>
      <c r="C341" s="1"/>
      <c r="D341" s="1"/>
      <c r="E341" s="1"/>
      <c r="F341" s="1"/>
      <c r="G341" s="1"/>
      <c r="H341" s="1"/>
      <c r="I341" s="1"/>
    </row>
    <row r="342" spans="2:9" ht="15.75" customHeight="1" x14ac:dyDescent="0.25">
      <c r="B342" s="1"/>
      <c r="C342" s="1"/>
      <c r="D342" s="1"/>
      <c r="E342" s="1"/>
      <c r="F342" s="1"/>
      <c r="G342" s="1"/>
      <c r="H342" s="1"/>
      <c r="I342" s="1"/>
    </row>
    <row r="343" spans="2:9" ht="15.75" customHeight="1" x14ac:dyDescent="0.25">
      <c r="B343" s="1"/>
      <c r="C343" s="1"/>
      <c r="D343" s="1"/>
      <c r="E343" s="1"/>
      <c r="F343" s="1"/>
      <c r="G343" s="1"/>
      <c r="H343" s="1"/>
      <c r="I343" s="1"/>
    </row>
    <row r="344" spans="2:9" ht="15.75" customHeight="1" x14ac:dyDescent="0.25">
      <c r="B344" s="1"/>
      <c r="C344" s="1"/>
      <c r="D344" s="1"/>
      <c r="E344" s="1"/>
      <c r="F344" s="1"/>
      <c r="G344" s="1"/>
      <c r="H344" s="1"/>
      <c r="I344" s="1"/>
    </row>
    <row r="345" spans="2:9" ht="15.75" customHeight="1" x14ac:dyDescent="0.25">
      <c r="B345" s="1"/>
      <c r="C345" s="1"/>
      <c r="D345" s="1"/>
      <c r="E345" s="1"/>
      <c r="F345" s="1"/>
      <c r="G345" s="1"/>
      <c r="H345" s="1"/>
      <c r="I345" s="1"/>
    </row>
    <row r="346" spans="2:9" ht="15.75" customHeight="1" x14ac:dyDescent="0.25">
      <c r="B346" s="1"/>
      <c r="C346" s="1"/>
      <c r="D346" s="1"/>
      <c r="E346" s="1"/>
      <c r="F346" s="1"/>
      <c r="G346" s="1"/>
      <c r="H346" s="1"/>
      <c r="I346" s="1"/>
    </row>
    <row r="347" spans="2:9" ht="15.75" customHeight="1" x14ac:dyDescent="0.25">
      <c r="B347" s="1"/>
      <c r="C347" s="1"/>
      <c r="D347" s="1"/>
      <c r="E347" s="1"/>
      <c r="F347" s="1"/>
      <c r="G347" s="1"/>
      <c r="H347" s="1"/>
      <c r="I347" s="1"/>
    </row>
    <row r="348" spans="2:9" ht="15.75" customHeight="1" x14ac:dyDescent="0.25">
      <c r="B348" s="1"/>
      <c r="C348" s="1"/>
      <c r="D348" s="1"/>
      <c r="E348" s="1"/>
      <c r="F348" s="1"/>
      <c r="G348" s="1"/>
      <c r="H348" s="1"/>
      <c r="I348" s="1"/>
    </row>
    <row r="349" spans="2:9" ht="15.75" customHeight="1" x14ac:dyDescent="0.25">
      <c r="B349" s="1"/>
      <c r="C349" s="1"/>
      <c r="D349" s="1"/>
      <c r="E349" s="1"/>
      <c r="F349" s="1"/>
      <c r="G349" s="1"/>
      <c r="H349" s="1"/>
      <c r="I349" s="1"/>
    </row>
    <row r="350" spans="2:9" ht="15.75" customHeight="1" x14ac:dyDescent="0.25">
      <c r="B350" s="1"/>
      <c r="C350" s="1"/>
      <c r="D350" s="1"/>
      <c r="E350" s="1"/>
      <c r="F350" s="1"/>
      <c r="G350" s="1"/>
      <c r="H350" s="1"/>
      <c r="I350" s="1"/>
    </row>
    <row r="351" spans="2:9" ht="15.75" customHeight="1" x14ac:dyDescent="0.25">
      <c r="B351" s="1"/>
      <c r="C351" s="1"/>
      <c r="D351" s="1"/>
      <c r="E351" s="1"/>
      <c r="F351" s="1"/>
      <c r="G351" s="1"/>
      <c r="H351" s="1"/>
      <c r="I351" s="1"/>
    </row>
    <row r="352" spans="2:9" ht="15.75" customHeight="1" x14ac:dyDescent="0.25">
      <c r="B352" s="1"/>
      <c r="C352" s="1"/>
      <c r="D352" s="1"/>
      <c r="E352" s="1"/>
      <c r="F352" s="1"/>
      <c r="G352" s="1"/>
      <c r="H352" s="1"/>
      <c r="I352" s="1"/>
    </row>
    <row r="353" spans="2:9" ht="15.75" customHeight="1" x14ac:dyDescent="0.25">
      <c r="B353" s="1"/>
      <c r="C353" s="1"/>
      <c r="D353" s="1"/>
      <c r="E353" s="1"/>
      <c r="F353" s="1"/>
      <c r="G353" s="1"/>
      <c r="H353" s="1"/>
      <c r="I353" s="1"/>
    </row>
    <row r="354" spans="2:9" ht="15.75" customHeight="1" x14ac:dyDescent="0.25">
      <c r="B354" s="1"/>
      <c r="C354" s="1"/>
      <c r="D354" s="1"/>
      <c r="E354" s="1"/>
      <c r="F354" s="1"/>
      <c r="G354" s="1"/>
      <c r="H354" s="1"/>
      <c r="I354" s="1"/>
    </row>
    <row r="355" spans="2:9" ht="15.75" customHeight="1" x14ac:dyDescent="0.25">
      <c r="B355" s="1"/>
      <c r="C355" s="1"/>
      <c r="D355" s="1"/>
      <c r="E355" s="1"/>
      <c r="F355" s="1"/>
      <c r="G355" s="1"/>
      <c r="H355" s="1"/>
      <c r="I355" s="1"/>
    </row>
    <row r="356" spans="2:9" ht="15.75" customHeight="1" x14ac:dyDescent="0.25">
      <c r="B356" s="1"/>
      <c r="C356" s="1"/>
      <c r="D356" s="1"/>
      <c r="E356" s="1"/>
      <c r="F356" s="1"/>
      <c r="G356" s="1"/>
      <c r="H356" s="1"/>
      <c r="I356" s="1"/>
    </row>
    <row r="357" spans="2:9" ht="15.75" customHeight="1" x14ac:dyDescent="0.25">
      <c r="B357" s="1"/>
      <c r="C357" s="1"/>
      <c r="D357" s="1"/>
      <c r="E357" s="1"/>
      <c r="F357" s="1"/>
      <c r="G357" s="1"/>
      <c r="H357" s="1"/>
      <c r="I357" s="1"/>
    </row>
    <row r="358" spans="2:9" ht="15.75" customHeight="1" x14ac:dyDescent="0.25">
      <c r="B358" s="1"/>
      <c r="C358" s="1"/>
      <c r="D358" s="1"/>
      <c r="E358" s="1"/>
      <c r="F358" s="1"/>
      <c r="G358" s="1"/>
      <c r="H358" s="1"/>
      <c r="I358" s="1"/>
    </row>
    <row r="359" spans="2:9" ht="15.75" customHeight="1" x14ac:dyDescent="0.25">
      <c r="B359" s="1"/>
      <c r="C359" s="1"/>
      <c r="D359" s="1"/>
      <c r="E359" s="1"/>
      <c r="F359" s="1"/>
      <c r="G359" s="1"/>
      <c r="H359" s="1"/>
      <c r="I359" s="1"/>
    </row>
    <row r="360" spans="2:9" ht="15.75" customHeight="1" x14ac:dyDescent="0.25">
      <c r="B360" s="1"/>
      <c r="C360" s="1"/>
      <c r="D360" s="1"/>
      <c r="E360" s="1"/>
      <c r="F360" s="1"/>
      <c r="G360" s="1"/>
      <c r="H360" s="1"/>
      <c r="I360" s="1"/>
    </row>
    <row r="361" spans="2:9" ht="15.75" customHeight="1" x14ac:dyDescent="0.25">
      <c r="B361" s="1"/>
      <c r="C361" s="1"/>
      <c r="D361" s="1"/>
      <c r="E361" s="1"/>
      <c r="F361" s="1"/>
      <c r="G361" s="1"/>
      <c r="H361" s="1"/>
      <c r="I361" s="1"/>
    </row>
    <row r="362" spans="2:9" ht="15.75" customHeight="1" x14ac:dyDescent="0.25">
      <c r="B362" s="1"/>
      <c r="C362" s="1"/>
      <c r="D362" s="1"/>
      <c r="E362" s="1"/>
      <c r="F362" s="1"/>
      <c r="G362" s="1"/>
      <c r="H362" s="1"/>
      <c r="I362" s="1"/>
    </row>
    <row r="363" spans="2:9" ht="15.75" customHeight="1" x14ac:dyDescent="0.25">
      <c r="B363" s="1"/>
      <c r="C363" s="1"/>
      <c r="D363" s="1"/>
      <c r="E363" s="1"/>
      <c r="F363" s="1"/>
      <c r="G363" s="1"/>
      <c r="H363" s="1"/>
      <c r="I363" s="1"/>
    </row>
    <row r="364" spans="2:9" ht="15.75" customHeight="1" x14ac:dyDescent="0.25">
      <c r="B364" s="1"/>
      <c r="C364" s="1"/>
      <c r="D364" s="1"/>
      <c r="E364" s="1"/>
      <c r="F364" s="1"/>
      <c r="G364" s="1"/>
      <c r="H364" s="1"/>
      <c r="I364" s="1"/>
    </row>
    <row r="365" spans="2:9" ht="15.75" customHeight="1" x14ac:dyDescent="0.25">
      <c r="B365" s="1"/>
      <c r="C365" s="1"/>
      <c r="D365" s="1"/>
      <c r="E365" s="1"/>
      <c r="F365" s="1"/>
      <c r="G365" s="1"/>
      <c r="H365" s="1"/>
      <c r="I365" s="1"/>
    </row>
    <row r="366" spans="2:9" ht="15.75" customHeight="1" x14ac:dyDescent="0.25">
      <c r="B366" s="1"/>
      <c r="C366" s="1"/>
      <c r="D366" s="1"/>
      <c r="E366" s="1"/>
      <c r="F366" s="1"/>
      <c r="G366" s="1"/>
      <c r="H366" s="1"/>
      <c r="I366" s="1"/>
    </row>
    <row r="367" spans="2:9" ht="15.75" customHeight="1" x14ac:dyDescent="0.25">
      <c r="B367" s="1"/>
      <c r="C367" s="1"/>
      <c r="D367" s="1"/>
      <c r="E367" s="1"/>
      <c r="F367" s="1"/>
      <c r="G367" s="1"/>
      <c r="H367" s="1"/>
      <c r="I367" s="1"/>
    </row>
    <row r="368" spans="2:9" ht="15.75" customHeight="1" x14ac:dyDescent="0.25">
      <c r="B368" s="1"/>
      <c r="C368" s="1"/>
      <c r="D368" s="1"/>
      <c r="E368" s="1"/>
      <c r="F368" s="1"/>
      <c r="G368" s="1"/>
      <c r="H368" s="1"/>
      <c r="I368" s="1"/>
    </row>
    <row r="369" spans="2:9" ht="15.75" customHeight="1" x14ac:dyDescent="0.25">
      <c r="B369" s="1"/>
      <c r="C369" s="1"/>
      <c r="D369" s="1"/>
      <c r="E369" s="1"/>
      <c r="F369" s="1"/>
      <c r="G369" s="1"/>
      <c r="H369" s="1"/>
      <c r="I369" s="1"/>
    </row>
    <row r="370" spans="2:9" ht="15.75" customHeight="1" x14ac:dyDescent="0.25">
      <c r="B370" s="1"/>
      <c r="C370" s="1"/>
      <c r="D370" s="1"/>
      <c r="E370" s="1"/>
      <c r="F370" s="1"/>
      <c r="G370" s="1"/>
      <c r="H370" s="1"/>
      <c r="I370" s="1"/>
    </row>
    <row r="371" spans="2:9" ht="15.75" customHeight="1" x14ac:dyDescent="0.25">
      <c r="B371" s="1"/>
      <c r="C371" s="1"/>
      <c r="D371" s="1"/>
      <c r="E371" s="1"/>
      <c r="F371" s="1"/>
      <c r="G371" s="1"/>
      <c r="H371" s="1"/>
      <c r="I371" s="1"/>
    </row>
    <row r="372" spans="2:9" ht="15.75" customHeight="1" x14ac:dyDescent="0.25">
      <c r="B372" s="1"/>
      <c r="C372" s="1"/>
      <c r="D372" s="1"/>
      <c r="E372" s="1"/>
      <c r="F372" s="1"/>
      <c r="G372" s="1"/>
      <c r="H372" s="1"/>
      <c r="I372" s="1"/>
    </row>
    <row r="373" spans="2:9" ht="15.75" customHeight="1" x14ac:dyDescent="0.25">
      <c r="B373" s="1"/>
      <c r="C373" s="1"/>
      <c r="D373" s="1"/>
      <c r="E373" s="1"/>
      <c r="F373" s="1"/>
      <c r="G373" s="1"/>
      <c r="H373" s="1"/>
      <c r="I373" s="1"/>
    </row>
    <row r="374" spans="2:9" ht="15.75" customHeight="1" x14ac:dyDescent="0.25">
      <c r="B374" s="1"/>
      <c r="C374" s="1"/>
      <c r="D374" s="1"/>
      <c r="E374" s="1"/>
      <c r="F374" s="1"/>
      <c r="G374" s="1"/>
      <c r="H374" s="1"/>
      <c r="I374" s="1"/>
    </row>
    <row r="375" spans="2:9" ht="15.75" customHeight="1" x14ac:dyDescent="0.25">
      <c r="B375" s="1"/>
      <c r="C375" s="1"/>
      <c r="D375" s="1"/>
      <c r="E375" s="1"/>
      <c r="F375" s="1"/>
      <c r="G375" s="1"/>
      <c r="H375" s="1"/>
      <c r="I375" s="1"/>
    </row>
    <row r="376" spans="2:9" ht="15.75" customHeight="1" x14ac:dyDescent="0.25">
      <c r="B376" s="1"/>
      <c r="C376" s="1"/>
      <c r="D376" s="1"/>
      <c r="E376" s="1"/>
      <c r="F376" s="1"/>
      <c r="G376" s="1"/>
      <c r="H376" s="1"/>
      <c r="I376" s="1"/>
    </row>
    <row r="377" spans="2:9" ht="15.75" customHeight="1" x14ac:dyDescent="0.25">
      <c r="B377" s="1"/>
      <c r="C377" s="1"/>
      <c r="D377" s="1"/>
      <c r="E377" s="1"/>
      <c r="F377" s="1"/>
      <c r="G377" s="1"/>
      <c r="H377" s="1"/>
      <c r="I377" s="1"/>
    </row>
    <row r="378" spans="2:9" ht="15.75" customHeight="1" x14ac:dyDescent="0.25">
      <c r="B378" s="1"/>
      <c r="C378" s="1"/>
      <c r="D378" s="1"/>
      <c r="E378" s="1"/>
      <c r="F378" s="1"/>
      <c r="G378" s="1"/>
      <c r="H378" s="1"/>
      <c r="I378" s="1"/>
    </row>
    <row r="379" spans="2:9" ht="15.75" customHeight="1" x14ac:dyDescent="0.25">
      <c r="B379" s="1"/>
      <c r="C379" s="1"/>
      <c r="D379" s="1"/>
      <c r="E379" s="1"/>
      <c r="F379" s="1"/>
      <c r="G379" s="1"/>
      <c r="H379" s="1"/>
      <c r="I379" s="1"/>
    </row>
    <row r="380" spans="2:9" ht="15.75" customHeight="1" x14ac:dyDescent="0.25">
      <c r="B380" s="1"/>
      <c r="C380" s="1"/>
      <c r="D380" s="1"/>
      <c r="E380" s="1"/>
      <c r="F380" s="1"/>
      <c r="G380" s="1"/>
      <c r="H380" s="1"/>
      <c r="I380" s="1"/>
    </row>
    <row r="381" spans="2:9" ht="15.75" customHeight="1" x14ac:dyDescent="0.25">
      <c r="B381" s="1"/>
      <c r="C381" s="1"/>
      <c r="D381" s="1"/>
      <c r="E381" s="1"/>
      <c r="F381" s="1"/>
      <c r="G381" s="1"/>
      <c r="H381" s="1"/>
      <c r="I381" s="1"/>
    </row>
    <row r="382" spans="2:9" ht="15.75" customHeight="1" x14ac:dyDescent="0.25">
      <c r="B382" s="1"/>
      <c r="C382" s="1"/>
      <c r="D382" s="1"/>
      <c r="E382" s="1"/>
      <c r="F382" s="1"/>
      <c r="G382" s="1"/>
      <c r="H382" s="1"/>
      <c r="I382" s="1"/>
    </row>
    <row r="383" spans="2:9" ht="15.75" customHeight="1" x14ac:dyDescent="0.25">
      <c r="B383" s="1"/>
      <c r="C383" s="1"/>
      <c r="D383" s="1"/>
      <c r="E383" s="1"/>
      <c r="F383" s="1"/>
      <c r="G383" s="1"/>
      <c r="H383" s="1"/>
      <c r="I383" s="1"/>
    </row>
    <row r="384" spans="2:9" ht="15.75" customHeight="1" x14ac:dyDescent="0.25">
      <c r="B384" s="1"/>
      <c r="C384" s="1"/>
      <c r="D384" s="1"/>
      <c r="E384" s="1"/>
      <c r="F384" s="1"/>
      <c r="G384" s="1"/>
      <c r="H384" s="1"/>
      <c r="I384" s="1"/>
    </row>
    <row r="385" spans="2:9" ht="15.75" customHeight="1" x14ac:dyDescent="0.25">
      <c r="B385" s="1"/>
      <c r="C385" s="1"/>
      <c r="D385" s="1"/>
      <c r="E385" s="1"/>
      <c r="F385" s="1"/>
      <c r="G385" s="1"/>
      <c r="H385" s="1"/>
      <c r="I385" s="1"/>
    </row>
    <row r="386" spans="2:9" ht="15.75" customHeight="1" x14ac:dyDescent="0.25">
      <c r="B386" s="1"/>
      <c r="C386" s="1"/>
      <c r="D386" s="1"/>
      <c r="E386" s="1"/>
      <c r="F386" s="1"/>
      <c r="G386" s="1"/>
      <c r="H386" s="1"/>
      <c r="I386" s="1"/>
    </row>
    <row r="387" spans="2:9" ht="15.75" customHeight="1" x14ac:dyDescent="0.25">
      <c r="B387" s="1"/>
      <c r="C387" s="1"/>
      <c r="D387" s="1"/>
      <c r="E387" s="1"/>
      <c r="F387" s="1"/>
      <c r="G387" s="1"/>
      <c r="H387" s="1"/>
      <c r="I387" s="1"/>
    </row>
    <row r="388" spans="2:9" ht="15.75" customHeight="1" x14ac:dyDescent="0.25">
      <c r="B388" s="1"/>
      <c r="C388" s="1"/>
      <c r="D388" s="1"/>
      <c r="E388" s="1"/>
      <c r="F388" s="1"/>
      <c r="G388" s="1"/>
      <c r="H388" s="1"/>
      <c r="I388" s="1"/>
    </row>
    <row r="389" spans="2:9" ht="15.75" customHeight="1" x14ac:dyDescent="0.25">
      <c r="B389" s="1"/>
      <c r="C389" s="1"/>
      <c r="D389" s="1"/>
      <c r="E389" s="1"/>
      <c r="F389" s="1"/>
      <c r="G389" s="1"/>
      <c r="H389" s="1"/>
      <c r="I389" s="1"/>
    </row>
    <row r="390" spans="2:9" ht="15.75" customHeight="1" x14ac:dyDescent="0.25">
      <c r="B390" s="1"/>
      <c r="C390" s="1"/>
      <c r="D390" s="1"/>
      <c r="E390" s="1"/>
      <c r="F390" s="1"/>
      <c r="G390" s="1"/>
      <c r="H390" s="1"/>
      <c r="I390" s="1"/>
    </row>
    <row r="391" spans="2:9" ht="15.75" customHeight="1" x14ac:dyDescent="0.25">
      <c r="B391" s="1"/>
      <c r="C391" s="1"/>
      <c r="D391" s="1"/>
      <c r="E391" s="1"/>
      <c r="F391" s="1"/>
      <c r="G391" s="1"/>
      <c r="H391" s="1"/>
      <c r="I391" s="1"/>
    </row>
    <row r="392" spans="2:9" ht="15.75" customHeight="1" x14ac:dyDescent="0.25">
      <c r="B392" s="1"/>
      <c r="C392" s="1"/>
      <c r="D392" s="1"/>
      <c r="E392" s="1"/>
      <c r="F392" s="1"/>
      <c r="G392" s="1"/>
      <c r="H392" s="1"/>
      <c r="I392" s="1"/>
    </row>
    <row r="393" spans="2:9" ht="15.75" customHeight="1" x14ac:dyDescent="0.25">
      <c r="B393" s="1"/>
      <c r="C393" s="1"/>
      <c r="D393" s="1"/>
      <c r="E393" s="1"/>
      <c r="F393" s="1"/>
      <c r="G393" s="1"/>
      <c r="H393" s="1"/>
      <c r="I393" s="1"/>
    </row>
    <row r="394" spans="2:9" ht="15.75" customHeight="1" x14ac:dyDescent="0.25">
      <c r="B394" s="1"/>
      <c r="C394" s="1"/>
      <c r="D394" s="1"/>
      <c r="E394" s="1"/>
      <c r="F394" s="1"/>
      <c r="G394" s="1"/>
      <c r="H394" s="1"/>
      <c r="I394" s="1"/>
    </row>
    <row r="395" spans="2:9" ht="15.75" customHeight="1" x14ac:dyDescent="0.25">
      <c r="B395" s="1"/>
      <c r="C395" s="1"/>
      <c r="D395" s="1"/>
      <c r="E395" s="1"/>
      <c r="F395" s="1"/>
      <c r="G395" s="1"/>
      <c r="H395" s="1"/>
      <c r="I395" s="1"/>
    </row>
    <row r="396" spans="2:9" ht="15.75" customHeight="1" x14ac:dyDescent="0.25">
      <c r="B396" s="1"/>
      <c r="C396" s="1"/>
      <c r="D396" s="1"/>
      <c r="E396" s="1"/>
      <c r="F396" s="1"/>
      <c r="G396" s="1"/>
      <c r="H396" s="1"/>
      <c r="I396" s="1"/>
    </row>
    <row r="397" spans="2:9" ht="15.75" customHeight="1" x14ac:dyDescent="0.25">
      <c r="B397" s="1"/>
      <c r="C397" s="1"/>
      <c r="D397" s="1"/>
      <c r="E397" s="1"/>
      <c r="F397" s="1"/>
      <c r="G397" s="1"/>
      <c r="H397" s="1"/>
      <c r="I397" s="1"/>
    </row>
    <row r="398" spans="2:9" ht="15.75" customHeight="1" x14ac:dyDescent="0.25">
      <c r="B398" s="1"/>
      <c r="C398" s="1"/>
      <c r="D398" s="1"/>
      <c r="E398" s="1"/>
      <c r="F398" s="1"/>
      <c r="G398" s="1"/>
      <c r="H398" s="1"/>
      <c r="I398" s="1"/>
    </row>
    <row r="399" spans="2:9" ht="15.75" customHeight="1" x14ac:dyDescent="0.25">
      <c r="B399" s="1"/>
      <c r="C399" s="1"/>
      <c r="D399" s="1"/>
      <c r="E399" s="1"/>
      <c r="F399" s="1"/>
      <c r="G399" s="1"/>
      <c r="H399" s="1"/>
      <c r="I399" s="1"/>
    </row>
    <row r="400" spans="2:9" ht="15.75" customHeight="1" x14ac:dyDescent="0.25">
      <c r="B400" s="1"/>
      <c r="C400" s="1"/>
      <c r="D400" s="1"/>
      <c r="E400" s="1"/>
      <c r="F400" s="1"/>
      <c r="G400" s="1"/>
      <c r="H400" s="1"/>
      <c r="I400" s="1"/>
    </row>
    <row r="401" spans="2:9" ht="15.75" customHeight="1" x14ac:dyDescent="0.25">
      <c r="B401" s="1"/>
      <c r="C401" s="1"/>
      <c r="D401" s="1"/>
      <c r="E401" s="1"/>
      <c r="F401" s="1"/>
      <c r="G401" s="1"/>
      <c r="H401" s="1"/>
      <c r="I401" s="1"/>
    </row>
    <row r="402" spans="2:9" ht="15.75" customHeight="1" x14ac:dyDescent="0.25">
      <c r="B402" s="1"/>
      <c r="C402" s="1"/>
      <c r="D402" s="1"/>
      <c r="E402" s="1"/>
      <c r="F402" s="1"/>
      <c r="G402" s="1"/>
      <c r="H402" s="1"/>
      <c r="I402" s="1"/>
    </row>
    <row r="403" spans="2:9" ht="15.75" customHeight="1" x14ac:dyDescent="0.25">
      <c r="B403" s="1"/>
      <c r="C403" s="1"/>
      <c r="D403" s="1"/>
      <c r="E403" s="1"/>
      <c r="F403" s="1"/>
      <c r="G403" s="1"/>
      <c r="H403" s="1"/>
      <c r="I403" s="1"/>
    </row>
    <row r="404" spans="2:9" ht="15.75" customHeight="1" x14ac:dyDescent="0.25">
      <c r="B404" s="1"/>
      <c r="C404" s="1"/>
      <c r="D404" s="1"/>
      <c r="E404" s="1"/>
      <c r="F404" s="1"/>
      <c r="G404" s="1"/>
      <c r="H404" s="1"/>
      <c r="I404" s="1"/>
    </row>
    <row r="405" spans="2:9" ht="15.75" customHeight="1" x14ac:dyDescent="0.25">
      <c r="B405" s="1"/>
      <c r="C405" s="1"/>
      <c r="D405" s="1"/>
      <c r="E405" s="1"/>
      <c r="F405" s="1"/>
      <c r="G405" s="1"/>
      <c r="H405" s="1"/>
      <c r="I405" s="1"/>
    </row>
    <row r="406" spans="2:9" ht="15.75" customHeight="1" x14ac:dyDescent="0.25">
      <c r="B406" s="1"/>
      <c r="C406" s="1"/>
      <c r="D406" s="1"/>
      <c r="E406" s="1"/>
      <c r="F406" s="1"/>
      <c r="G406" s="1"/>
      <c r="H406" s="1"/>
      <c r="I406" s="1"/>
    </row>
    <row r="407" spans="2:9" ht="15.75" customHeight="1" x14ac:dyDescent="0.25">
      <c r="B407" s="1"/>
      <c r="C407" s="1"/>
      <c r="D407" s="1"/>
      <c r="E407" s="1"/>
      <c r="F407" s="1"/>
      <c r="G407" s="1"/>
      <c r="H407" s="1"/>
      <c r="I407" s="1"/>
    </row>
    <row r="408" spans="2:9" ht="15.75" customHeight="1" x14ac:dyDescent="0.25">
      <c r="B408" s="1"/>
      <c r="C408" s="1"/>
      <c r="D408" s="1"/>
      <c r="E408" s="1"/>
      <c r="F408" s="1"/>
      <c r="G408" s="1"/>
      <c r="H408" s="1"/>
      <c r="I408" s="1"/>
    </row>
    <row r="409" spans="2:9" ht="15.75" customHeight="1" x14ac:dyDescent="0.25">
      <c r="B409" s="1"/>
      <c r="C409" s="1"/>
      <c r="D409" s="1"/>
      <c r="E409" s="1"/>
      <c r="F409" s="1"/>
      <c r="G409" s="1"/>
      <c r="H409" s="1"/>
      <c r="I409" s="1"/>
    </row>
    <row r="410" spans="2:9" ht="15.75" customHeight="1" x14ac:dyDescent="0.25">
      <c r="B410" s="1"/>
      <c r="C410" s="1"/>
      <c r="D410" s="1"/>
      <c r="E410" s="1"/>
      <c r="F410" s="1"/>
      <c r="G410" s="1"/>
      <c r="H410" s="1"/>
      <c r="I410" s="1"/>
    </row>
    <row r="411" spans="2:9" ht="15.75" customHeight="1" x14ac:dyDescent="0.25">
      <c r="B411" s="1"/>
      <c r="C411" s="1"/>
      <c r="D411" s="1"/>
      <c r="E411" s="1"/>
      <c r="F411" s="1"/>
      <c r="G411" s="1"/>
      <c r="H411" s="1"/>
      <c r="I411" s="1"/>
    </row>
    <row r="412" spans="2:9" ht="15.75" customHeight="1" x14ac:dyDescent="0.25">
      <c r="B412" s="1"/>
      <c r="C412" s="1"/>
      <c r="D412" s="1"/>
      <c r="E412" s="1"/>
      <c r="F412" s="1"/>
      <c r="G412" s="1"/>
      <c r="H412" s="1"/>
      <c r="I412" s="1"/>
    </row>
    <row r="413" spans="2:9" ht="15.75" customHeight="1" x14ac:dyDescent="0.25">
      <c r="B413" s="1"/>
      <c r="C413" s="1"/>
      <c r="D413" s="1"/>
      <c r="E413" s="1"/>
      <c r="F413" s="1"/>
      <c r="G413" s="1"/>
      <c r="H413" s="1"/>
      <c r="I413" s="1"/>
    </row>
    <row r="414" spans="2:9" ht="15.75" customHeight="1" x14ac:dyDescent="0.25">
      <c r="B414" s="1"/>
      <c r="C414" s="1"/>
      <c r="D414" s="1"/>
      <c r="E414" s="1"/>
      <c r="F414" s="1"/>
      <c r="G414" s="1"/>
      <c r="H414" s="1"/>
      <c r="I414" s="1"/>
    </row>
    <row r="415" spans="2:9" ht="15.75" customHeight="1" x14ac:dyDescent="0.25">
      <c r="B415" s="1"/>
      <c r="C415" s="1"/>
      <c r="D415" s="1"/>
      <c r="E415" s="1"/>
      <c r="F415" s="1"/>
      <c r="G415" s="1"/>
      <c r="H415" s="1"/>
      <c r="I415" s="1"/>
    </row>
    <row r="416" spans="2:9" ht="15.75" customHeight="1" x14ac:dyDescent="0.25">
      <c r="B416" s="1"/>
      <c r="C416" s="1"/>
      <c r="D416" s="1"/>
      <c r="E416" s="1"/>
      <c r="F416" s="1"/>
      <c r="G416" s="1"/>
      <c r="H416" s="1"/>
      <c r="I416" s="1"/>
    </row>
    <row r="417" spans="2:9" ht="15.75" customHeight="1" x14ac:dyDescent="0.25">
      <c r="B417" s="1"/>
      <c r="C417" s="1"/>
      <c r="D417" s="1"/>
      <c r="E417" s="1"/>
      <c r="F417" s="1"/>
      <c r="G417" s="1"/>
      <c r="H417" s="1"/>
      <c r="I417" s="1"/>
    </row>
    <row r="418" spans="2:9" ht="15.75" customHeight="1" x14ac:dyDescent="0.25">
      <c r="B418" s="1"/>
      <c r="C418" s="1"/>
      <c r="D418" s="1"/>
      <c r="E418" s="1"/>
      <c r="F418" s="1"/>
      <c r="G418" s="1"/>
      <c r="H418" s="1"/>
      <c r="I418" s="1"/>
    </row>
    <row r="419" spans="2:9" ht="15.75" customHeight="1" x14ac:dyDescent="0.25">
      <c r="B419" s="1"/>
      <c r="C419" s="1"/>
      <c r="D419" s="1"/>
      <c r="E419" s="1"/>
      <c r="F419" s="1"/>
      <c r="G419" s="1"/>
      <c r="H419" s="1"/>
      <c r="I419" s="1"/>
    </row>
    <row r="420" spans="2:9" ht="15.75" customHeight="1" x14ac:dyDescent="0.25">
      <c r="B420" s="1"/>
      <c r="C420" s="1"/>
      <c r="D420" s="1"/>
      <c r="E420" s="1"/>
      <c r="F420" s="1"/>
      <c r="G420" s="1"/>
      <c r="H420" s="1"/>
      <c r="I420" s="1"/>
    </row>
    <row r="421" spans="2:9" ht="15.75" customHeight="1" x14ac:dyDescent="0.25">
      <c r="B421" s="1"/>
      <c r="C421" s="1"/>
      <c r="D421" s="1"/>
      <c r="E421" s="1"/>
      <c r="F421" s="1"/>
      <c r="G421" s="1"/>
      <c r="H421" s="1"/>
      <c r="I421" s="1"/>
    </row>
    <row r="422" spans="2:9" ht="15.75" customHeight="1" x14ac:dyDescent="0.25">
      <c r="B422" s="1"/>
      <c r="C422" s="1"/>
      <c r="D422" s="1"/>
      <c r="E422" s="1"/>
      <c r="F422" s="1"/>
      <c r="G422" s="1"/>
      <c r="H422" s="1"/>
      <c r="I422" s="1"/>
    </row>
    <row r="423" spans="2:9" ht="15.75" customHeight="1" x14ac:dyDescent="0.25">
      <c r="B423" s="1"/>
      <c r="C423" s="1"/>
      <c r="D423" s="1"/>
      <c r="E423" s="1"/>
      <c r="F423" s="1"/>
      <c r="G423" s="1"/>
      <c r="H423" s="1"/>
      <c r="I423" s="1"/>
    </row>
    <row r="424" spans="2:9" ht="15.75" customHeight="1" x14ac:dyDescent="0.25">
      <c r="B424" s="1"/>
      <c r="C424" s="1"/>
      <c r="D424" s="1"/>
      <c r="E424" s="1"/>
      <c r="F424" s="1"/>
      <c r="G424" s="1"/>
      <c r="H424" s="1"/>
      <c r="I424" s="1"/>
    </row>
    <row r="425" spans="2:9" ht="15.75" customHeight="1" x14ac:dyDescent="0.25">
      <c r="B425" s="1"/>
      <c r="C425" s="1"/>
      <c r="D425" s="1"/>
      <c r="E425" s="1"/>
      <c r="F425" s="1"/>
      <c r="G425" s="1"/>
      <c r="H425" s="1"/>
      <c r="I425" s="1"/>
    </row>
    <row r="426" spans="2:9" ht="15.75" customHeight="1" x14ac:dyDescent="0.25">
      <c r="B426" s="1"/>
      <c r="C426" s="1"/>
      <c r="D426" s="1"/>
      <c r="E426" s="1"/>
      <c r="F426" s="1"/>
      <c r="G426" s="1"/>
      <c r="H426" s="1"/>
      <c r="I426" s="1"/>
    </row>
    <row r="427" spans="2:9" ht="15.75" customHeight="1" x14ac:dyDescent="0.25">
      <c r="B427" s="1"/>
      <c r="C427" s="1"/>
      <c r="D427" s="1"/>
      <c r="E427" s="1"/>
      <c r="F427" s="1"/>
      <c r="G427" s="1"/>
      <c r="H427" s="1"/>
      <c r="I427" s="1"/>
    </row>
    <row r="428" spans="2:9" ht="15.75" customHeight="1" x14ac:dyDescent="0.25">
      <c r="B428" s="1"/>
      <c r="C428" s="1"/>
      <c r="D428" s="1"/>
      <c r="E428" s="1"/>
      <c r="F428" s="1"/>
      <c r="G428" s="1"/>
      <c r="H428" s="1"/>
      <c r="I428" s="1"/>
    </row>
    <row r="429" spans="2:9" ht="15.75" customHeight="1" x14ac:dyDescent="0.25">
      <c r="B429" s="1"/>
      <c r="C429" s="1"/>
      <c r="D429" s="1"/>
      <c r="E429" s="1"/>
      <c r="F429" s="1"/>
      <c r="G429" s="1"/>
      <c r="H429" s="1"/>
      <c r="I429" s="1"/>
    </row>
    <row r="430" spans="2:9" ht="15.75" customHeight="1" x14ac:dyDescent="0.25">
      <c r="B430" s="1"/>
      <c r="C430" s="1"/>
      <c r="D430" s="1"/>
      <c r="E430" s="1"/>
      <c r="F430" s="1"/>
      <c r="G430" s="1"/>
      <c r="H430" s="1"/>
      <c r="I430" s="1"/>
    </row>
    <row r="431" spans="2:9" ht="15.75" customHeight="1" x14ac:dyDescent="0.25">
      <c r="B431" s="1"/>
      <c r="C431" s="1"/>
      <c r="D431" s="1"/>
      <c r="E431" s="1"/>
      <c r="F431" s="1"/>
      <c r="G431" s="1"/>
      <c r="H431" s="1"/>
      <c r="I431" s="1"/>
    </row>
    <row r="432" spans="2:9" ht="15.75" customHeight="1" x14ac:dyDescent="0.25">
      <c r="B432" s="1"/>
      <c r="C432" s="1"/>
      <c r="D432" s="1"/>
      <c r="E432" s="1"/>
      <c r="F432" s="1"/>
      <c r="G432" s="1"/>
      <c r="H432" s="1"/>
      <c r="I432" s="1"/>
    </row>
    <row r="433" spans="2:9" ht="15.75" customHeight="1" x14ac:dyDescent="0.25">
      <c r="B433" s="1"/>
      <c r="C433" s="1"/>
      <c r="D433" s="1"/>
      <c r="E433" s="1"/>
      <c r="F433" s="1"/>
      <c r="G433" s="1"/>
      <c r="H433" s="1"/>
      <c r="I433" s="1"/>
    </row>
    <row r="434" spans="2:9" ht="15.75" customHeight="1" x14ac:dyDescent="0.25">
      <c r="B434" s="1"/>
      <c r="C434" s="1"/>
      <c r="D434" s="1"/>
      <c r="E434" s="1"/>
      <c r="F434" s="1"/>
      <c r="G434" s="1"/>
      <c r="H434" s="1"/>
      <c r="I434" s="1"/>
    </row>
    <row r="435" spans="2:9" ht="15.75" customHeight="1" x14ac:dyDescent="0.25">
      <c r="B435" s="1"/>
      <c r="C435" s="1"/>
      <c r="D435" s="1"/>
      <c r="E435" s="1"/>
      <c r="F435" s="1"/>
      <c r="G435" s="1"/>
      <c r="H435" s="1"/>
      <c r="I435" s="1"/>
    </row>
    <row r="436" spans="2:9" ht="15.75" customHeight="1" x14ac:dyDescent="0.25">
      <c r="B436" s="1"/>
      <c r="C436" s="1"/>
      <c r="D436" s="1"/>
      <c r="E436" s="1"/>
      <c r="F436" s="1"/>
      <c r="G436" s="1"/>
      <c r="H436" s="1"/>
      <c r="I436" s="1"/>
    </row>
    <row r="437" spans="2:9" ht="15.75" customHeight="1" x14ac:dyDescent="0.25">
      <c r="B437" s="1"/>
      <c r="C437" s="1"/>
      <c r="D437" s="1"/>
      <c r="E437" s="1"/>
      <c r="F437" s="1"/>
      <c r="G437" s="1"/>
      <c r="H437" s="1"/>
      <c r="I437" s="1"/>
    </row>
    <row r="438" spans="2:9" ht="15.75" customHeight="1" x14ac:dyDescent="0.25">
      <c r="B438" s="1"/>
      <c r="C438" s="1"/>
      <c r="D438" s="1"/>
      <c r="E438" s="1"/>
      <c r="F438" s="1"/>
      <c r="G438" s="1"/>
      <c r="H438" s="1"/>
      <c r="I438" s="1"/>
    </row>
    <row r="439" spans="2:9" ht="15.75" customHeight="1" x14ac:dyDescent="0.25">
      <c r="B439" s="1"/>
      <c r="C439" s="1"/>
      <c r="D439" s="1"/>
      <c r="E439" s="1"/>
      <c r="F439" s="1"/>
      <c r="G439" s="1"/>
      <c r="H439" s="1"/>
      <c r="I439" s="1"/>
    </row>
    <row r="440" spans="2:9" ht="15.75" customHeight="1" x14ac:dyDescent="0.25">
      <c r="B440" s="1"/>
      <c r="C440" s="1"/>
      <c r="D440" s="1"/>
      <c r="E440" s="1"/>
      <c r="F440" s="1"/>
      <c r="G440" s="1"/>
      <c r="H440" s="1"/>
      <c r="I440" s="1"/>
    </row>
    <row r="441" spans="2:9" ht="15.75" customHeight="1" x14ac:dyDescent="0.25">
      <c r="B441" s="1"/>
      <c r="C441" s="1"/>
      <c r="D441" s="1"/>
      <c r="E441" s="1"/>
      <c r="F441" s="1"/>
      <c r="G441" s="1"/>
      <c r="H441" s="1"/>
      <c r="I441" s="1"/>
    </row>
    <row r="442" spans="2:9" ht="15.75" customHeight="1" x14ac:dyDescent="0.25">
      <c r="B442" s="1"/>
      <c r="C442" s="1"/>
      <c r="D442" s="1"/>
      <c r="E442" s="1"/>
      <c r="F442" s="1"/>
      <c r="G442" s="1"/>
      <c r="H442" s="1"/>
      <c r="I442" s="1"/>
    </row>
    <row r="443" spans="2:9" ht="15.75" customHeight="1" x14ac:dyDescent="0.25">
      <c r="B443" s="1"/>
      <c r="C443" s="1"/>
      <c r="D443" s="1"/>
      <c r="E443" s="1"/>
      <c r="F443" s="1"/>
      <c r="G443" s="1"/>
      <c r="H443" s="1"/>
      <c r="I443" s="1"/>
    </row>
    <row r="444" spans="2:9" ht="15.75" customHeight="1" x14ac:dyDescent="0.25">
      <c r="B444" s="1"/>
      <c r="C444" s="1"/>
      <c r="D444" s="1"/>
      <c r="E444" s="1"/>
      <c r="F444" s="1"/>
      <c r="G444" s="1"/>
      <c r="H444" s="1"/>
      <c r="I444" s="1"/>
    </row>
    <row r="445" spans="2:9" ht="15.75" customHeight="1" x14ac:dyDescent="0.25">
      <c r="B445" s="1"/>
      <c r="C445" s="1"/>
      <c r="D445" s="1"/>
      <c r="E445" s="1"/>
      <c r="F445" s="1"/>
      <c r="G445" s="1"/>
      <c r="H445" s="1"/>
      <c r="I445" s="1"/>
    </row>
    <row r="446" spans="2:9" ht="15.75" customHeight="1" x14ac:dyDescent="0.25">
      <c r="B446" s="1"/>
      <c r="C446" s="1"/>
      <c r="D446" s="1"/>
      <c r="E446" s="1"/>
      <c r="F446" s="1"/>
      <c r="G446" s="1"/>
      <c r="H446" s="1"/>
      <c r="I446" s="1"/>
    </row>
    <row r="447" spans="2:9" ht="15.75" customHeight="1" x14ac:dyDescent="0.25">
      <c r="B447" s="1"/>
      <c r="C447" s="1"/>
      <c r="D447" s="1"/>
      <c r="E447" s="1"/>
      <c r="F447" s="1"/>
      <c r="G447" s="1"/>
      <c r="H447" s="1"/>
      <c r="I447" s="1"/>
    </row>
    <row r="448" spans="2:9" ht="15.75" customHeight="1" x14ac:dyDescent="0.25">
      <c r="B448" s="1"/>
      <c r="C448" s="1"/>
      <c r="D448" s="1"/>
      <c r="E448" s="1"/>
      <c r="F448" s="1"/>
      <c r="G448" s="1"/>
      <c r="H448" s="1"/>
      <c r="I448" s="1"/>
    </row>
    <row r="449" spans="2:9" ht="15.75" customHeight="1" x14ac:dyDescent="0.25">
      <c r="B449" s="1"/>
      <c r="C449" s="1"/>
      <c r="D449" s="1"/>
      <c r="E449" s="1"/>
      <c r="F449" s="1"/>
      <c r="G449" s="1"/>
      <c r="H449" s="1"/>
      <c r="I449" s="1"/>
    </row>
    <row r="450" spans="2:9" ht="15.75" customHeight="1" x14ac:dyDescent="0.25">
      <c r="B450" s="1"/>
      <c r="C450" s="1"/>
      <c r="D450" s="1"/>
      <c r="E450" s="1"/>
      <c r="F450" s="1"/>
      <c r="G450" s="1"/>
      <c r="H450" s="1"/>
      <c r="I450" s="1"/>
    </row>
    <row r="451" spans="2:9" ht="15.75" customHeight="1" x14ac:dyDescent="0.25">
      <c r="B451" s="1"/>
      <c r="C451" s="1"/>
      <c r="D451" s="1"/>
      <c r="E451" s="1"/>
      <c r="F451" s="1"/>
      <c r="G451" s="1"/>
      <c r="H451" s="1"/>
      <c r="I451" s="1"/>
    </row>
    <row r="452" spans="2:9" ht="15.75" customHeight="1" x14ac:dyDescent="0.25">
      <c r="B452" s="1"/>
      <c r="C452" s="1"/>
      <c r="D452" s="1"/>
      <c r="E452" s="1"/>
      <c r="F452" s="1"/>
      <c r="G452" s="1"/>
      <c r="H452" s="1"/>
      <c r="I452" s="1"/>
    </row>
    <row r="453" spans="2:9" ht="15.75" customHeight="1" x14ac:dyDescent="0.25">
      <c r="B453" s="1"/>
      <c r="C453" s="1"/>
      <c r="D453" s="1"/>
      <c r="E453" s="1"/>
      <c r="F453" s="1"/>
      <c r="G453" s="1"/>
      <c r="H453" s="1"/>
      <c r="I453" s="1"/>
    </row>
    <row r="454" spans="2:9" ht="15.75" customHeight="1" x14ac:dyDescent="0.25">
      <c r="B454" s="1"/>
      <c r="C454" s="1"/>
      <c r="D454" s="1"/>
      <c r="E454" s="1"/>
      <c r="F454" s="1"/>
      <c r="G454" s="1"/>
      <c r="H454" s="1"/>
      <c r="I454" s="1"/>
    </row>
    <row r="455" spans="2:9" ht="15.75" customHeight="1" x14ac:dyDescent="0.25">
      <c r="B455" s="1"/>
      <c r="C455" s="1"/>
      <c r="D455" s="1"/>
      <c r="E455" s="1"/>
      <c r="F455" s="1"/>
      <c r="G455" s="1"/>
      <c r="H455" s="1"/>
      <c r="I455" s="1"/>
    </row>
    <row r="456" spans="2:9" ht="15.75" customHeight="1" x14ac:dyDescent="0.25">
      <c r="B456" s="1"/>
      <c r="C456" s="1"/>
      <c r="D456" s="1"/>
      <c r="E456" s="1"/>
      <c r="F456" s="1"/>
      <c r="G456" s="1"/>
      <c r="H456" s="1"/>
      <c r="I456" s="1"/>
    </row>
    <row r="457" spans="2:9" ht="15.75" customHeight="1" x14ac:dyDescent="0.25">
      <c r="B457" s="1"/>
      <c r="C457" s="1"/>
      <c r="D457" s="1"/>
      <c r="E457" s="1"/>
      <c r="F457" s="1"/>
      <c r="G457" s="1"/>
      <c r="H457" s="1"/>
      <c r="I457" s="1"/>
    </row>
    <row r="458" spans="2:9" ht="15.75" customHeight="1" x14ac:dyDescent="0.25">
      <c r="B458" s="1"/>
      <c r="C458" s="1"/>
      <c r="D458" s="1"/>
      <c r="E458" s="1"/>
      <c r="F458" s="1"/>
      <c r="G458" s="1"/>
      <c r="H458" s="1"/>
      <c r="I458" s="1"/>
    </row>
    <row r="459" spans="2:9" ht="15.75" customHeight="1" x14ac:dyDescent="0.25">
      <c r="B459" s="1"/>
      <c r="C459" s="1"/>
      <c r="D459" s="1"/>
      <c r="E459" s="1"/>
      <c r="F459" s="1"/>
      <c r="G459" s="1"/>
      <c r="H459" s="1"/>
      <c r="I459" s="1"/>
    </row>
    <row r="460" spans="2:9" ht="15.75" customHeight="1" x14ac:dyDescent="0.25">
      <c r="B460" s="1"/>
      <c r="C460" s="1"/>
      <c r="D460" s="1"/>
      <c r="E460" s="1"/>
      <c r="F460" s="1"/>
      <c r="G460" s="1"/>
      <c r="H460" s="1"/>
      <c r="I460" s="1"/>
    </row>
    <row r="461" spans="2:9" ht="15.75" customHeight="1" x14ac:dyDescent="0.25">
      <c r="B461" s="1"/>
      <c r="C461" s="1"/>
      <c r="D461" s="1"/>
      <c r="E461" s="1"/>
      <c r="F461" s="1"/>
      <c r="G461" s="1"/>
      <c r="H461" s="1"/>
      <c r="I461" s="1"/>
    </row>
    <row r="462" spans="2:9" ht="15.75" customHeight="1" x14ac:dyDescent="0.25">
      <c r="B462" s="1"/>
      <c r="C462" s="1"/>
      <c r="D462" s="1"/>
      <c r="E462" s="1"/>
      <c r="F462" s="1"/>
      <c r="G462" s="1"/>
      <c r="H462" s="1"/>
      <c r="I462" s="1"/>
    </row>
    <row r="463" spans="2:9" ht="15.75" customHeight="1" x14ac:dyDescent="0.25">
      <c r="B463" s="1"/>
      <c r="C463" s="1"/>
      <c r="D463" s="1"/>
      <c r="E463" s="1"/>
      <c r="F463" s="1"/>
      <c r="G463" s="1"/>
      <c r="H463" s="1"/>
      <c r="I463" s="1"/>
    </row>
    <row r="464" spans="2:9" ht="15.75" customHeight="1" x14ac:dyDescent="0.25">
      <c r="B464" s="1"/>
      <c r="C464" s="1"/>
      <c r="D464" s="1"/>
      <c r="E464" s="1"/>
      <c r="F464" s="1"/>
      <c r="G464" s="1"/>
      <c r="H464" s="1"/>
      <c r="I464" s="1"/>
    </row>
    <row r="465" spans="2:9" ht="15.75" customHeight="1" x14ac:dyDescent="0.25">
      <c r="B465" s="1"/>
      <c r="C465" s="1"/>
      <c r="D465" s="1"/>
      <c r="E465" s="1"/>
      <c r="F465" s="1"/>
      <c r="G465" s="1"/>
      <c r="H465" s="1"/>
      <c r="I465" s="1"/>
    </row>
    <row r="466" spans="2:9" ht="15.75" customHeight="1" x14ac:dyDescent="0.25">
      <c r="B466" s="1"/>
      <c r="C466" s="1"/>
      <c r="D466" s="1"/>
      <c r="E466" s="1"/>
      <c r="F466" s="1"/>
      <c r="G466" s="1"/>
      <c r="H466" s="1"/>
      <c r="I466" s="1"/>
    </row>
    <row r="467" spans="2:9" ht="15.75" customHeight="1" x14ac:dyDescent="0.25">
      <c r="B467" s="1"/>
      <c r="C467" s="1"/>
      <c r="D467" s="1"/>
      <c r="E467" s="1"/>
      <c r="F467" s="1"/>
      <c r="G467" s="1"/>
      <c r="H467" s="1"/>
      <c r="I467" s="1"/>
    </row>
    <row r="468" spans="2:9" ht="15.75" customHeight="1" x14ac:dyDescent="0.25">
      <c r="B468" s="1"/>
      <c r="C468" s="1"/>
      <c r="D468" s="1"/>
      <c r="E468" s="1"/>
      <c r="F468" s="1"/>
      <c r="G468" s="1"/>
      <c r="H468" s="1"/>
      <c r="I468" s="1"/>
    </row>
    <row r="469" spans="2:9" ht="15.75" customHeight="1" x14ac:dyDescent="0.25">
      <c r="B469" s="1"/>
      <c r="C469" s="1"/>
      <c r="D469" s="1"/>
      <c r="E469" s="1"/>
      <c r="F469" s="1"/>
      <c r="G469" s="1"/>
      <c r="H469" s="1"/>
      <c r="I469" s="1"/>
    </row>
    <row r="470" spans="2:9" ht="15.75" customHeight="1" x14ac:dyDescent="0.25">
      <c r="B470" s="1"/>
      <c r="C470" s="1"/>
      <c r="D470" s="1"/>
      <c r="E470" s="1"/>
      <c r="F470" s="1"/>
      <c r="G470" s="1"/>
      <c r="H470" s="1"/>
      <c r="I470" s="1"/>
    </row>
    <row r="471" spans="2:9" ht="15.75" customHeight="1" x14ac:dyDescent="0.25">
      <c r="B471" s="1"/>
      <c r="C471" s="1"/>
      <c r="D471" s="1"/>
      <c r="E471" s="1"/>
      <c r="F471" s="1"/>
      <c r="G471" s="1"/>
      <c r="H471" s="1"/>
      <c r="I471" s="1"/>
    </row>
    <row r="472" spans="2:9" ht="15.75" customHeight="1" x14ac:dyDescent="0.25">
      <c r="B472" s="1"/>
      <c r="C472" s="1"/>
      <c r="D472" s="1"/>
      <c r="E472" s="1"/>
      <c r="F472" s="1"/>
      <c r="G472" s="1"/>
      <c r="H472" s="1"/>
      <c r="I472" s="1"/>
    </row>
    <row r="473" spans="2:9" ht="15.75" customHeight="1" x14ac:dyDescent="0.25">
      <c r="B473" s="1"/>
      <c r="C473" s="1"/>
      <c r="D473" s="1"/>
      <c r="E473" s="1"/>
      <c r="F473" s="1"/>
      <c r="G473" s="1"/>
      <c r="H473" s="1"/>
      <c r="I473" s="1"/>
    </row>
    <row r="474" spans="2:9" ht="15.75" customHeight="1" x14ac:dyDescent="0.25">
      <c r="B474" s="1"/>
      <c r="C474" s="1"/>
      <c r="D474" s="1"/>
      <c r="E474" s="1"/>
      <c r="F474" s="1"/>
      <c r="G474" s="1"/>
      <c r="H474" s="1"/>
      <c r="I474" s="1"/>
    </row>
    <row r="475" spans="2:9" ht="15.75" customHeight="1" x14ac:dyDescent="0.25">
      <c r="B475" s="1"/>
      <c r="C475" s="1"/>
      <c r="D475" s="1"/>
      <c r="E475" s="1"/>
      <c r="F475" s="1"/>
      <c r="G475" s="1"/>
      <c r="H475" s="1"/>
      <c r="I475" s="1"/>
    </row>
    <row r="476" spans="2:9" ht="15.75" customHeight="1" x14ac:dyDescent="0.25">
      <c r="B476" s="1"/>
      <c r="C476" s="1"/>
      <c r="D476" s="1"/>
      <c r="E476" s="1"/>
      <c r="F476" s="1"/>
      <c r="G476" s="1"/>
      <c r="H476" s="1"/>
      <c r="I476" s="1"/>
    </row>
    <row r="477" spans="2:9" ht="15.75" customHeight="1" x14ac:dyDescent="0.25">
      <c r="B477" s="1"/>
      <c r="C477" s="1"/>
      <c r="D477" s="1"/>
      <c r="E477" s="1"/>
      <c r="F477" s="1"/>
      <c r="G477" s="1"/>
      <c r="H477" s="1"/>
      <c r="I477" s="1"/>
    </row>
    <row r="478" spans="2:9" ht="15.75" customHeight="1" x14ac:dyDescent="0.25">
      <c r="B478" s="1"/>
      <c r="C478" s="1"/>
      <c r="D478" s="1"/>
      <c r="E478" s="1"/>
      <c r="F478" s="1"/>
      <c r="G478" s="1"/>
      <c r="H478" s="1"/>
      <c r="I478" s="1"/>
    </row>
    <row r="479" spans="2:9" ht="15.75" customHeight="1" x14ac:dyDescent="0.25">
      <c r="B479" s="1"/>
      <c r="C479" s="1"/>
      <c r="D479" s="1"/>
      <c r="E479" s="1"/>
      <c r="F479" s="1"/>
      <c r="G479" s="1"/>
      <c r="H479" s="1"/>
      <c r="I479" s="1"/>
    </row>
    <row r="480" spans="2:9" ht="15.75" customHeight="1" x14ac:dyDescent="0.25">
      <c r="B480" s="1"/>
      <c r="C480" s="1"/>
      <c r="D480" s="1"/>
      <c r="E480" s="1"/>
      <c r="F480" s="1"/>
      <c r="G480" s="1"/>
      <c r="H480" s="1"/>
      <c r="I480" s="1"/>
    </row>
    <row r="481" spans="2:9" ht="15.75" customHeight="1" x14ac:dyDescent="0.25">
      <c r="B481" s="1"/>
      <c r="C481" s="1"/>
      <c r="D481" s="1"/>
      <c r="E481" s="1"/>
      <c r="F481" s="1"/>
      <c r="G481" s="1"/>
      <c r="H481" s="1"/>
      <c r="I481" s="1"/>
    </row>
    <row r="482" spans="2:9" ht="15.75" customHeight="1" x14ac:dyDescent="0.25">
      <c r="B482" s="1"/>
      <c r="C482" s="1"/>
      <c r="D482" s="1"/>
      <c r="E482" s="1"/>
      <c r="F482" s="1"/>
      <c r="G482" s="1"/>
      <c r="H482" s="1"/>
      <c r="I482" s="1"/>
    </row>
    <row r="483" spans="2:9" ht="15.75" customHeight="1" x14ac:dyDescent="0.25">
      <c r="B483" s="1"/>
      <c r="C483" s="1"/>
      <c r="D483" s="1"/>
      <c r="E483" s="1"/>
      <c r="F483" s="1"/>
      <c r="G483" s="1"/>
      <c r="H483" s="1"/>
      <c r="I483" s="1"/>
    </row>
    <row r="484" spans="2:9" ht="15.75" customHeight="1" x14ac:dyDescent="0.25">
      <c r="B484" s="1"/>
      <c r="C484" s="1"/>
      <c r="D484" s="1"/>
      <c r="E484" s="1"/>
      <c r="F484" s="1"/>
      <c r="G484" s="1"/>
      <c r="H484" s="1"/>
      <c r="I484" s="1"/>
    </row>
    <row r="485" spans="2:9" ht="15.75" customHeight="1" x14ac:dyDescent="0.25">
      <c r="B485" s="1"/>
      <c r="C485" s="1"/>
      <c r="D485" s="1"/>
      <c r="E485" s="1"/>
      <c r="F485" s="1"/>
      <c r="G485" s="1"/>
      <c r="H485" s="1"/>
      <c r="I485" s="1"/>
    </row>
    <row r="486" spans="2:9" ht="15.75" customHeight="1" x14ac:dyDescent="0.25">
      <c r="B486" s="1"/>
      <c r="C486" s="1"/>
      <c r="D486" s="1"/>
      <c r="E486" s="1"/>
      <c r="F486" s="1"/>
      <c r="G486" s="1"/>
      <c r="H486" s="1"/>
      <c r="I486" s="1"/>
    </row>
    <row r="487" spans="2:9" ht="15.75" customHeight="1" x14ac:dyDescent="0.25">
      <c r="B487" s="1"/>
      <c r="C487" s="1"/>
      <c r="D487" s="1"/>
      <c r="E487" s="1"/>
      <c r="F487" s="1"/>
      <c r="G487" s="1"/>
      <c r="H487" s="1"/>
      <c r="I487" s="1"/>
    </row>
    <row r="488" spans="2:9" ht="15.75" customHeight="1" x14ac:dyDescent="0.25">
      <c r="B488" s="1"/>
      <c r="C488" s="1"/>
      <c r="D488" s="1"/>
      <c r="E488" s="1"/>
      <c r="F488" s="1"/>
      <c r="G488" s="1"/>
      <c r="H488" s="1"/>
      <c r="I488" s="1"/>
    </row>
    <row r="489" spans="2:9" ht="15.75" customHeight="1" x14ac:dyDescent="0.25">
      <c r="B489" s="1"/>
      <c r="C489" s="1"/>
      <c r="D489" s="1"/>
      <c r="E489" s="1"/>
      <c r="F489" s="1"/>
      <c r="G489" s="1"/>
      <c r="H489" s="1"/>
      <c r="I489" s="1"/>
    </row>
    <row r="490" spans="2:9" ht="15.75" customHeight="1" x14ac:dyDescent="0.25">
      <c r="B490" s="1"/>
      <c r="C490" s="1"/>
      <c r="D490" s="1"/>
      <c r="E490" s="1"/>
      <c r="F490" s="1"/>
      <c r="G490" s="1"/>
      <c r="H490" s="1"/>
      <c r="I490" s="1"/>
    </row>
    <row r="491" spans="2:9" ht="15.75" customHeight="1" x14ac:dyDescent="0.25">
      <c r="B491" s="1"/>
      <c r="C491" s="1"/>
      <c r="D491" s="1"/>
      <c r="E491" s="1"/>
      <c r="F491" s="1"/>
      <c r="G491" s="1"/>
      <c r="H491" s="1"/>
      <c r="I491" s="1"/>
    </row>
    <row r="492" spans="2:9" ht="15.75" customHeight="1" x14ac:dyDescent="0.25">
      <c r="B492" s="1"/>
      <c r="C492" s="1"/>
      <c r="D492" s="1"/>
      <c r="E492" s="1"/>
      <c r="F492" s="1"/>
      <c r="G492" s="1"/>
      <c r="H492" s="1"/>
      <c r="I492" s="1"/>
    </row>
    <row r="493" spans="2:9" ht="15.75" customHeight="1" x14ac:dyDescent="0.25">
      <c r="B493" s="1"/>
      <c r="C493" s="1"/>
      <c r="D493" s="1"/>
      <c r="E493" s="1"/>
      <c r="F493" s="1"/>
      <c r="G493" s="1"/>
      <c r="H493" s="1"/>
      <c r="I493" s="1"/>
    </row>
    <row r="494" spans="2:9" ht="15.75" customHeight="1" x14ac:dyDescent="0.25">
      <c r="B494" s="1"/>
      <c r="C494" s="1"/>
      <c r="D494" s="1"/>
      <c r="E494" s="1"/>
      <c r="F494" s="1"/>
      <c r="G494" s="1"/>
      <c r="H494" s="1"/>
      <c r="I494" s="1"/>
    </row>
    <row r="495" spans="2:9" ht="15.75" customHeight="1" x14ac:dyDescent="0.25">
      <c r="B495" s="1"/>
      <c r="C495" s="1"/>
      <c r="D495" s="1"/>
      <c r="E495" s="1"/>
      <c r="F495" s="1"/>
      <c r="G495" s="1"/>
      <c r="H495" s="1"/>
      <c r="I495" s="1"/>
    </row>
    <row r="496" spans="2:9" ht="15.75" customHeight="1" x14ac:dyDescent="0.25">
      <c r="B496" s="1"/>
      <c r="C496" s="1"/>
      <c r="D496" s="1"/>
      <c r="E496" s="1"/>
      <c r="F496" s="1"/>
      <c r="G496" s="1"/>
      <c r="H496" s="1"/>
      <c r="I496" s="1"/>
    </row>
    <row r="497" spans="2:9" ht="15.75" customHeight="1" x14ac:dyDescent="0.25">
      <c r="B497" s="1"/>
      <c r="C497" s="1"/>
      <c r="D497" s="1"/>
      <c r="E497" s="1"/>
      <c r="F497" s="1"/>
      <c r="G497" s="1"/>
      <c r="H497" s="1"/>
      <c r="I497" s="1"/>
    </row>
    <row r="498" spans="2:9" ht="15.75" customHeight="1" x14ac:dyDescent="0.25">
      <c r="B498" s="1"/>
      <c r="C498" s="1"/>
      <c r="D498" s="1"/>
      <c r="E498" s="1"/>
      <c r="F498" s="1"/>
      <c r="G498" s="1"/>
      <c r="H498" s="1"/>
      <c r="I498" s="1"/>
    </row>
    <row r="499" spans="2:9" ht="15.75" customHeight="1" x14ac:dyDescent="0.25">
      <c r="B499" s="1"/>
      <c r="C499" s="1"/>
      <c r="D499" s="1"/>
      <c r="E499" s="1"/>
      <c r="F499" s="1"/>
      <c r="G499" s="1"/>
      <c r="H499" s="1"/>
      <c r="I499" s="1"/>
    </row>
    <row r="500" spans="2:9" ht="15.75" customHeight="1" x14ac:dyDescent="0.25">
      <c r="B500" s="1"/>
      <c r="C500" s="1"/>
      <c r="D500" s="1"/>
      <c r="E500" s="1"/>
      <c r="F500" s="1"/>
      <c r="G500" s="1"/>
      <c r="H500" s="1"/>
      <c r="I500" s="1"/>
    </row>
    <row r="501" spans="2:9" ht="15.75" customHeight="1" x14ac:dyDescent="0.25">
      <c r="B501" s="1"/>
      <c r="C501" s="1"/>
      <c r="D501" s="1"/>
      <c r="E501" s="1"/>
      <c r="F501" s="1"/>
      <c r="G501" s="1"/>
      <c r="H501" s="1"/>
      <c r="I501" s="1"/>
    </row>
    <row r="502" spans="2:9" ht="15.75" customHeight="1" x14ac:dyDescent="0.25">
      <c r="B502" s="1"/>
      <c r="C502" s="1"/>
      <c r="D502" s="1"/>
      <c r="E502" s="1"/>
      <c r="F502" s="1"/>
      <c r="G502" s="1"/>
      <c r="H502" s="1"/>
      <c r="I502" s="1"/>
    </row>
    <row r="503" spans="2:9" ht="15.75" customHeight="1" x14ac:dyDescent="0.25">
      <c r="B503" s="1"/>
      <c r="C503" s="1"/>
      <c r="D503" s="1"/>
      <c r="E503" s="1"/>
      <c r="F503" s="1"/>
      <c r="G503" s="1"/>
      <c r="H503" s="1"/>
      <c r="I503" s="1"/>
    </row>
    <row r="504" spans="2:9" ht="15.75" customHeight="1" x14ac:dyDescent="0.25">
      <c r="B504" s="1"/>
      <c r="C504" s="1"/>
      <c r="D504" s="1"/>
      <c r="E504" s="1"/>
      <c r="F504" s="1"/>
      <c r="G504" s="1"/>
      <c r="H504" s="1"/>
      <c r="I504" s="1"/>
    </row>
    <row r="505" spans="2:9" ht="15.75" customHeight="1" x14ac:dyDescent="0.25">
      <c r="B505" s="1"/>
      <c r="C505" s="1"/>
      <c r="D505" s="1"/>
      <c r="E505" s="1"/>
      <c r="F505" s="1"/>
      <c r="G505" s="1"/>
      <c r="H505" s="1"/>
      <c r="I505" s="1"/>
    </row>
    <row r="506" spans="2:9" ht="15.75" customHeight="1" x14ac:dyDescent="0.25">
      <c r="B506" s="1"/>
      <c r="C506" s="1"/>
      <c r="D506" s="1"/>
      <c r="E506" s="1"/>
      <c r="F506" s="1"/>
      <c r="G506" s="1"/>
      <c r="H506" s="1"/>
      <c r="I506" s="1"/>
    </row>
    <row r="507" spans="2:9" ht="15.75" customHeight="1" x14ac:dyDescent="0.25">
      <c r="B507" s="1"/>
      <c r="C507" s="1"/>
      <c r="D507" s="1"/>
      <c r="E507" s="1"/>
      <c r="F507" s="1"/>
      <c r="G507" s="1"/>
      <c r="H507" s="1"/>
      <c r="I507" s="1"/>
    </row>
    <row r="508" spans="2:9" ht="15.75" customHeight="1" x14ac:dyDescent="0.25">
      <c r="B508" s="1"/>
      <c r="C508" s="1"/>
      <c r="D508" s="1"/>
      <c r="E508" s="1"/>
      <c r="F508" s="1"/>
      <c r="G508" s="1"/>
      <c r="H508" s="1"/>
      <c r="I508" s="1"/>
    </row>
    <row r="509" spans="2:9" ht="15.75" customHeight="1" x14ac:dyDescent="0.25">
      <c r="B509" s="1"/>
      <c r="C509" s="1"/>
      <c r="D509" s="1"/>
      <c r="E509" s="1"/>
      <c r="F509" s="1"/>
      <c r="G509" s="1"/>
      <c r="H509" s="1"/>
      <c r="I509" s="1"/>
    </row>
    <row r="510" spans="2:9" ht="15.75" customHeight="1" x14ac:dyDescent="0.25">
      <c r="B510" s="1"/>
      <c r="C510" s="1"/>
      <c r="D510" s="1"/>
      <c r="E510" s="1"/>
      <c r="F510" s="1"/>
      <c r="G510" s="1"/>
      <c r="H510" s="1"/>
      <c r="I510" s="1"/>
    </row>
    <row r="511" spans="2:9" ht="15.75" customHeight="1" x14ac:dyDescent="0.25">
      <c r="B511" s="1"/>
      <c r="C511" s="1"/>
      <c r="D511" s="1"/>
      <c r="E511" s="1"/>
      <c r="F511" s="1"/>
      <c r="G511" s="1"/>
      <c r="H511" s="1"/>
      <c r="I511" s="1"/>
    </row>
    <row r="512" spans="2:9" ht="15.75" customHeight="1" x14ac:dyDescent="0.25">
      <c r="B512" s="1"/>
      <c r="C512" s="1"/>
      <c r="D512" s="1"/>
      <c r="E512" s="1"/>
      <c r="F512" s="1"/>
      <c r="G512" s="1"/>
      <c r="H512" s="1"/>
      <c r="I512" s="1"/>
    </row>
    <row r="513" spans="2:9" ht="15.75" customHeight="1" x14ac:dyDescent="0.25">
      <c r="B513" s="1"/>
      <c r="C513" s="1"/>
      <c r="D513" s="1"/>
      <c r="E513" s="1"/>
      <c r="F513" s="1"/>
      <c r="G513" s="1"/>
      <c r="H513" s="1"/>
      <c r="I513" s="1"/>
    </row>
    <row r="514" spans="2:9" ht="15.75" customHeight="1" x14ac:dyDescent="0.25">
      <c r="B514" s="1"/>
      <c r="C514" s="1"/>
      <c r="D514" s="1"/>
      <c r="E514" s="1"/>
      <c r="F514" s="1"/>
      <c r="G514" s="1"/>
      <c r="H514" s="1"/>
      <c r="I514" s="1"/>
    </row>
    <row r="515" spans="2:9" ht="15.75" customHeight="1" x14ac:dyDescent="0.25">
      <c r="B515" s="1"/>
      <c r="C515" s="1"/>
      <c r="D515" s="1"/>
      <c r="E515" s="1"/>
      <c r="F515" s="1"/>
      <c r="G515" s="1"/>
      <c r="H515" s="1"/>
      <c r="I515" s="1"/>
    </row>
    <row r="516" spans="2:9" ht="15.75" customHeight="1" x14ac:dyDescent="0.25">
      <c r="B516" s="1"/>
      <c r="C516" s="1"/>
      <c r="D516" s="1"/>
      <c r="E516" s="1"/>
      <c r="F516" s="1"/>
      <c r="G516" s="1"/>
      <c r="H516" s="1"/>
      <c r="I516" s="1"/>
    </row>
    <row r="517" spans="2:9" ht="15.75" customHeight="1" x14ac:dyDescent="0.25">
      <c r="B517" s="1"/>
      <c r="C517" s="1"/>
      <c r="D517" s="1"/>
      <c r="E517" s="1"/>
      <c r="F517" s="1"/>
      <c r="G517" s="1"/>
      <c r="H517" s="1"/>
      <c r="I517" s="1"/>
    </row>
    <row r="518" spans="2:9" ht="15.75" customHeight="1" x14ac:dyDescent="0.25">
      <c r="B518" s="1"/>
      <c r="C518" s="1"/>
      <c r="D518" s="1"/>
      <c r="E518" s="1"/>
      <c r="F518" s="1"/>
      <c r="G518" s="1"/>
      <c r="H518" s="1"/>
      <c r="I518" s="1"/>
    </row>
    <row r="519" spans="2:9" ht="15.75" customHeight="1" x14ac:dyDescent="0.25">
      <c r="B519" s="1"/>
      <c r="C519" s="1"/>
      <c r="D519" s="1"/>
      <c r="E519" s="1"/>
      <c r="F519" s="1"/>
      <c r="G519" s="1"/>
      <c r="H519" s="1"/>
      <c r="I519" s="1"/>
    </row>
    <row r="520" spans="2:9" ht="15.75" customHeight="1" x14ac:dyDescent="0.25">
      <c r="B520" s="1"/>
      <c r="C520" s="1"/>
      <c r="D520" s="1"/>
      <c r="E520" s="1"/>
      <c r="F520" s="1"/>
      <c r="G520" s="1"/>
      <c r="H520" s="1"/>
      <c r="I520" s="1"/>
    </row>
    <row r="521" spans="2:9" ht="15.75" customHeight="1" x14ac:dyDescent="0.25">
      <c r="B521" s="1"/>
      <c r="C521" s="1"/>
      <c r="D521" s="1"/>
      <c r="E521" s="1"/>
      <c r="F521" s="1"/>
      <c r="G521" s="1"/>
      <c r="H521" s="1"/>
      <c r="I521" s="1"/>
    </row>
    <row r="522" spans="2:9" ht="15.75" customHeight="1" x14ac:dyDescent="0.25">
      <c r="B522" s="1"/>
      <c r="C522" s="1"/>
      <c r="D522" s="1"/>
      <c r="E522" s="1"/>
      <c r="F522" s="1"/>
      <c r="G522" s="1"/>
      <c r="H522" s="1"/>
      <c r="I522" s="1"/>
    </row>
    <row r="523" spans="2:9" ht="15.75" customHeight="1" x14ac:dyDescent="0.25">
      <c r="B523" s="1"/>
      <c r="C523" s="1"/>
      <c r="D523" s="1"/>
      <c r="E523" s="1"/>
      <c r="F523" s="1"/>
      <c r="G523" s="1"/>
      <c r="H523" s="1"/>
      <c r="I523" s="1"/>
    </row>
    <row r="524" spans="2:9" ht="15.75" customHeight="1" x14ac:dyDescent="0.25">
      <c r="B524" s="1"/>
      <c r="C524" s="1"/>
      <c r="D524" s="1"/>
      <c r="E524" s="1"/>
      <c r="F524" s="1"/>
      <c r="G524" s="1"/>
      <c r="H524" s="1"/>
      <c r="I524" s="1"/>
    </row>
    <row r="525" spans="2:9" ht="15.75" customHeight="1" x14ac:dyDescent="0.25">
      <c r="B525" s="1"/>
      <c r="C525" s="1"/>
      <c r="D525" s="1"/>
      <c r="E525" s="1"/>
      <c r="F525" s="1"/>
      <c r="G525" s="1"/>
      <c r="H525" s="1"/>
      <c r="I525" s="1"/>
    </row>
    <row r="526" spans="2:9" ht="15.75" customHeight="1" x14ac:dyDescent="0.25">
      <c r="B526" s="1"/>
      <c r="C526" s="1"/>
      <c r="D526" s="1"/>
      <c r="E526" s="1"/>
      <c r="F526" s="1"/>
      <c r="G526" s="1"/>
      <c r="H526" s="1"/>
      <c r="I526" s="1"/>
    </row>
    <row r="527" spans="2:9" ht="15.75" customHeight="1" x14ac:dyDescent="0.25">
      <c r="B527" s="1"/>
      <c r="C527" s="1"/>
      <c r="D527" s="1"/>
      <c r="E527" s="1"/>
      <c r="F527" s="1"/>
      <c r="G527" s="1"/>
      <c r="H527" s="1"/>
      <c r="I527" s="1"/>
    </row>
    <row r="528" spans="2:9" ht="15.75" customHeight="1" x14ac:dyDescent="0.25">
      <c r="B528" s="1"/>
      <c r="C528" s="1"/>
      <c r="D528" s="1"/>
      <c r="E528" s="1"/>
      <c r="F528" s="1"/>
      <c r="G528" s="1"/>
      <c r="H528" s="1"/>
      <c r="I528" s="1"/>
    </row>
    <row r="529" spans="2:9" ht="15.75" customHeight="1" x14ac:dyDescent="0.25">
      <c r="B529" s="1"/>
      <c r="C529" s="1"/>
      <c r="D529" s="1"/>
      <c r="E529" s="1"/>
      <c r="F529" s="1"/>
      <c r="G529" s="1"/>
      <c r="H529" s="1"/>
      <c r="I529" s="1"/>
    </row>
    <row r="530" spans="2:9" ht="15.75" customHeight="1" x14ac:dyDescent="0.25">
      <c r="B530" s="1"/>
      <c r="C530" s="1"/>
      <c r="D530" s="1"/>
      <c r="E530" s="1"/>
      <c r="F530" s="1"/>
      <c r="G530" s="1"/>
      <c r="H530" s="1"/>
      <c r="I530" s="1"/>
    </row>
    <row r="531" spans="2:9" ht="15.75" customHeight="1" x14ac:dyDescent="0.25">
      <c r="B531" s="1"/>
      <c r="C531" s="1"/>
      <c r="D531" s="1"/>
      <c r="E531" s="1"/>
      <c r="F531" s="1"/>
      <c r="G531" s="1"/>
      <c r="H531" s="1"/>
      <c r="I531" s="1"/>
    </row>
    <row r="532" spans="2:9" ht="15.75" customHeight="1" x14ac:dyDescent="0.25">
      <c r="B532" s="1"/>
      <c r="C532" s="1"/>
      <c r="D532" s="1"/>
      <c r="E532" s="1"/>
      <c r="F532" s="1"/>
      <c r="G532" s="1"/>
      <c r="H532" s="1"/>
      <c r="I532" s="1"/>
    </row>
    <row r="533" spans="2:9" ht="15.75" customHeight="1" x14ac:dyDescent="0.25">
      <c r="B533" s="1"/>
      <c r="C533" s="1"/>
      <c r="D533" s="1"/>
      <c r="E533" s="1"/>
      <c r="F533" s="1"/>
      <c r="G533" s="1"/>
      <c r="H533" s="1"/>
      <c r="I533" s="1"/>
    </row>
    <row r="534" spans="2:9" ht="15.75" customHeight="1" x14ac:dyDescent="0.25">
      <c r="B534" s="1"/>
      <c r="C534" s="1"/>
      <c r="D534" s="1"/>
      <c r="E534" s="1"/>
      <c r="F534" s="1"/>
      <c r="G534" s="1"/>
      <c r="H534" s="1"/>
      <c r="I534" s="1"/>
    </row>
    <row r="535" spans="2:9" ht="15.75" customHeight="1" x14ac:dyDescent="0.25">
      <c r="B535" s="1"/>
      <c r="C535" s="1"/>
      <c r="D535" s="1"/>
      <c r="E535" s="1"/>
      <c r="F535" s="1"/>
      <c r="G535" s="1"/>
      <c r="H535" s="1"/>
      <c r="I535" s="1"/>
    </row>
    <row r="536" spans="2:9" ht="15.75" customHeight="1" x14ac:dyDescent="0.25">
      <c r="B536" s="1"/>
      <c r="C536" s="1"/>
      <c r="D536" s="1"/>
      <c r="E536" s="1"/>
      <c r="F536" s="1"/>
      <c r="G536" s="1"/>
      <c r="H536" s="1"/>
      <c r="I536" s="1"/>
    </row>
    <row r="537" spans="2:9" ht="15.75" customHeight="1" x14ac:dyDescent="0.25">
      <c r="B537" s="1"/>
      <c r="C537" s="1"/>
      <c r="D537" s="1"/>
      <c r="E537" s="1"/>
      <c r="F537" s="1"/>
      <c r="G537" s="1"/>
      <c r="H537" s="1"/>
      <c r="I537" s="1"/>
    </row>
    <row r="538" spans="2:9" ht="15.75" customHeight="1" x14ac:dyDescent="0.25">
      <c r="B538" s="1"/>
      <c r="C538" s="1"/>
      <c r="D538" s="1"/>
      <c r="E538" s="1"/>
      <c r="F538" s="1"/>
      <c r="G538" s="1"/>
      <c r="H538" s="1"/>
      <c r="I538" s="1"/>
    </row>
    <row r="539" spans="2:9" ht="15.75" customHeight="1" x14ac:dyDescent="0.25">
      <c r="B539" s="1"/>
      <c r="C539" s="1"/>
      <c r="D539" s="1"/>
      <c r="E539" s="1"/>
      <c r="F539" s="1"/>
      <c r="G539" s="1"/>
      <c r="H539" s="1"/>
      <c r="I539" s="1"/>
    </row>
    <row r="540" spans="2:9" ht="15.75" customHeight="1" x14ac:dyDescent="0.25">
      <c r="B540" s="1"/>
      <c r="C540" s="1"/>
      <c r="D540" s="1"/>
      <c r="E540" s="1"/>
      <c r="F540" s="1"/>
      <c r="G540" s="1"/>
      <c r="H540" s="1"/>
      <c r="I540" s="1"/>
    </row>
    <row r="541" spans="2:9" ht="15.75" customHeight="1" x14ac:dyDescent="0.25">
      <c r="B541" s="1"/>
      <c r="C541" s="1"/>
      <c r="D541" s="1"/>
      <c r="E541" s="1"/>
      <c r="F541" s="1"/>
      <c r="G541" s="1"/>
      <c r="H541" s="1"/>
      <c r="I541" s="1"/>
    </row>
    <row r="542" spans="2:9" ht="15.75" customHeight="1" x14ac:dyDescent="0.25">
      <c r="B542" s="1"/>
      <c r="C542" s="1"/>
      <c r="D542" s="1"/>
      <c r="E542" s="1"/>
      <c r="F542" s="1"/>
      <c r="G542" s="1"/>
      <c r="H542" s="1"/>
      <c r="I542" s="1"/>
    </row>
    <row r="543" spans="2:9" ht="15.75" customHeight="1" x14ac:dyDescent="0.25">
      <c r="B543" s="1"/>
      <c r="C543" s="1"/>
      <c r="D543" s="1"/>
      <c r="E543" s="1"/>
      <c r="F543" s="1"/>
      <c r="G543" s="1"/>
      <c r="H543" s="1"/>
      <c r="I543" s="1"/>
    </row>
    <row r="544" spans="2:9" ht="15.75" customHeight="1" x14ac:dyDescent="0.25">
      <c r="B544" s="1"/>
      <c r="C544" s="1"/>
      <c r="D544" s="1"/>
      <c r="E544" s="1"/>
      <c r="F544" s="1"/>
      <c r="G544" s="1"/>
      <c r="H544" s="1"/>
      <c r="I544" s="1"/>
    </row>
    <row r="545" spans="2:9" ht="15.75" customHeight="1" x14ac:dyDescent="0.25">
      <c r="B545" s="1"/>
      <c r="C545" s="1"/>
      <c r="D545" s="1"/>
      <c r="E545" s="1"/>
      <c r="F545" s="1"/>
      <c r="G545" s="1"/>
      <c r="H545" s="1"/>
      <c r="I545" s="1"/>
    </row>
    <row r="546" spans="2:9" ht="15.75" customHeight="1" x14ac:dyDescent="0.25">
      <c r="B546" s="1"/>
      <c r="C546" s="1"/>
      <c r="D546" s="1"/>
      <c r="E546" s="1"/>
      <c r="F546" s="1"/>
      <c r="G546" s="1"/>
      <c r="H546" s="1"/>
      <c r="I546" s="1"/>
    </row>
    <row r="547" spans="2:9" ht="15.75" customHeight="1" x14ac:dyDescent="0.25">
      <c r="B547" s="1"/>
      <c r="C547" s="1"/>
      <c r="D547" s="1"/>
      <c r="E547" s="1"/>
      <c r="F547" s="1"/>
      <c r="G547" s="1"/>
      <c r="H547" s="1"/>
      <c r="I547" s="1"/>
    </row>
    <row r="548" spans="2:9" ht="15.75" customHeight="1" x14ac:dyDescent="0.25">
      <c r="B548" s="1"/>
      <c r="C548" s="1"/>
      <c r="D548" s="1"/>
      <c r="E548" s="1"/>
      <c r="F548" s="1"/>
      <c r="G548" s="1"/>
      <c r="H548" s="1"/>
      <c r="I548" s="1"/>
    </row>
    <row r="549" spans="2:9" ht="15.75" customHeight="1" x14ac:dyDescent="0.25">
      <c r="B549" s="1"/>
      <c r="C549" s="1"/>
      <c r="D549" s="1"/>
      <c r="E549" s="1"/>
      <c r="F549" s="1"/>
      <c r="G549" s="1"/>
      <c r="H549" s="1"/>
      <c r="I549" s="1"/>
    </row>
    <row r="550" spans="2:9" ht="15.75" customHeight="1" x14ac:dyDescent="0.25">
      <c r="B550" s="1"/>
      <c r="C550" s="1"/>
      <c r="D550" s="1"/>
      <c r="E550" s="1"/>
      <c r="F550" s="1"/>
      <c r="G550" s="1"/>
      <c r="H550" s="1"/>
      <c r="I550" s="1"/>
    </row>
    <row r="551" spans="2:9" ht="15.75" customHeight="1" x14ac:dyDescent="0.25">
      <c r="B551" s="1"/>
      <c r="C551" s="1"/>
      <c r="D551" s="1"/>
      <c r="E551" s="1"/>
      <c r="F551" s="1"/>
      <c r="G551" s="1"/>
      <c r="H551" s="1"/>
      <c r="I551" s="1"/>
    </row>
    <row r="552" spans="2:9" ht="15.75" customHeight="1" x14ac:dyDescent="0.25">
      <c r="B552" s="1"/>
      <c r="C552" s="1"/>
      <c r="D552" s="1"/>
      <c r="E552" s="1"/>
      <c r="F552" s="1"/>
      <c r="G552" s="1"/>
      <c r="H552" s="1"/>
      <c r="I552" s="1"/>
    </row>
    <row r="553" spans="2:9" ht="15.75" customHeight="1" x14ac:dyDescent="0.25">
      <c r="B553" s="1"/>
      <c r="C553" s="1"/>
      <c r="D553" s="1"/>
      <c r="E553" s="1"/>
      <c r="F553" s="1"/>
      <c r="G553" s="1"/>
      <c r="H553" s="1"/>
      <c r="I553" s="1"/>
    </row>
    <row r="554" spans="2:9" ht="15.75" customHeight="1" x14ac:dyDescent="0.25">
      <c r="B554" s="1"/>
      <c r="C554" s="1"/>
      <c r="D554" s="1"/>
      <c r="E554" s="1"/>
      <c r="F554" s="1"/>
      <c r="G554" s="1"/>
      <c r="H554" s="1"/>
      <c r="I554" s="1"/>
    </row>
    <row r="555" spans="2:9" ht="15.75" customHeight="1" x14ac:dyDescent="0.25">
      <c r="B555" s="1"/>
      <c r="C555" s="1"/>
      <c r="D555" s="1"/>
      <c r="E555" s="1"/>
      <c r="F555" s="1"/>
      <c r="G555" s="1"/>
      <c r="H555" s="1"/>
      <c r="I555" s="1"/>
    </row>
    <row r="556" spans="2:9" ht="15.75" customHeight="1" x14ac:dyDescent="0.25">
      <c r="B556" s="1"/>
      <c r="C556" s="1"/>
      <c r="D556" s="1"/>
      <c r="E556" s="1"/>
      <c r="F556" s="1"/>
      <c r="G556" s="1"/>
      <c r="H556" s="1"/>
      <c r="I556" s="1"/>
    </row>
    <row r="557" spans="2:9" ht="15.75" customHeight="1" x14ac:dyDescent="0.25">
      <c r="B557" s="1"/>
      <c r="C557" s="1"/>
      <c r="D557" s="1"/>
      <c r="E557" s="1"/>
      <c r="F557" s="1"/>
      <c r="G557" s="1"/>
      <c r="H557" s="1"/>
      <c r="I557" s="1"/>
    </row>
    <row r="558" spans="2:9" ht="15.75" customHeight="1" x14ac:dyDescent="0.25">
      <c r="B558" s="1"/>
      <c r="C558" s="1"/>
      <c r="D558" s="1"/>
      <c r="E558" s="1"/>
      <c r="F558" s="1"/>
      <c r="G558" s="1"/>
      <c r="H558" s="1"/>
      <c r="I558" s="1"/>
    </row>
    <row r="559" spans="2:9" ht="15.75" customHeight="1" x14ac:dyDescent="0.25">
      <c r="B559" s="1"/>
      <c r="C559" s="1"/>
      <c r="D559" s="1"/>
      <c r="E559" s="1"/>
      <c r="F559" s="1"/>
      <c r="G559" s="1"/>
      <c r="H559" s="1"/>
      <c r="I559" s="1"/>
    </row>
    <row r="560" spans="2:9" ht="15.75" customHeight="1" x14ac:dyDescent="0.25">
      <c r="B560" s="1"/>
      <c r="C560" s="1"/>
      <c r="D560" s="1"/>
      <c r="E560" s="1"/>
      <c r="F560" s="1"/>
      <c r="G560" s="1"/>
      <c r="H560" s="1"/>
      <c r="I560" s="1"/>
    </row>
    <row r="561" spans="2:9" ht="15.75" customHeight="1" x14ac:dyDescent="0.25">
      <c r="B561" s="1"/>
      <c r="C561" s="1"/>
      <c r="D561" s="1"/>
      <c r="E561" s="1"/>
      <c r="F561" s="1"/>
      <c r="G561" s="1"/>
      <c r="H561" s="1"/>
      <c r="I561" s="1"/>
    </row>
    <row r="562" spans="2:9" ht="15.75" customHeight="1" x14ac:dyDescent="0.25">
      <c r="B562" s="1"/>
      <c r="C562" s="1"/>
      <c r="D562" s="1"/>
      <c r="E562" s="1"/>
      <c r="F562" s="1"/>
      <c r="G562" s="1"/>
      <c r="H562" s="1"/>
      <c r="I562" s="1"/>
    </row>
    <row r="563" spans="2:9" ht="15.75" customHeight="1" x14ac:dyDescent="0.25">
      <c r="B563" s="1"/>
      <c r="C563" s="1"/>
      <c r="D563" s="1"/>
      <c r="E563" s="1"/>
      <c r="F563" s="1"/>
      <c r="G563" s="1"/>
      <c r="H563" s="1"/>
      <c r="I563" s="1"/>
    </row>
    <row r="564" spans="2:9" ht="15.75" customHeight="1" x14ac:dyDescent="0.25">
      <c r="B564" s="1"/>
      <c r="C564" s="1"/>
      <c r="D564" s="1"/>
      <c r="E564" s="1"/>
      <c r="F564" s="1"/>
      <c r="G564" s="1"/>
      <c r="H564" s="1"/>
      <c r="I564" s="1"/>
    </row>
    <row r="565" spans="2:9" ht="15.75" customHeight="1" x14ac:dyDescent="0.25">
      <c r="B565" s="1"/>
      <c r="C565" s="1"/>
      <c r="D565" s="1"/>
      <c r="E565" s="1"/>
      <c r="F565" s="1"/>
      <c r="G565" s="1"/>
      <c r="H565" s="1"/>
      <c r="I565" s="1"/>
    </row>
    <row r="566" spans="2:9" ht="15.75" customHeight="1" x14ac:dyDescent="0.25">
      <c r="B566" s="1"/>
      <c r="C566" s="1"/>
      <c r="D566" s="1"/>
      <c r="E566" s="1"/>
      <c r="F566" s="1"/>
      <c r="G566" s="1"/>
      <c r="H566" s="1"/>
      <c r="I566" s="1"/>
    </row>
    <row r="567" spans="2:9" ht="15.75" customHeight="1" x14ac:dyDescent="0.25">
      <c r="B567" s="1"/>
      <c r="C567" s="1"/>
      <c r="D567" s="1"/>
      <c r="E567" s="1"/>
      <c r="F567" s="1"/>
      <c r="G567" s="1"/>
      <c r="H567" s="1"/>
      <c r="I567" s="1"/>
    </row>
    <row r="568" spans="2:9" ht="15.75" customHeight="1" x14ac:dyDescent="0.25">
      <c r="B568" s="1"/>
      <c r="C568" s="1"/>
      <c r="D568" s="1"/>
      <c r="E568" s="1"/>
      <c r="F568" s="1"/>
      <c r="G568" s="1"/>
      <c r="H568" s="1"/>
      <c r="I568" s="1"/>
    </row>
    <row r="569" spans="2:9" ht="15.75" customHeight="1" x14ac:dyDescent="0.25">
      <c r="B569" s="1"/>
      <c r="C569" s="1"/>
      <c r="D569" s="1"/>
      <c r="E569" s="1"/>
      <c r="F569" s="1"/>
      <c r="G569" s="1"/>
      <c r="H569" s="1"/>
      <c r="I569" s="1"/>
    </row>
    <row r="570" spans="2:9" ht="15.75" customHeight="1" x14ac:dyDescent="0.25">
      <c r="B570" s="1"/>
      <c r="C570" s="1"/>
      <c r="D570" s="1"/>
      <c r="E570" s="1"/>
      <c r="F570" s="1"/>
      <c r="G570" s="1"/>
      <c r="H570" s="1"/>
      <c r="I570" s="1"/>
    </row>
    <row r="571" spans="2:9" ht="15.75" customHeight="1" x14ac:dyDescent="0.25">
      <c r="B571" s="1"/>
      <c r="C571" s="1"/>
      <c r="D571" s="1"/>
      <c r="E571" s="1"/>
      <c r="F571" s="1"/>
      <c r="G571" s="1"/>
      <c r="H571" s="1"/>
      <c r="I571" s="1"/>
    </row>
    <row r="572" spans="2:9" ht="15.75" customHeight="1" x14ac:dyDescent="0.25">
      <c r="B572" s="1"/>
      <c r="C572" s="1"/>
      <c r="D572" s="1"/>
      <c r="E572" s="1"/>
      <c r="F572" s="1"/>
      <c r="G572" s="1"/>
      <c r="H572" s="1"/>
      <c r="I572" s="1"/>
    </row>
    <row r="573" spans="2:9" ht="15.75" customHeight="1" x14ac:dyDescent="0.25">
      <c r="B573" s="1"/>
      <c r="C573" s="1"/>
      <c r="D573" s="1"/>
      <c r="E573" s="1"/>
      <c r="F573" s="1"/>
      <c r="G573" s="1"/>
      <c r="H573" s="1"/>
      <c r="I573" s="1"/>
    </row>
    <row r="574" spans="2:9" ht="15.75" customHeight="1" x14ac:dyDescent="0.25">
      <c r="B574" s="1"/>
      <c r="C574" s="1"/>
      <c r="D574" s="1"/>
      <c r="E574" s="1"/>
      <c r="F574" s="1"/>
      <c r="G574" s="1"/>
      <c r="H574" s="1"/>
      <c r="I574" s="1"/>
    </row>
    <row r="575" spans="2:9" ht="15.75" customHeight="1" x14ac:dyDescent="0.25">
      <c r="B575" s="1"/>
      <c r="C575" s="1"/>
      <c r="D575" s="1"/>
      <c r="E575" s="1"/>
      <c r="F575" s="1"/>
      <c r="G575" s="1"/>
      <c r="H575" s="1"/>
      <c r="I575" s="1"/>
    </row>
    <row r="576" spans="2:9" ht="15.75" customHeight="1" x14ac:dyDescent="0.25">
      <c r="B576" s="1"/>
      <c r="C576" s="1"/>
      <c r="D576" s="1"/>
      <c r="E576" s="1"/>
      <c r="F576" s="1"/>
      <c r="G576" s="1"/>
      <c r="H576" s="1"/>
      <c r="I576" s="1"/>
    </row>
    <row r="577" spans="2:9" ht="15.75" customHeight="1" x14ac:dyDescent="0.25">
      <c r="B577" s="1"/>
      <c r="C577" s="1"/>
      <c r="D577" s="1"/>
      <c r="E577" s="1"/>
      <c r="F577" s="1"/>
      <c r="G577" s="1"/>
      <c r="H577" s="1"/>
      <c r="I577" s="1"/>
    </row>
    <row r="578" spans="2:9" ht="15.75" customHeight="1" x14ac:dyDescent="0.25">
      <c r="B578" s="1"/>
      <c r="C578" s="1"/>
      <c r="D578" s="1"/>
      <c r="E578" s="1"/>
      <c r="F578" s="1"/>
      <c r="G578" s="1"/>
      <c r="H578" s="1"/>
      <c r="I578" s="1"/>
    </row>
    <row r="579" spans="2:9" ht="15.75" customHeight="1" x14ac:dyDescent="0.25">
      <c r="B579" s="1"/>
      <c r="C579" s="1"/>
      <c r="D579" s="1"/>
      <c r="E579" s="1"/>
      <c r="F579" s="1"/>
      <c r="G579" s="1"/>
      <c r="H579" s="1"/>
      <c r="I579" s="1"/>
    </row>
    <row r="580" spans="2:9" ht="15.75" customHeight="1" x14ac:dyDescent="0.25">
      <c r="B580" s="1"/>
      <c r="C580" s="1"/>
      <c r="D580" s="1"/>
      <c r="E580" s="1"/>
      <c r="F580" s="1"/>
      <c r="G580" s="1"/>
      <c r="H580" s="1"/>
      <c r="I580" s="1"/>
    </row>
    <row r="581" spans="2:9" ht="15.75" customHeight="1" x14ac:dyDescent="0.25">
      <c r="B581" s="1"/>
      <c r="C581" s="1"/>
      <c r="D581" s="1"/>
      <c r="E581" s="1"/>
      <c r="F581" s="1"/>
      <c r="G581" s="1"/>
      <c r="H581" s="1"/>
      <c r="I581" s="1"/>
    </row>
    <row r="582" spans="2:9" ht="15.75" customHeight="1" x14ac:dyDescent="0.25">
      <c r="B582" s="1"/>
      <c r="C582" s="1"/>
      <c r="D582" s="1"/>
      <c r="E582" s="1"/>
      <c r="F582" s="1"/>
      <c r="G582" s="1"/>
      <c r="H582" s="1"/>
      <c r="I582" s="1"/>
    </row>
    <row r="583" spans="2:9" ht="15.75" customHeight="1" x14ac:dyDescent="0.25">
      <c r="B583" s="1"/>
      <c r="C583" s="1"/>
      <c r="D583" s="1"/>
      <c r="E583" s="1"/>
      <c r="F583" s="1"/>
      <c r="G583" s="1"/>
      <c r="H583" s="1"/>
      <c r="I583" s="1"/>
    </row>
    <row r="584" spans="2:9" ht="15.75" customHeight="1" x14ac:dyDescent="0.25">
      <c r="B584" s="1"/>
      <c r="C584" s="1"/>
      <c r="D584" s="1"/>
      <c r="E584" s="1"/>
      <c r="F584" s="1"/>
      <c r="G584" s="1"/>
      <c r="H584" s="1"/>
      <c r="I584" s="1"/>
    </row>
    <row r="585" spans="2:9" ht="15.75" customHeight="1" x14ac:dyDescent="0.25">
      <c r="B585" s="1"/>
      <c r="C585" s="1"/>
      <c r="D585" s="1"/>
      <c r="E585" s="1"/>
      <c r="F585" s="1"/>
      <c r="G585" s="1"/>
      <c r="H585" s="1"/>
      <c r="I585" s="1"/>
    </row>
    <row r="586" spans="2:9" ht="15.75" customHeight="1" x14ac:dyDescent="0.25">
      <c r="B586" s="1"/>
      <c r="C586" s="1"/>
      <c r="D586" s="1"/>
      <c r="E586" s="1"/>
      <c r="F586" s="1"/>
      <c r="G586" s="1"/>
      <c r="H586" s="1"/>
      <c r="I586" s="1"/>
    </row>
    <row r="587" spans="2:9" ht="15.75" customHeight="1" x14ac:dyDescent="0.25">
      <c r="B587" s="1"/>
      <c r="C587" s="1"/>
      <c r="D587" s="1"/>
      <c r="E587" s="1"/>
      <c r="F587" s="1"/>
      <c r="G587" s="1"/>
      <c r="H587" s="1"/>
      <c r="I587" s="1"/>
    </row>
    <row r="588" spans="2:9" ht="15.75" customHeight="1" x14ac:dyDescent="0.25">
      <c r="B588" s="1"/>
      <c r="C588" s="1"/>
      <c r="D588" s="1"/>
      <c r="E588" s="1"/>
      <c r="F588" s="1"/>
      <c r="G588" s="1"/>
      <c r="H588" s="1"/>
      <c r="I588" s="1"/>
    </row>
    <row r="589" spans="2:9" ht="15.75" customHeight="1" x14ac:dyDescent="0.25">
      <c r="B589" s="1"/>
      <c r="C589" s="1"/>
      <c r="D589" s="1"/>
      <c r="E589" s="1"/>
      <c r="F589" s="1"/>
      <c r="G589" s="1"/>
      <c r="H589" s="1"/>
      <c r="I589" s="1"/>
    </row>
    <row r="590" spans="2:9" ht="15.75" customHeight="1" x14ac:dyDescent="0.25">
      <c r="B590" s="1"/>
      <c r="C590" s="1"/>
      <c r="D590" s="1"/>
      <c r="E590" s="1"/>
      <c r="F590" s="1"/>
      <c r="G590" s="1"/>
      <c r="H590" s="1"/>
      <c r="I590" s="1"/>
    </row>
    <row r="591" spans="2:9" ht="15.75" customHeight="1" x14ac:dyDescent="0.25">
      <c r="B591" s="1"/>
      <c r="C591" s="1"/>
      <c r="D591" s="1"/>
      <c r="E591" s="1"/>
      <c r="F591" s="1"/>
      <c r="G591" s="1"/>
      <c r="H591" s="1"/>
      <c r="I591" s="1"/>
    </row>
    <row r="592" spans="2:9" ht="15.75" customHeight="1" x14ac:dyDescent="0.25">
      <c r="B592" s="1"/>
      <c r="C592" s="1"/>
      <c r="D592" s="1"/>
      <c r="E592" s="1"/>
      <c r="F592" s="1"/>
      <c r="G592" s="1"/>
      <c r="H592" s="1"/>
      <c r="I592" s="1"/>
    </row>
    <row r="593" spans="2:9" ht="15.75" customHeight="1" x14ac:dyDescent="0.25">
      <c r="B593" s="1"/>
      <c r="C593" s="1"/>
      <c r="D593" s="1"/>
      <c r="E593" s="1"/>
      <c r="F593" s="1"/>
      <c r="G593" s="1"/>
      <c r="H593" s="1"/>
      <c r="I593" s="1"/>
    </row>
    <row r="594" spans="2:9" ht="15.75" customHeight="1" x14ac:dyDescent="0.25">
      <c r="B594" s="1"/>
      <c r="C594" s="1"/>
      <c r="D594" s="1"/>
      <c r="E594" s="1"/>
      <c r="F594" s="1"/>
      <c r="G594" s="1"/>
      <c r="H594" s="1"/>
      <c r="I594" s="1"/>
    </row>
    <row r="595" spans="2:9" ht="15.75" customHeight="1" x14ac:dyDescent="0.25">
      <c r="B595" s="1"/>
      <c r="C595" s="1"/>
      <c r="D595" s="1"/>
      <c r="E595" s="1"/>
      <c r="F595" s="1"/>
      <c r="G595" s="1"/>
      <c r="H595" s="1"/>
      <c r="I595" s="1"/>
    </row>
    <row r="596" spans="2:9" ht="15.75" customHeight="1" x14ac:dyDescent="0.25">
      <c r="B596" s="1"/>
      <c r="C596" s="1"/>
      <c r="D596" s="1"/>
      <c r="E596" s="1"/>
      <c r="F596" s="1"/>
      <c r="G596" s="1"/>
      <c r="H596" s="1"/>
      <c r="I596" s="1"/>
    </row>
    <row r="597" spans="2:9" ht="15.75" customHeight="1" x14ac:dyDescent="0.25">
      <c r="B597" s="1"/>
      <c r="C597" s="1"/>
      <c r="D597" s="1"/>
      <c r="E597" s="1"/>
      <c r="F597" s="1"/>
      <c r="G597" s="1"/>
      <c r="H597" s="1"/>
      <c r="I597" s="1"/>
    </row>
    <row r="598" spans="2:9" ht="15.75" customHeight="1" x14ac:dyDescent="0.25">
      <c r="B598" s="1"/>
      <c r="C598" s="1"/>
      <c r="D598" s="1"/>
      <c r="E598" s="1"/>
      <c r="F598" s="1"/>
      <c r="G598" s="1"/>
      <c r="H598" s="1"/>
      <c r="I598" s="1"/>
    </row>
    <row r="599" spans="2:9" ht="15.75" customHeight="1" x14ac:dyDescent="0.25">
      <c r="B599" s="1"/>
      <c r="C599" s="1"/>
      <c r="D599" s="1"/>
      <c r="E599" s="1"/>
      <c r="F599" s="1"/>
      <c r="G599" s="1"/>
      <c r="H599" s="1"/>
      <c r="I599" s="1"/>
    </row>
    <row r="600" spans="2:9" ht="15.75" customHeight="1" x14ac:dyDescent="0.25">
      <c r="B600" s="1"/>
      <c r="C600" s="1"/>
      <c r="D600" s="1"/>
      <c r="E600" s="1"/>
      <c r="F600" s="1"/>
      <c r="G600" s="1"/>
      <c r="H600" s="1"/>
      <c r="I600" s="1"/>
    </row>
    <row r="601" spans="2:9" ht="15.75" customHeight="1" x14ac:dyDescent="0.25">
      <c r="B601" s="1"/>
      <c r="C601" s="1"/>
      <c r="D601" s="1"/>
      <c r="E601" s="1"/>
      <c r="F601" s="1"/>
      <c r="G601" s="1"/>
      <c r="H601" s="1"/>
      <c r="I601" s="1"/>
    </row>
    <row r="602" spans="2:9" ht="15.75" customHeight="1" x14ac:dyDescent="0.25">
      <c r="B602" s="1"/>
      <c r="C602" s="1"/>
      <c r="D602" s="1"/>
      <c r="E602" s="1"/>
      <c r="F602" s="1"/>
      <c r="G602" s="1"/>
      <c r="H602" s="1"/>
      <c r="I602" s="1"/>
    </row>
    <row r="603" spans="2:9" ht="15.75" customHeight="1" x14ac:dyDescent="0.25">
      <c r="B603" s="1"/>
      <c r="C603" s="1"/>
      <c r="D603" s="1"/>
      <c r="E603" s="1"/>
      <c r="F603" s="1"/>
      <c r="G603" s="1"/>
      <c r="H603" s="1"/>
      <c r="I603" s="1"/>
    </row>
    <row r="604" spans="2:9" ht="15.75" customHeight="1" x14ac:dyDescent="0.25">
      <c r="B604" s="1"/>
      <c r="C604" s="1"/>
      <c r="D604" s="1"/>
      <c r="E604" s="1"/>
      <c r="F604" s="1"/>
      <c r="G604" s="1"/>
      <c r="H604" s="1"/>
      <c r="I604" s="1"/>
    </row>
    <row r="605" spans="2:9" ht="15.75" customHeight="1" x14ac:dyDescent="0.25">
      <c r="B605" s="1"/>
      <c r="C605" s="1"/>
      <c r="D605" s="1"/>
      <c r="E605" s="1"/>
      <c r="F605" s="1"/>
      <c r="G605" s="1"/>
      <c r="H605" s="1"/>
      <c r="I605" s="1"/>
    </row>
    <row r="606" spans="2:9" ht="15.75" customHeight="1" x14ac:dyDescent="0.25">
      <c r="B606" s="1"/>
      <c r="C606" s="1"/>
      <c r="D606" s="1"/>
      <c r="E606" s="1"/>
      <c r="F606" s="1"/>
      <c r="G606" s="1"/>
      <c r="H606" s="1"/>
      <c r="I606" s="1"/>
    </row>
    <row r="607" spans="2:9" ht="15.75" customHeight="1" x14ac:dyDescent="0.25">
      <c r="B607" s="1"/>
      <c r="C607" s="1"/>
      <c r="D607" s="1"/>
      <c r="E607" s="1"/>
      <c r="F607" s="1"/>
      <c r="G607" s="1"/>
      <c r="H607" s="1"/>
      <c r="I607" s="1"/>
    </row>
    <row r="608" spans="2:9" ht="15.75" customHeight="1" x14ac:dyDescent="0.25">
      <c r="B608" s="1"/>
      <c r="C608" s="1"/>
      <c r="D608" s="1"/>
      <c r="E608" s="1"/>
      <c r="F608" s="1"/>
      <c r="G608" s="1"/>
      <c r="H608" s="1"/>
      <c r="I608" s="1"/>
    </row>
    <row r="609" spans="2:9" ht="15.75" customHeight="1" x14ac:dyDescent="0.25">
      <c r="B609" s="1"/>
      <c r="C609" s="1"/>
      <c r="D609" s="1"/>
      <c r="E609" s="1"/>
      <c r="F609" s="1"/>
      <c r="G609" s="1"/>
      <c r="H609" s="1"/>
      <c r="I609" s="1"/>
    </row>
    <row r="610" spans="2:9" ht="15.75" customHeight="1" x14ac:dyDescent="0.25">
      <c r="B610" s="1"/>
      <c r="C610" s="1"/>
      <c r="D610" s="1"/>
      <c r="E610" s="1"/>
      <c r="F610" s="1"/>
      <c r="G610" s="1"/>
      <c r="H610" s="1"/>
      <c r="I610" s="1"/>
    </row>
    <row r="611" spans="2:9" ht="15.75" customHeight="1" x14ac:dyDescent="0.25">
      <c r="B611" s="1"/>
      <c r="C611" s="1"/>
      <c r="D611" s="1"/>
      <c r="E611" s="1"/>
      <c r="F611" s="1"/>
      <c r="G611" s="1"/>
      <c r="H611" s="1"/>
      <c r="I611" s="1"/>
    </row>
    <row r="612" spans="2:9" ht="15.75" customHeight="1" x14ac:dyDescent="0.25">
      <c r="B612" s="1"/>
      <c r="C612" s="1"/>
      <c r="D612" s="1"/>
      <c r="E612" s="1"/>
      <c r="F612" s="1"/>
      <c r="G612" s="1"/>
      <c r="H612" s="1"/>
      <c r="I612" s="1"/>
    </row>
    <row r="613" spans="2:9" ht="15.75" customHeight="1" x14ac:dyDescent="0.25">
      <c r="B613" s="1"/>
      <c r="C613" s="1"/>
      <c r="D613" s="1"/>
      <c r="E613" s="1"/>
      <c r="F613" s="1"/>
      <c r="G613" s="1"/>
      <c r="H613" s="1"/>
      <c r="I613" s="1"/>
    </row>
    <row r="614" spans="2:9" ht="15.75" customHeight="1" x14ac:dyDescent="0.25">
      <c r="B614" s="1"/>
      <c r="C614" s="1"/>
      <c r="D614" s="1"/>
      <c r="E614" s="1"/>
      <c r="F614" s="1"/>
      <c r="G614" s="1"/>
      <c r="H614" s="1"/>
      <c r="I614" s="1"/>
    </row>
    <row r="615" spans="2:9" ht="15.75" customHeight="1" x14ac:dyDescent="0.25">
      <c r="B615" s="1"/>
      <c r="C615" s="1"/>
      <c r="D615" s="1"/>
      <c r="E615" s="1"/>
      <c r="F615" s="1"/>
      <c r="G615" s="1"/>
      <c r="H615" s="1"/>
      <c r="I615" s="1"/>
    </row>
    <row r="616" spans="2:9" ht="15.75" customHeight="1" x14ac:dyDescent="0.25">
      <c r="B616" s="1"/>
      <c r="C616" s="1"/>
      <c r="D616" s="1"/>
      <c r="E616" s="1"/>
      <c r="F616" s="1"/>
      <c r="G616" s="1"/>
      <c r="H616" s="1"/>
      <c r="I616" s="1"/>
    </row>
    <row r="617" spans="2:9" ht="15.75" customHeight="1" x14ac:dyDescent="0.25">
      <c r="B617" s="1"/>
      <c r="C617" s="1"/>
      <c r="D617" s="1"/>
      <c r="E617" s="1"/>
      <c r="F617" s="1"/>
      <c r="G617" s="1"/>
      <c r="H617" s="1"/>
      <c r="I617" s="1"/>
    </row>
    <row r="618" spans="2:9" ht="15.75" customHeight="1" x14ac:dyDescent="0.25">
      <c r="B618" s="1"/>
      <c r="C618" s="1"/>
      <c r="D618" s="1"/>
      <c r="E618" s="1"/>
      <c r="F618" s="1"/>
      <c r="G618" s="1"/>
      <c r="H618" s="1"/>
      <c r="I618" s="1"/>
    </row>
    <row r="619" spans="2:9" ht="15.75" customHeight="1" x14ac:dyDescent="0.25">
      <c r="B619" s="1"/>
      <c r="C619" s="1"/>
      <c r="D619" s="1"/>
      <c r="E619" s="1"/>
      <c r="F619" s="1"/>
      <c r="G619" s="1"/>
      <c r="H619" s="1"/>
      <c r="I619" s="1"/>
    </row>
    <row r="620" spans="2:9" ht="15.75" customHeight="1" x14ac:dyDescent="0.25">
      <c r="B620" s="1"/>
      <c r="C620" s="1"/>
      <c r="D620" s="1"/>
      <c r="E620" s="1"/>
      <c r="F620" s="1"/>
      <c r="G620" s="1"/>
      <c r="H620" s="1"/>
      <c r="I620" s="1"/>
    </row>
    <row r="621" spans="2:9" ht="15.75" customHeight="1" x14ac:dyDescent="0.25">
      <c r="B621" s="1"/>
      <c r="C621" s="1"/>
      <c r="D621" s="1"/>
      <c r="E621" s="1"/>
      <c r="F621" s="1"/>
      <c r="G621" s="1"/>
      <c r="H621" s="1"/>
      <c r="I621" s="1"/>
    </row>
    <row r="622" spans="2:9" ht="15.75" customHeight="1" x14ac:dyDescent="0.25">
      <c r="B622" s="1"/>
      <c r="C622" s="1"/>
      <c r="D622" s="1"/>
      <c r="E622" s="1"/>
      <c r="F622" s="1"/>
      <c r="G622" s="1"/>
      <c r="H622" s="1"/>
      <c r="I622" s="1"/>
    </row>
    <row r="623" spans="2:9" ht="15.75" customHeight="1" x14ac:dyDescent="0.25">
      <c r="B623" s="1"/>
      <c r="C623" s="1"/>
      <c r="D623" s="1"/>
      <c r="E623" s="1"/>
      <c r="F623" s="1"/>
      <c r="G623" s="1"/>
      <c r="H623" s="1"/>
      <c r="I623" s="1"/>
    </row>
    <row r="624" spans="2:9" ht="15.75" customHeight="1" x14ac:dyDescent="0.25">
      <c r="B624" s="1"/>
      <c r="C624" s="1"/>
      <c r="D624" s="1"/>
      <c r="E624" s="1"/>
      <c r="F624" s="1"/>
      <c r="G624" s="1"/>
      <c r="H624" s="1"/>
      <c r="I624" s="1"/>
    </row>
    <row r="625" spans="2:9" ht="15.75" customHeight="1" x14ac:dyDescent="0.25">
      <c r="B625" s="1"/>
      <c r="C625" s="1"/>
      <c r="D625" s="1"/>
      <c r="E625" s="1"/>
      <c r="F625" s="1"/>
      <c r="G625" s="1"/>
      <c r="H625" s="1"/>
      <c r="I625" s="1"/>
    </row>
    <row r="626" spans="2:9" ht="15.75" customHeight="1" x14ac:dyDescent="0.25">
      <c r="B626" s="1"/>
      <c r="C626" s="1"/>
      <c r="D626" s="1"/>
      <c r="E626" s="1"/>
      <c r="F626" s="1"/>
      <c r="G626" s="1"/>
      <c r="H626" s="1"/>
      <c r="I626" s="1"/>
    </row>
    <row r="627" spans="2:9" ht="15.75" customHeight="1" x14ac:dyDescent="0.25">
      <c r="B627" s="1"/>
      <c r="C627" s="1"/>
      <c r="D627" s="1"/>
      <c r="E627" s="1"/>
      <c r="F627" s="1"/>
      <c r="G627" s="1"/>
      <c r="H627" s="1"/>
      <c r="I627" s="1"/>
    </row>
    <row r="628" spans="2:9" ht="15.75" customHeight="1" x14ac:dyDescent="0.25">
      <c r="B628" s="1"/>
      <c r="C628" s="1"/>
      <c r="D628" s="1"/>
      <c r="E628" s="1"/>
      <c r="F628" s="1"/>
      <c r="G628" s="1"/>
      <c r="H628" s="1"/>
      <c r="I628" s="1"/>
    </row>
    <row r="629" spans="2:9" ht="15.75" customHeight="1" x14ac:dyDescent="0.25">
      <c r="B629" s="1"/>
      <c r="C629" s="1"/>
      <c r="D629" s="1"/>
      <c r="E629" s="1"/>
      <c r="F629" s="1"/>
      <c r="G629" s="1"/>
      <c r="H629" s="1"/>
      <c r="I629" s="1"/>
    </row>
    <row r="630" spans="2:9" ht="15.75" customHeight="1" x14ac:dyDescent="0.25">
      <c r="B630" s="1"/>
      <c r="C630" s="1"/>
      <c r="D630" s="1"/>
      <c r="E630" s="1"/>
      <c r="F630" s="1"/>
      <c r="G630" s="1"/>
      <c r="H630" s="1"/>
      <c r="I630" s="1"/>
    </row>
    <row r="631" spans="2:9" ht="15.75" customHeight="1" x14ac:dyDescent="0.25">
      <c r="B631" s="1"/>
      <c r="C631" s="1"/>
      <c r="D631" s="1"/>
      <c r="E631" s="1"/>
      <c r="F631" s="1"/>
      <c r="G631" s="1"/>
      <c r="H631" s="1"/>
      <c r="I631" s="1"/>
    </row>
    <row r="632" spans="2:9" ht="15.75" customHeight="1" x14ac:dyDescent="0.25">
      <c r="B632" s="1"/>
      <c r="C632" s="1"/>
      <c r="D632" s="1"/>
      <c r="E632" s="1"/>
      <c r="F632" s="1"/>
      <c r="G632" s="1"/>
      <c r="H632" s="1"/>
      <c r="I632" s="1"/>
    </row>
    <row r="633" spans="2:9" ht="15.75" customHeight="1" x14ac:dyDescent="0.25">
      <c r="B633" s="1"/>
      <c r="C633" s="1"/>
      <c r="D633" s="1"/>
      <c r="E633" s="1"/>
      <c r="F633" s="1"/>
      <c r="G633" s="1"/>
      <c r="H633" s="1"/>
      <c r="I633" s="1"/>
    </row>
    <row r="634" spans="2:9" ht="15.75" customHeight="1" x14ac:dyDescent="0.25">
      <c r="B634" s="1"/>
      <c r="C634" s="1"/>
      <c r="D634" s="1"/>
      <c r="E634" s="1"/>
      <c r="F634" s="1"/>
      <c r="G634" s="1"/>
      <c r="H634" s="1"/>
      <c r="I634" s="1"/>
    </row>
    <row r="635" spans="2:9" ht="15.75" customHeight="1" x14ac:dyDescent="0.25">
      <c r="B635" s="1"/>
      <c r="C635" s="1"/>
      <c r="D635" s="1"/>
      <c r="E635" s="1"/>
      <c r="F635" s="1"/>
      <c r="G635" s="1"/>
      <c r="H635" s="1"/>
      <c r="I635" s="1"/>
    </row>
    <row r="636" spans="2:9" ht="15.75" customHeight="1" x14ac:dyDescent="0.25">
      <c r="B636" s="1"/>
      <c r="C636" s="1"/>
      <c r="D636" s="1"/>
      <c r="E636" s="1"/>
      <c r="F636" s="1"/>
      <c r="G636" s="1"/>
      <c r="H636" s="1"/>
      <c r="I636" s="1"/>
    </row>
    <row r="637" spans="2:9" ht="15.75" customHeight="1" x14ac:dyDescent="0.25">
      <c r="B637" s="1"/>
      <c r="C637" s="1"/>
      <c r="D637" s="1"/>
      <c r="E637" s="1"/>
      <c r="F637" s="1"/>
      <c r="G637" s="1"/>
      <c r="H637" s="1"/>
      <c r="I637" s="1"/>
    </row>
    <row r="638" spans="2:9" ht="15.75" customHeight="1" x14ac:dyDescent="0.25">
      <c r="B638" s="1"/>
      <c r="C638" s="1"/>
      <c r="D638" s="1"/>
      <c r="E638" s="1"/>
      <c r="F638" s="1"/>
      <c r="G638" s="1"/>
      <c r="H638" s="1"/>
      <c r="I638" s="1"/>
    </row>
    <row r="639" spans="2:9" ht="15.75" customHeight="1" x14ac:dyDescent="0.25">
      <c r="B639" s="1"/>
      <c r="C639" s="1"/>
      <c r="D639" s="1"/>
      <c r="E639" s="1"/>
      <c r="F639" s="1"/>
      <c r="G639" s="1"/>
      <c r="H639" s="1"/>
      <c r="I639" s="1"/>
    </row>
    <row r="640" spans="2:9" ht="15.75" customHeight="1" x14ac:dyDescent="0.25">
      <c r="B640" s="1"/>
      <c r="C640" s="1"/>
      <c r="D640" s="1"/>
      <c r="E640" s="1"/>
      <c r="F640" s="1"/>
      <c r="G640" s="1"/>
      <c r="H640" s="1"/>
      <c r="I640" s="1"/>
    </row>
    <row r="641" spans="2:9" ht="15.75" customHeight="1" x14ac:dyDescent="0.25">
      <c r="B641" s="1"/>
      <c r="C641" s="1"/>
      <c r="D641" s="1"/>
      <c r="E641" s="1"/>
      <c r="F641" s="1"/>
      <c r="G641" s="1"/>
      <c r="H641" s="1"/>
      <c r="I641" s="1"/>
    </row>
    <row r="642" spans="2:9" ht="15.75" customHeight="1" x14ac:dyDescent="0.25">
      <c r="B642" s="1"/>
      <c r="C642" s="1"/>
      <c r="D642" s="1"/>
      <c r="E642" s="1"/>
      <c r="F642" s="1"/>
      <c r="G642" s="1"/>
      <c r="H642" s="1"/>
      <c r="I642" s="1"/>
    </row>
    <row r="643" spans="2:9" ht="15.75" customHeight="1" x14ac:dyDescent="0.25">
      <c r="B643" s="1"/>
      <c r="C643" s="1"/>
      <c r="D643" s="1"/>
      <c r="E643" s="1"/>
      <c r="F643" s="1"/>
      <c r="G643" s="1"/>
      <c r="H643" s="1"/>
      <c r="I643" s="1"/>
    </row>
    <row r="644" spans="2:9" ht="15.75" customHeight="1" x14ac:dyDescent="0.25">
      <c r="B644" s="1"/>
      <c r="C644" s="1"/>
      <c r="D644" s="1"/>
      <c r="E644" s="1"/>
      <c r="F644" s="1"/>
      <c r="G644" s="1"/>
      <c r="H644" s="1"/>
      <c r="I644" s="1"/>
    </row>
    <row r="645" spans="2:9" ht="15.75" customHeight="1" x14ac:dyDescent="0.25">
      <c r="B645" s="1"/>
      <c r="C645" s="1"/>
      <c r="D645" s="1"/>
      <c r="E645" s="1"/>
      <c r="F645" s="1"/>
      <c r="G645" s="1"/>
      <c r="H645" s="1"/>
      <c r="I645" s="1"/>
    </row>
    <row r="646" spans="2:9" ht="15.75" customHeight="1" x14ac:dyDescent="0.25">
      <c r="B646" s="1"/>
      <c r="C646" s="1"/>
      <c r="D646" s="1"/>
      <c r="E646" s="1"/>
      <c r="F646" s="1"/>
      <c r="G646" s="1"/>
      <c r="H646" s="1"/>
      <c r="I646" s="1"/>
    </row>
    <row r="647" spans="2:9" ht="15.75" customHeight="1" x14ac:dyDescent="0.25">
      <c r="B647" s="1"/>
      <c r="C647" s="1"/>
      <c r="D647" s="1"/>
      <c r="E647" s="1"/>
      <c r="F647" s="1"/>
      <c r="G647" s="1"/>
      <c r="H647" s="1"/>
      <c r="I647" s="1"/>
    </row>
    <row r="648" spans="2:9" ht="15.75" customHeight="1" x14ac:dyDescent="0.25">
      <c r="B648" s="1"/>
      <c r="C648" s="1"/>
      <c r="D648" s="1"/>
      <c r="E648" s="1"/>
      <c r="F648" s="1"/>
      <c r="G648" s="1"/>
      <c r="H648" s="1"/>
      <c r="I648" s="1"/>
    </row>
    <row r="649" spans="2:9" ht="15.75" customHeight="1" x14ac:dyDescent="0.25">
      <c r="B649" s="1"/>
      <c r="C649" s="1"/>
      <c r="D649" s="1"/>
      <c r="E649" s="1"/>
      <c r="F649" s="1"/>
      <c r="G649" s="1"/>
      <c r="H649" s="1"/>
      <c r="I649" s="1"/>
    </row>
    <row r="650" spans="2:9" ht="15.75" customHeight="1" x14ac:dyDescent="0.25">
      <c r="B650" s="1"/>
      <c r="C650" s="1"/>
      <c r="D650" s="1"/>
      <c r="E650" s="1"/>
      <c r="F650" s="1"/>
      <c r="G650" s="1"/>
      <c r="H650" s="1"/>
      <c r="I650" s="1"/>
    </row>
    <row r="651" spans="2:9" ht="15.75" customHeight="1" x14ac:dyDescent="0.25">
      <c r="B651" s="1"/>
      <c r="C651" s="1"/>
      <c r="D651" s="1"/>
      <c r="E651" s="1"/>
      <c r="F651" s="1"/>
      <c r="G651" s="1"/>
      <c r="H651" s="1"/>
      <c r="I651" s="1"/>
    </row>
    <row r="652" spans="2:9" ht="15.75" customHeight="1" x14ac:dyDescent="0.25">
      <c r="B652" s="1"/>
      <c r="C652" s="1"/>
      <c r="D652" s="1"/>
      <c r="E652" s="1"/>
      <c r="F652" s="1"/>
      <c r="G652" s="1"/>
      <c r="H652" s="1"/>
      <c r="I652" s="1"/>
    </row>
    <row r="653" spans="2:9" ht="15.75" customHeight="1" x14ac:dyDescent="0.25">
      <c r="B653" s="1"/>
      <c r="C653" s="1"/>
      <c r="D653" s="1"/>
      <c r="E653" s="1"/>
      <c r="F653" s="1"/>
      <c r="G653" s="1"/>
      <c r="H653" s="1"/>
      <c r="I653" s="1"/>
    </row>
    <row r="654" spans="2:9" ht="15.75" customHeight="1" x14ac:dyDescent="0.25">
      <c r="B654" s="1"/>
      <c r="C654" s="1"/>
      <c r="D654" s="1"/>
      <c r="E654" s="1"/>
      <c r="F654" s="1"/>
      <c r="G654" s="1"/>
      <c r="H654" s="1"/>
      <c r="I654" s="1"/>
    </row>
    <row r="655" spans="2:9" ht="15.75" customHeight="1" x14ac:dyDescent="0.25">
      <c r="B655" s="1"/>
      <c r="C655" s="1"/>
      <c r="D655" s="1"/>
      <c r="E655" s="1"/>
      <c r="F655" s="1"/>
      <c r="G655" s="1"/>
      <c r="H655" s="1"/>
      <c r="I655" s="1"/>
    </row>
    <row r="656" spans="2:9" ht="15.75" customHeight="1" x14ac:dyDescent="0.25">
      <c r="B656" s="1"/>
      <c r="C656" s="1"/>
      <c r="D656" s="1"/>
      <c r="E656" s="1"/>
      <c r="F656" s="1"/>
      <c r="G656" s="1"/>
      <c r="H656" s="1"/>
      <c r="I656" s="1"/>
    </row>
    <row r="657" spans="2:9" ht="15.75" customHeight="1" x14ac:dyDescent="0.25">
      <c r="B657" s="1"/>
      <c r="C657" s="1"/>
      <c r="D657" s="1"/>
      <c r="E657" s="1"/>
      <c r="F657" s="1"/>
      <c r="G657" s="1"/>
      <c r="H657" s="1"/>
      <c r="I657" s="1"/>
    </row>
    <row r="658" spans="2:9" ht="15.75" customHeight="1" x14ac:dyDescent="0.25">
      <c r="B658" s="1"/>
      <c r="C658" s="1"/>
      <c r="D658" s="1"/>
      <c r="E658" s="1"/>
      <c r="F658" s="1"/>
      <c r="G658" s="1"/>
      <c r="H658" s="1"/>
      <c r="I658" s="1"/>
    </row>
    <row r="659" spans="2:9" ht="15.75" customHeight="1" x14ac:dyDescent="0.25">
      <c r="B659" s="1"/>
      <c r="C659" s="1"/>
      <c r="D659" s="1"/>
      <c r="E659" s="1"/>
      <c r="F659" s="1"/>
      <c r="G659" s="1"/>
      <c r="H659" s="1"/>
      <c r="I659" s="1"/>
    </row>
    <row r="660" spans="2:9" ht="15.75" customHeight="1" x14ac:dyDescent="0.25">
      <c r="B660" s="1"/>
      <c r="C660" s="1"/>
      <c r="D660" s="1"/>
      <c r="E660" s="1"/>
      <c r="F660" s="1"/>
      <c r="G660" s="1"/>
      <c r="H660" s="1"/>
      <c r="I660" s="1"/>
    </row>
    <row r="661" spans="2:9" ht="15.75" customHeight="1" x14ac:dyDescent="0.25">
      <c r="B661" s="1"/>
      <c r="C661" s="1"/>
      <c r="D661" s="1"/>
      <c r="E661" s="1"/>
      <c r="F661" s="1"/>
      <c r="G661" s="1"/>
      <c r="H661" s="1"/>
      <c r="I661" s="1"/>
    </row>
    <row r="662" spans="2:9" ht="15.75" customHeight="1" x14ac:dyDescent="0.25">
      <c r="B662" s="1"/>
      <c r="C662" s="1"/>
      <c r="D662" s="1"/>
      <c r="E662" s="1"/>
      <c r="F662" s="1"/>
      <c r="G662" s="1"/>
      <c r="H662" s="1"/>
      <c r="I662" s="1"/>
    </row>
    <row r="663" spans="2:9" ht="15.75" customHeight="1" x14ac:dyDescent="0.25">
      <c r="B663" s="1"/>
      <c r="C663" s="1"/>
      <c r="D663" s="1"/>
      <c r="E663" s="1"/>
      <c r="F663" s="1"/>
      <c r="G663" s="1"/>
      <c r="H663" s="1"/>
      <c r="I663" s="1"/>
    </row>
    <row r="664" spans="2:9" ht="15.75" customHeight="1" x14ac:dyDescent="0.25">
      <c r="B664" s="1"/>
      <c r="C664" s="1"/>
      <c r="D664" s="1"/>
      <c r="E664" s="1"/>
      <c r="F664" s="1"/>
      <c r="G664" s="1"/>
      <c r="H664" s="1"/>
      <c r="I664" s="1"/>
    </row>
    <row r="665" spans="2:9" ht="15.75" customHeight="1" x14ac:dyDescent="0.25">
      <c r="B665" s="1"/>
      <c r="C665" s="1"/>
      <c r="D665" s="1"/>
      <c r="E665" s="1"/>
      <c r="F665" s="1"/>
      <c r="G665" s="1"/>
      <c r="H665" s="1"/>
      <c r="I665" s="1"/>
    </row>
    <row r="666" spans="2:9" ht="15.75" customHeight="1" x14ac:dyDescent="0.25">
      <c r="B666" s="1"/>
      <c r="C666" s="1"/>
      <c r="D666" s="1"/>
      <c r="E666" s="1"/>
      <c r="F666" s="1"/>
      <c r="G666" s="1"/>
      <c r="H666" s="1"/>
      <c r="I666" s="1"/>
    </row>
    <row r="667" spans="2:9" ht="15.75" customHeight="1" x14ac:dyDescent="0.25">
      <c r="B667" s="1"/>
      <c r="C667" s="1"/>
      <c r="D667" s="1"/>
      <c r="E667" s="1"/>
      <c r="F667" s="1"/>
      <c r="G667" s="1"/>
      <c r="H667" s="1"/>
      <c r="I667" s="1"/>
    </row>
    <row r="668" spans="2:9" ht="15.75" customHeight="1" x14ac:dyDescent="0.25">
      <c r="B668" s="1"/>
      <c r="C668" s="1"/>
      <c r="D668" s="1"/>
      <c r="E668" s="1"/>
      <c r="F668" s="1"/>
      <c r="G668" s="1"/>
      <c r="H668" s="1"/>
      <c r="I668" s="1"/>
    </row>
    <row r="669" spans="2:9" ht="15.75" customHeight="1" x14ac:dyDescent="0.25">
      <c r="B669" s="1"/>
      <c r="C669" s="1"/>
      <c r="D669" s="1"/>
      <c r="E669" s="1"/>
      <c r="F669" s="1"/>
      <c r="G669" s="1"/>
      <c r="H669" s="1"/>
      <c r="I669" s="1"/>
    </row>
    <row r="670" spans="2:9" ht="15.75" customHeight="1" x14ac:dyDescent="0.25">
      <c r="B670" s="1"/>
      <c r="C670" s="1"/>
      <c r="D670" s="1"/>
      <c r="E670" s="1"/>
      <c r="F670" s="1"/>
      <c r="G670" s="1"/>
      <c r="H670" s="1"/>
      <c r="I670" s="1"/>
    </row>
    <row r="671" spans="2:9" ht="15.75" customHeight="1" x14ac:dyDescent="0.25">
      <c r="B671" s="1"/>
      <c r="C671" s="1"/>
      <c r="D671" s="1"/>
      <c r="E671" s="1"/>
      <c r="F671" s="1"/>
      <c r="G671" s="1"/>
      <c r="H671" s="1"/>
      <c r="I671" s="1"/>
    </row>
    <row r="672" spans="2:9" ht="15.75" customHeight="1" x14ac:dyDescent="0.25">
      <c r="B672" s="1"/>
      <c r="C672" s="1"/>
      <c r="D672" s="1"/>
      <c r="E672" s="1"/>
      <c r="F672" s="1"/>
      <c r="G672" s="1"/>
      <c r="H672" s="1"/>
      <c r="I672" s="1"/>
    </row>
    <row r="673" spans="2:9" ht="15.75" customHeight="1" x14ac:dyDescent="0.25">
      <c r="B673" s="1"/>
      <c r="C673" s="1"/>
      <c r="D673" s="1"/>
      <c r="E673" s="1"/>
      <c r="F673" s="1"/>
      <c r="G673" s="1"/>
      <c r="H673" s="1"/>
      <c r="I673" s="1"/>
    </row>
    <row r="674" spans="2:9" ht="15.75" customHeight="1" x14ac:dyDescent="0.25">
      <c r="B674" s="1"/>
      <c r="C674" s="1"/>
      <c r="D674" s="1"/>
      <c r="E674" s="1"/>
      <c r="F674" s="1"/>
      <c r="G674" s="1"/>
      <c r="H674" s="1"/>
      <c r="I674" s="1"/>
    </row>
    <row r="675" spans="2:9" ht="15.75" customHeight="1" x14ac:dyDescent="0.25">
      <c r="B675" s="1"/>
      <c r="C675" s="1"/>
      <c r="D675" s="1"/>
      <c r="E675" s="1"/>
      <c r="F675" s="1"/>
      <c r="G675" s="1"/>
      <c r="H675" s="1"/>
      <c r="I675" s="1"/>
    </row>
    <row r="676" spans="2:9" ht="15.75" customHeight="1" x14ac:dyDescent="0.25">
      <c r="B676" s="1"/>
      <c r="C676" s="1"/>
      <c r="D676" s="1"/>
      <c r="E676" s="1"/>
      <c r="F676" s="1"/>
      <c r="G676" s="1"/>
      <c r="H676" s="1"/>
      <c r="I676" s="1"/>
    </row>
    <row r="677" spans="2:9" ht="15.75" customHeight="1" x14ac:dyDescent="0.25">
      <c r="B677" s="1"/>
      <c r="C677" s="1"/>
      <c r="D677" s="1"/>
      <c r="E677" s="1"/>
      <c r="F677" s="1"/>
      <c r="G677" s="1"/>
      <c r="H677" s="1"/>
      <c r="I677" s="1"/>
    </row>
    <row r="678" spans="2:9" ht="15.75" customHeight="1" x14ac:dyDescent="0.25">
      <c r="B678" s="1"/>
      <c r="C678" s="1"/>
      <c r="D678" s="1"/>
      <c r="E678" s="1"/>
      <c r="F678" s="1"/>
      <c r="G678" s="1"/>
      <c r="H678" s="1"/>
      <c r="I678" s="1"/>
    </row>
    <row r="679" spans="2:9" ht="15.75" customHeight="1" x14ac:dyDescent="0.25">
      <c r="B679" s="1"/>
      <c r="C679" s="1"/>
      <c r="D679" s="1"/>
      <c r="E679" s="1"/>
      <c r="F679" s="1"/>
      <c r="G679" s="1"/>
      <c r="H679" s="1"/>
      <c r="I679" s="1"/>
    </row>
    <row r="680" spans="2:9" ht="15.75" customHeight="1" x14ac:dyDescent="0.25">
      <c r="B680" s="1"/>
      <c r="C680" s="1"/>
      <c r="D680" s="1"/>
      <c r="E680" s="1"/>
      <c r="F680" s="1"/>
      <c r="G680" s="1"/>
      <c r="H680" s="1"/>
      <c r="I680" s="1"/>
    </row>
    <row r="681" spans="2:9" ht="15.75" customHeight="1" x14ac:dyDescent="0.25">
      <c r="B681" s="1"/>
      <c r="C681" s="1"/>
      <c r="D681" s="1"/>
      <c r="E681" s="1"/>
      <c r="F681" s="1"/>
      <c r="G681" s="1"/>
      <c r="H681" s="1"/>
      <c r="I681" s="1"/>
    </row>
    <row r="682" spans="2:9" ht="15.75" customHeight="1" x14ac:dyDescent="0.25">
      <c r="B682" s="1"/>
      <c r="C682" s="1"/>
      <c r="D682" s="1"/>
      <c r="E682" s="1"/>
      <c r="F682" s="1"/>
      <c r="G682" s="1"/>
      <c r="H682" s="1"/>
      <c r="I682" s="1"/>
    </row>
    <row r="683" spans="2:9" ht="15.75" customHeight="1" x14ac:dyDescent="0.25">
      <c r="B683" s="1"/>
      <c r="C683" s="1"/>
      <c r="D683" s="1"/>
      <c r="E683" s="1"/>
      <c r="F683" s="1"/>
      <c r="G683" s="1"/>
      <c r="H683" s="1"/>
      <c r="I683" s="1"/>
    </row>
    <row r="684" spans="2:9" ht="15.75" customHeight="1" x14ac:dyDescent="0.25">
      <c r="B684" s="1"/>
      <c r="C684" s="1"/>
      <c r="D684" s="1"/>
      <c r="E684" s="1"/>
      <c r="F684" s="1"/>
      <c r="G684" s="1"/>
      <c r="H684" s="1"/>
      <c r="I684" s="1"/>
    </row>
    <row r="685" spans="2:9" ht="15.75" customHeight="1" x14ac:dyDescent="0.25">
      <c r="B685" s="1"/>
      <c r="C685" s="1"/>
      <c r="D685" s="1"/>
      <c r="E685" s="1"/>
      <c r="F685" s="1"/>
      <c r="G685" s="1"/>
      <c r="H685" s="1"/>
      <c r="I685" s="1"/>
    </row>
    <row r="686" spans="2:9" ht="15.75" customHeight="1" x14ac:dyDescent="0.25">
      <c r="B686" s="1"/>
      <c r="C686" s="1"/>
      <c r="D686" s="1"/>
      <c r="E686" s="1"/>
      <c r="F686" s="1"/>
      <c r="G686" s="1"/>
      <c r="H686" s="1"/>
      <c r="I686" s="1"/>
    </row>
    <row r="687" spans="2:9" ht="15.75" customHeight="1" x14ac:dyDescent="0.25">
      <c r="B687" s="1"/>
      <c r="C687" s="1"/>
      <c r="D687" s="1"/>
      <c r="E687" s="1"/>
      <c r="F687" s="1"/>
      <c r="G687" s="1"/>
      <c r="H687" s="1"/>
      <c r="I687" s="1"/>
    </row>
    <row r="688" spans="2:9" ht="15.75" customHeight="1" x14ac:dyDescent="0.25">
      <c r="B688" s="1"/>
      <c r="C688" s="1"/>
      <c r="D688" s="1"/>
      <c r="E688" s="1"/>
      <c r="F688" s="1"/>
      <c r="G688" s="1"/>
      <c r="H688" s="1"/>
      <c r="I688" s="1"/>
    </row>
    <row r="689" spans="2:9" ht="15.75" customHeight="1" x14ac:dyDescent="0.25">
      <c r="B689" s="1"/>
      <c r="C689" s="1"/>
      <c r="D689" s="1"/>
      <c r="E689" s="1"/>
      <c r="F689" s="1"/>
      <c r="G689" s="1"/>
      <c r="H689" s="1"/>
      <c r="I689" s="1"/>
    </row>
    <row r="690" spans="2:9" ht="15.75" customHeight="1" x14ac:dyDescent="0.25">
      <c r="B690" s="1"/>
      <c r="C690" s="1"/>
      <c r="D690" s="1"/>
      <c r="E690" s="1"/>
      <c r="F690" s="1"/>
      <c r="G690" s="1"/>
      <c r="H690" s="1"/>
      <c r="I690" s="1"/>
    </row>
    <row r="691" spans="2:9" ht="15.75" customHeight="1" x14ac:dyDescent="0.25">
      <c r="B691" s="1"/>
      <c r="C691" s="1"/>
      <c r="D691" s="1"/>
      <c r="E691" s="1"/>
      <c r="F691" s="1"/>
      <c r="G691" s="1"/>
      <c r="H691" s="1"/>
      <c r="I691" s="1"/>
    </row>
    <row r="692" spans="2:9" ht="15.75" customHeight="1" x14ac:dyDescent="0.25">
      <c r="B692" s="1"/>
      <c r="C692" s="1"/>
      <c r="D692" s="1"/>
      <c r="E692" s="1"/>
      <c r="F692" s="1"/>
      <c r="G692" s="1"/>
      <c r="H692" s="1"/>
      <c r="I692" s="1"/>
    </row>
    <row r="693" spans="2:9" ht="15.75" customHeight="1" x14ac:dyDescent="0.25">
      <c r="B693" s="1"/>
      <c r="C693" s="1"/>
      <c r="D693" s="1"/>
      <c r="E693" s="1"/>
      <c r="F693" s="1"/>
      <c r="G693" s="1"/>
      <c r="H693" s="1"/>
      <c r="I693" s="1"/>
    </row>
    <row r="694" spans="2:9" ht="15.75" customHeight="1" x14ac:dyDescent="0.25">
      <c r="B694" s="1"/>
      <c r="C694" s="1"/>
      <c r="D694" s="1"/>
      <c r="E694" s="1"/>
      <c r="F694" s="1"/>
      <c r="G694" s="1"/>
      <c r="H694" s="1"/>
      <c r="I694" s="1"/>
    </row>
    <row r="695" spans="2:9" ht="15.75" customHeight="1" x14ac:dyDescent="0.25">
      <c r="B695" s="1"/>
      <c r="C695" s="1"/>
      <c r="D695" s="1"/>
      <c r="E695" s="1"/>
      <c r="F695" s="1"/>
      <c r="G695" s="1"/>
      <c r="H695" s="1"/>
      <c r="I695" s="1"/>
    </row>
    <row r="696" spans="2:9" ht="15.75" customHeight="1" x14ac:dyDescent="0.25">
      <c r="B696" s="1"/>
      <c r="C696" s="1"/>
      <c r="D696" s="1"/>
      <c r="E696" s="1"/>
      <c r="F696" s="1"/>
      <c r="G696" s="1"/>
      <c r="H696" s="1"/>
      <c r="I696" s="1"/>
    </row>
    <row r="697" spans="2:9" ht="15.75" customHeight="1" x14ac:dyDescent="0.25">
      <c r="B697" s="1"/>
      <c r="C697" s="1"/>
      <c r="D697" s="1"/>
      <c r="E697" s="1"/>
      <c r="F697" s="1"/>
      <c r="G697" s="1"/>
      <c r="H697" s="1"/>
      <c r="I697" s="1"/>
    </row>
    <row r="698" spans="2:9" ht="15.75" customHeight="1" x14ac:dyDescent="0.25">
      <c r="B698" s="1"/>
      <c r="C698" s="1"/>
      <c r="D698" s="1"/>
      <c r="E698" s="1"/>
      <c r="F698" s="1"/>
      <c r="G698" s="1"/>
      <c r="H698" s="1"/>
      <c r="I698" s="1"/>
    </row>
    <row r="699" spans="2:9" ht="15.75" customHeight="1" x14ac:dyDescent="0.25">
      <c r="B699" s="1"/>
      <c r="C699" s="1"/>
      <c r="D699" s="1"/>
      <c r="E699" s="1"/>
      <c r="F699" s="1"/>
      <c r="G699" s="1"/>
      <c r="H699" s="1"/>
      <c r="I699" s="1"/>
    </row>
    <row r="700" spans="2:9" ht="15.75" customHeight="1" x14ac:dyDescent="0.25">
      <c r="B700" s="1"/>
      <c r="C700" s="1"/>
      <c r="D700" s="1"/>
      <c r="E700" s="1"/>
      <c r="F700" s="1"/>
      <c r="G700" s="1"/>
      <c r="H700" s="1"/>
      <c r="I700" s="1"/>
    </row>
    <row r="701" spans="2:9" ht="15.75" customHeight="1" x14ac:dyDescent="0.25">
      <c r="B701" s="1"/>
      <c r="C701" s="1"/>
      <c r="D701" s="1"/>
      <c r="E701" s="1"/>
      <c r="F701" s="1"/>
      <c r="G701" s="1"/>
      <c r="H701" s="1"/>
      <c r="I701" s="1"/>
    </row>
    <row r="702" spans="2:9" ht="15.75" customHeight="1" x14ac:dyDescent="0.25">
      <c r="B702" s="1"/>
      <c r="C702" s="1"/>
      <c r="D702" s="1"/>
      <c r="E702" s="1"/>
      <c r="F702" s="1"/>
      <c r="G702" s="1"/>
      <c r="H702" s="1"/>
      <c r="I702" s="1"/>
    </row>
    <row r="703" spans="2:9" ht="15.75" customHeight="1" x14ac:dyDescent="0.25">
      <c r="B703" s="1"/>
      <c r="C703" s="1"/>
      <c r="D703" s="1"/>
      <c r="E703" s="1"/>
      <c r="F703" s="1"/>
      <c r="G703" s="1"/>
      <c r="H703" s="1"/>
      <c r="I703" s="1"/>
    </row>
    <row r="704" spans="2:9" ht="15.75" customHeight="1" x14ac:dyDescent="0.25">
      <c r="B704" s="1"/>
      <c r="C704" s="1"/>
      <c r="D704" s="1"/>
      <c r="E704" s="1"/>
      <c r="F704" s="1"/>
      <c r="G704" s="1"/>
      <c r="H704" s="1"/>
      <c r="I704" s="1"/>
    </row>
    <row r="705" spans="2:9" ht="15.75" customHeight="1" x14ac:dyDescent="0.25">
      <c r="B705" s="1"/>
      <c r="C705" s="1"/>
      <c r="D705" s="1"/>
      <c r="E705" s="1"/>
      <c r="F705" s="1"/>
      <c r="G705" s="1"/>
      <c r="H705" s="1"/>
      <c r="I705" s="1"/>
    </row>
    <row r="706" spans="2:9" ht="15.75" customHeight="1" x14ac:dyDescent="0.25">
      <c r="B706" s="1"/>
      <c r="C706" s="1"/>
      <c r="D706" s="1"/>
      <c r="E706" s="1"/>
      <c r="F706" s="1"/>
      <c r="G706" s="1"/>
      <c r="H706" s="1"/>
      <c r="I706" s="1"/>
    </row>
    <row r="707" spans="2:9" ht="15.75" customHeight="1" x14ac:dyDescent="0.25">
      <c r="B707" s="1"/>
      <c r="C707" s="1"/>
      <c r="D707" s="1"/>
      <c r="E707" s="1"/>
      <c r="F707" s="1"/>
      <c r="G707" s="1"/>
      <c r="H707" s="1"/>
      <c r="I707" s="1"/>
    </row>
    <row r="708" spans="2:9" ht="15.75" customHeight="1" x14ac:dyDescent="0.25">
      <c r="B708" s="1"/>
      <c r="C708" s="1"/>
      <c r="D708" s="1"/>
      <c r="E708" s="1"/>
      <c r="F708" s="1"/>
      <c r="G708" s="1"/>
      <c r="H708" s="1"/>
      <c r="I708" s="1"/>
    </row>
    <row r="709" spans="2:9" ht="15.75" customHeight="1" x14ac:dyDescent="0.25">
      <c r="B709" s="1"/>
      <c r="C709" s="1"/>
      <c r="D709" s="1"/>
      <c r="E709" s="1"/>
      <c r="F709" s="1"/>
      <c r="G709" s="1"/>
      <c r="H709" s="1"/>
      <c r="I709" s="1"/>
    </row>
    <row r="710" spans="2:9" ht="15.75" customHeight="1" x14ac:dyDescent="0.25">
      <c r="B710" s="1"/>
      <c r="C710" s="1"/>
      <c r="D710" s="1"/>
      <c r="E710" s="1"/>
      <c r="F710" s="1"/>
      <c r="G710" s="1"/>
      <c r="H710" s="1"/>
      <c r="I710" s="1"/>
    </row>
    <row r="711" spans="2:9" ht="15.75" customHeight="1" x14ac:dyDescent="0.25">
      <c r="B711" s="1"/>
      <c r="C711" s="1"/>
      <c r="D711" s="1"/>
      <c r="E711" s="1"/>
      <c r="F711" s="1"/>
      <c r="G711" s="1"/>
      <c r="H711" s="1"/>
      <c r="I711" s="1"/>
    </row>
    <row r="712" spans="2:9" ht="15.75" customHeight="1" x14ac:dyDescent="0.25">
      <c r="B712" s="1"/>
      <c r="C712" s="1"/>
      <c r="D712" s="1"/>
      <c r="E712" s="1"/>
      <c r="F712" s="1"/>
      <c r="G712" s="1"/>
      <c r="H712" s="1"/>
      <c r="I712" s="1"/>
    </row>
    <row r="713" spans="2:9" ht="15.75" customHeight="1" x14ac:dyDescent="0.25">
      <c r="B713" s="1"/>
      <c r="C713" s="1"/>
      <c r="D713" s="1"/>
      <c r="E713" s="1"/>
      <c r="F713" s="1"/>
      <c r="G713" s="1"/>
      <c r="H713" s="1"/>
      <c r="I713" s="1"/>
    </row>
    <row r="714" spans="2:9" ht="15.75" customHeight="1" x14ac:dyDescent="0.25">
      <c r="B714" s="1"/>
      <c r="C714" s="1"/>
      <c r="D714" s="1"/>
      <c r="E714" s="1"/>
      <c r="F714" s="1"/>
      <c r="G714" s="1"/>
      <c r="H714" s="1"/>
      <c r="I714" s="1"/>
    </row>
    <row r="715" spans="2:9" ht="15.75" customHeight="1" x14ac:dyDescent="0.25">
      <c r="B715" s="1"/>
      <c r="C715" s="1"/>
      <c r="D715" s="1"/>
      <c r="E715" s="1"/>
      <c r="F715" s="1"/>
      <c r="G715" s="1"/>
      <c r="H715" s="1"/>
      <c r="I715" s="1"/>
    </row>
    <row r="716" spans="2:9" ht="15.75" customHeight="1" x14ac:dyDescent="0.25">
      <c r="B716" s="1"/>
      <c r="C716" s="1"/>
      <c r="D716" s="1"/>
      <c r="E716" s="1"/>
      <c r="F716" s="1"/>
      <c r="G716" s="1"/>
      <c r="H716" s="1"/>
      <c r="I716" s="1"/>
    </row>
    <row r="717" spans="2:9" ht="15.75" customHeight="1" x14ac:dyDescent="0.25">
      <c r="B717" s="1"/>
      <c r="C717" s="1"/>
      <c r="D717" s="1"/>
      <c r="E717" s="1"/>
      <c r="F717" s="1"/>
      <c r="G717" s="1"/>
      <c r="H717" s="1"/>
      <c r="I717" s="1"/>
    </row>
    <row r="718" spans="2:9" ht="15.75" customHeight="1" x14ac:dyDescent="0.25">
      <c r="B718" s="1"/>
      <c r="C718" s="1"/>
      <c r="D718" s="1"/>
      <c r="E718" s="1"/>
      <c r="F718" s="1"/>
      <c r="G718" s="1"/>
      <c r="H718" s="1"/>
      <c r="I718" s="1"/>
    </row>
    <row r="719" spans="2:9" ht="15.75" customHeight="1" x14ac:dyDescent="0.25">
      <c r="B719" s="1"/>
      <c r="C719" s="1"/>
      <c r="D719" s="1"/>
      <c r="E719" s="1"/>
      <c r="F719" s="1"/>
      <c r="G719" s="1"/>
      <c r="H719" s="1"/>
      <c r="I719" s="1"/>
    </row>
    <row r="720" spans="2:9" ht="15.75" customHeight="1" x14ac:dyDescent="0.25">
      <c r="B720" s="1"/>
      <c r="C720" s="1"/>
      <c r="D720" s="1"/>
      <c r="E720" s="1"/>
      <c r="F720" s="1"/>
      <c r="G720" s="1"/>
      <c r="H720" s="1"/>
      <c r="I720" s="1"/>
    </row>
    <row r="721" spans="2:9" ht="15.75" customHeight="1" x14ac:dyDescent="0.25">
      <c r="B721" s="1"/>
      <c r="C721" s="1"/>
      <c r="D721" s="1"/>
      <c r="E721" s="1"/>
      <c r="F721" s="1"/>
      <c r="G721" s="1"/>
      <c r="H721" s="1"/>
      <c r="I721" s="1"/>
    </row>
    <row r="722" spans="2:9" ht="15.75" customHeight="1" x14ac:dyDescent="0.25">
      <c r="B722" s="1"/>
      <c r="C722" s="1"/>
      <c r="D722" s="1"/>
      <c r="E722" s="1"/>
      <c r="F722" s="1"/>
      <c r="G722" s="1"/>
      <c r="H722" s="1"/>
      <c r="I722" s="1"/>
    </row>
    <row r="723" spans="2:9" ht="15.75" customHeight="1" x14ac:dyDescent="0.25">
      <c r="B723" s="1"/>
      <c r="C723" s="1"/>
      <c r="D723" s="1"/>
      <c r="E723" s="1"/>
      <c r="F723" s="1"/>
      <c r="G723" s="1"/>
      <c r="H723" s="1"/>
      <c r="I723" s="1"/>
    </row>
    <row r="724" spans="2:9" ht="15.75" customHeight="1" x14ac:dyDescent="0.25">
      <c r="B724" s="1"/>
      <c r="C724" s="1"/>
      <c r="D724" s="1"/>
      <c r="E724" s="1"/>
      <c r="F724" s="1"/>
      <c r="G724" s="1"/>
      <c r="H724" s="1"/>
      <c r="I724" s="1"/>
    </row>
    <row r="725" spans="2:9" ht="15.75" customHeight="1" x14ac:dyDescent="0.25">
      <c r="B725" s="1"/>
      <c r="C725" s="1"/>
      <c r="D725" s="1"/>
      <c r="E725" s="1"/>
      <c r="F725" s="1"/>
      <c r="G725" s="1"/>
      <c r="H725" s="1"/>
      <c r="I725" s="1"/>
    </row>
    <row r="726" spans="2:9" ht="15.75" customHeight="1" x14ac:dyDescent="0.25">
      <c r="B726" s="1"/>
      <c r="C726" s="1"/>
      <c r="D726" s="1"/>
      <c r="E726" s="1"/>
      <c r="F726" s="1"/>
      <c r="G726" s="1"/>
      <c r="H726" s="1"/>
      <c r="I726" s="1"/>
    </row>
    <row r="727" spans="2:9" ht="15.75" customHeight="1" x14ac:dyDescent="0.25">
      <c r="B727" s="1"/>
      <c r="C727" s="1"/>
      <c r="D727" s="1"/>
      <c r="E727" s="1"/>
      <c r="F727" s="1"/>
      <c r="G727" s="1"/>
      <c r="H727" s="1"/>
      <c r="I727" s="1"/>
    </row>
    <row r="728" spans="2:9" ht="15.75" customHeight="1" x14ac:dyDescent="0.25">
      <c r="B728" s="1"/>
      <c r="C728" s="1"/>
      <c r="D728" s="1"/>
      <c r="E728" s="1"/>
      <c r="F728" s="1"/>
      <c r="G728" s="1"/>
      <c r="H728" s="1"/>
      <c r="I728" s="1"/>
    </row>
    <row r="729" spans="2:9" ht="15.75" customHeight="1" x14ac:dyDescent="0.25">
      <c r="B729" s="1"/>
      <c r="C729" s="1"/>
      <c r="D729" s="1"/>
      <c r="E729" s="1"/>
      <c r="F729" s="1"/>
      <c r="G729" s="1"/>
      <c r="H729" s="1"/>
      <c r="I729" s="1"/>
    </row>
    <row r="730" spans="2:9" ht="15.75" customHeight="1" x14ac:dyDescent="0.25">
      <c r="B730" s="1"/>
      <c r="C730" s="1"/>
      <c r="D730" s="1"/>
      <c r="E730" s="1"/>
      <c r="F730" s="1"/>
      <c r="G730" s="1"/>
      <c r="H730" s="1"/>
      <c r="I730" s="1"/>
    </row>
    <row r="731" spans="2:9" ht="15.75" customHeight="1" x14ac:dyDescent="0.25">
      <c r="B731" s="1"/>
      <c r="C731" s="1"/>
      <c r="D731" s="1"/>
      <c r="E731" s="1"/>
      <c r="F731" s="1"/>
      <c r="G731" s="1"/>
      <c r="H731" s="1"/>
      <c r="I731" s="1"/>
    </row>
    <row r="732" spans="2:9" ht="15.75" customHeight="1" x14ac:dyDescent="0.25">
      <c r="B732" s="1"/>
      <c r="C732" s="1"/>
      <c r="D732" s="1"/>
      <c r="E732" s="1"/>
      <c r="F732" s="1"/>
      <c r="G732" s="1"/>
      <c r="H732" s="1"/>
      <c r="I732" s="1"/>
    </row>
    <row r="733" spans="2:9" ht="15.75" customHeight="1" x14ac:dyDescent="0.25">
      <c r="B733" s="1"/>
      <c r="C733" s="1"/>
      <c r="D733" s="1"/>
      <c r="E733" s="1"/>
      <c r="F733" s="1"/>
      <c r="G733" s="1"/>
      <c r="H733" s="1"/>
      <c r="I733" s="1"/>
    </row>
    <row r="734" spans="2:9" ht="15.75" customHeight="1" x14ac:dyDescent="0.25">
      <c r="B734" s="1"/>
      <c r="C734" s="1"/>
      <c r="D734" s="1"/>
      <c r="E734" s="1"/>
      <c r="F734" s="1"/>
      <c r="G734" s="1"/>
      <c r="H734" s="1"/>
      <c r="I734" s="1"/>
    </row>
    <row r="735" spans="2:9" ht="15.75" customHeight="1" x14ac:dyDescent="0.25">
      <c r="B735" s="1"/>
      <c r="C735" s="1"/>
      <c r="D735" s="1"/>
      <c r="E735" s="1"/>
      <c r="F735" s="1"/>
      <c r="G735" s="1"/>
      <c r="H735" s="1"/>
      <c r="I735" s="1"/>
    </row>
    <row r="736" spans="2:9" ht="15.75" customHeight="1" x14ac:dyDescent="0.25">
      <c r="B736" s="1"/>
      <c r="C736" s="1"/>
      <c r="D736" s="1"/>
      <c r="E736" s="1"/>
      <c r="F736" s="1"/>
      <c r="G736" s="1"/>
      <c r="H736" s="1"/>
      <c r="I736" s="1"/>
    </row>
    <row r="737" spans="2:9" ht="15.75" customHeight="1" x14ac:dyDescent="0.25">
      <c r="B737" s="1"/>
      <c r="C737" s="1"/>
      <c r="D737" s="1"/>
      <c r="E737" s="1"/>
      <c r="F737" s="1"/>
      <c r="G737" s="1"/>
      <c r="H737" s="1"/>
      <c r="I737" s="1"/>
    </row>
    <row r="738" spans="2:9" ht="15.75" customHeight="1" x14ac:dyDescent="0.25">
      <c r="B738" s="1"/>
      <c r="C738" s="1"/>
      <c r="D738" s="1"/>
      <c r="E738" s="1"/>
      <c r="F738" s="1"/>
      <c r="G738" s="1"/>
      <c r="H738" s="1"/>
      <c r="I738" s="1"/>
    </row>
    <row r="739" spans="2:9" ht="15.75" customHeight="1" x14ac:dyDescent="0.25">
      <c r="B739" s="1"/>
      <c r="C739" s="1"/>
      <c r="D739" s="1"/>
      <c r="E739" s="1"/>
      <c r="F739" s="1"/>
      <c r="G739" s="1"/>
      <c r="H739" s="1"/>
      <c r="I739" s="1"/>
    </row>
    <row r="740" spans="2:9" ht="15.75" customHeight="1" x14ac:dyDescent="0.25">
      <c r="B740" s="1"/>
      <c r="C740" s="1"/>
      <c r="D740" s="1"/>
      <c r="E740" s="1"/>
      <c r="F740" s="1"/>
      <c r="G740" s="1"/>
      <c r="H740" s="1"/>
      <c r="I740" s="1"/>
    </row>
    <row r="741" spans="2:9" ht="15.75" customHeight="1" x14ac:dyDescent="0.25">
      <c r="B741" s="1"/>
      <c r="C741" s="1"/>
      <c r="D741" s="1"/>
      <c r="E741" s="1"/>
      <c r="F741" s="1"/>
      <c r="G741" s="1"/>
      <c r="H741" s="1"/>
      <c r="I741" s="1"/>
    </row>
    <row r="742" spans="2:9" ht="15.75" customHeight="1" x14ac:dyDescent="0.25">
      <c r="B742" s="1"/>
      <c r="C742" s="1"/>
      <c r="D742" s="1"/>
      <c r="E742" s="1"/>
      <c r="F742" s="1"/>
      <c r="G742" s="1"/>
      <c r="H742" s="1"/>
      <c r="I742" s="1"/>
    </row>
    <row r="743" spans="2:9" ht="15.75" customHeight="1" x14ac:dyDescent="0.25">
      <c r="B743" s="1"/>
      <c r="C743" s="1"/>
      <c r="D743" s="1"/>
      <c r="E743" s="1"/>
      <c r="F743" s="1"/>
      <c r="G743" s="1"/>
      <c r="H743" s="1"/>
      <c r="I743" s="1"/>
    </row>
    <row r="744" spans="2:9" ht="15.75" customHeight="1" x14ac:dyDescent="0.25">
      <c r="B744" s="1"/>
      <c r="C744" s="1"/>
      <c r="D744" s="1"/>
      <c r="E744" s="1"/>
      <c r="F744" s="1"/>
      <c r="G744" s="1"/>
      <c r="H744" s="1"/>
      <c r="I744" s="1"/>
    </row>
    <row r="745" spans="2:9" ht="15.75" customHeight="1" x14ac:dyDescent="0.25">
      <c r="B745" s="1"/>
      <c r="C745" s="1"/>
      <c r="D745" s="1"/>
      <c r="E745" s="1"/>
      <c r="F745" s="1"/>
      <c r="G745" s="1"/>
      <c r="H745" s="1"/>
      <c r="I745" s="1"/>
    </row>
    <row r="746" spans="2:9" ht="15.75" customHeight="1" x14ac:dyDescent="0.25">
      <c r="B746" s="1"/>
      <c r="C746" s="1"/>
      <c r="D746" s="1"/>
      <c r="E746" s="1"/>
      <c r="F746" s="1"/>
      <c r="G746" s="1"/>
      <c r="H746" s="1"/>
      <c r="I746" s="1"/>
    </row>
    <row r="747" spans="2:9" ht="15.75" customHeight="1" x14ac:dyDescent="0.25">
      <c r="B747" s="1"/>
      <c r="C747" s="1"/>
      <c r="D747" s="1"/>
      <c r="E747" s="1"/>
      <c r="F747" s="1"/>
      <c r="G747" s="1"/>
      <c r="H747" s="1"/>
      <c r="I747" s="1"/>
    </row>
    <row r="748" spans="2:9" ht="15.75" customHeight="1" x14ac:dyDescent="0.25">
      <c r="B748" s="1"/>
      <c r="C748" s="1"/>
      <c r="D748" s="1"/>
      <c r="E748" s="1"/>
      <c r="F748" s="1"/>
      <c r="G748" s="1"/>
      <c r="H748" s="1"/>
      <c r="I748" s="1"/>
    </row>
    <row r="749" spans="2:9" ht="15.75" customHeight="1" x14ac:dyDescent="0.25">
      <c r="B749" s="1"/>
      <c r="C749" s="1"/>
      <c r="D749" s="1"/>
      <c r="E749" s="1"/>
      <c r="F749" s="1"/>
      <c r="G749" s="1"/>
      <c r="H749" s="1"/>
      <c r="I749" s="1"/>
    </row>
    <row r="750" spans="2:9" ht="15.75" customHeight="1" x14ac:dyDescent="0.25">
      <c r="B750" s="1"/>
      <c r="C750" s="1"/>
      <c r="D750" s="1"/>
      <c r="E750" s="1"/>
      <c r="F750" s="1"/>
      <c r="G750" s="1"/>
      <c r="H750" s="1"/>
      <c r="I750" s="1"/>
    </row>
    <row r="751" spans="2:9" ht="15.75" customHeight="1" x14ac:dyDescent="0.25">
      <c r="B751" s="1"/>
      <c r="C751" s="1"/>
      <c r="D751" s="1"/>
      <c r="E751" s="1"/>
      <c r="F751" s="1"/>
      <c r="G751" s="1"/>
      <c r="H751" s="1"/>
      <c r="I751" s="1"/>
    </row>
    <row r="752" spans="2:9" ht="15.75" customHeight="1" x14ac:dyDescent="0.25">
      <c r="B752" s="1"/>
      <c r="C752" s="1"/>
      <c r="D752" s="1"/>
      <c r="E752" s="1"/>
      <c r="F752" s="1"/>
      <c r="G752" s="1"/>
      <c r="H752" s="1"/>
      <c r="I752" s="1"/>
    </row>
    <row r="753" spans="2:9" ht="15.75" customHeight="1" x14ac:dyDescent="0.25">
      <c r="B753" s="1"/>
      <c r="C753" s="1"/>
      <c r="D753" s="1"/>
      <c r="E753" s="1"/>
      <c r="F753" s="1"/>
      <c r="G753" s="1"/>
      <c r="H753" s="1"/>
      <c r="I753" s="1"/>
    </row>
    <row r="754" spans="2:9" ht="15.75" customHeight="1" x14ac:dyDescent="0.25">
      <c r="B754" s="1"/>
      <c r="C754" s="1"/>
      <c r="D754" s="1"/>
      <c r="E754" s="1"/>
      <c r="F754" s="1"/>
      <c r="G754" s="1"/>
      <c r="H754" s="1"/>
      <c r="I754" s="1"/>
    </row>
    <row r="755" spans="2:9" ht="15.75" customHeight="1" x14ac:dyDescent="0.25">
      <c r="B755" s="1"/>
      <c r="C755" s="1"/>
      <c r="D755" s="1"/>
      <c r="E755" s="1"/>
      <c r="F755" s="1"/>
      <c r="G755" s="1"/>
      <c r="H755" s="1"/>
      <c r="I755" s="1"/>
    </row>
    <row r="756" spans="2:9" ht="15.75" customHeight="1" x14ac:dyDescent="0.25">
      <c r="B756" s="1"/>
      <c r="C756" s="1"/>
      <c r="D756" s="1"/>
      <c r="E756" s="1"/>
      <c r="F756" s="1"/>
      <c r="G756" s="1"/>
      <c r="H756" s="1"/>
      <c r="I756" s="1"/>
    </row>
    <row r="757" spans="2:9" ht="15.75" customHeight="1" x14ac:dyDescent="0.25">
      <c r="B757" s="1"/>
      <c r="C757" s="1"/>
      <c r="D757" s="1"/>
      <c r="E757" s="1"/>
      <c r="F757" s="1"/>
      <c r="G757" s="1"/>
      <c r="H757" s="1"/>
      <c r="I757" s="1"/>
    </row>
    <row r="758" spans="2:9" ht="15.75" customHeight="1" x14ac:dyDescent="0.25">
      <c r="B758" s="1"/>
      <c r="C758" s="1"/>
      <c r="D758" s="1"/>
      <c r="E758" s="1"/>
      <c r="F758" s="1"/>
      <c r="G758" s="1"/>
      <c r="H758" s="1"/>
      <c r="I758" s="1"/>
    </row>
    <row r="759" spans="2:9" ht="15.75" customHeight="1" x14ac:dyDescent="0.25">
      <c r="B759" s="1"/>
      <c r="C759" s="1"/>
      <c r="D759" s="1"/>
      <c r="E759" s="1"/>
      <c r="F759" s="1"/>
      <c r="G759" s="1"/>
      <c r="H759" s="1"/>
      <c r="I759" s="1"/>
    </row>
    <row r="760" spans="2:9" ht="15.75" customHeight="1" x14ac:dyDescent="0.25">
      <c r="B760" s="1"/>
      <c r="C760" s="1"/>
      <c r="D760" s="1"/>
      <c r="E760" s="1"/>
      <c r="F760" s="1"/>
      <c r="G760" s="1"/>
      <c r="H760" s="1"/>
      <c r="I760" s="1"/>
    </row>
    <row r="761" spans="2:9" ht="15.75" customHeight="1" x14ac:dyDescent="0.25">
      <c r="B761" s="1"/>
      <c r="C761" s="1"/>
      <c r="D761" s="1"/>
      <c r="E761" s="1"/>
      <c r="F761" s="1"/>
      <c r="G761" s="1"/>
      <c r="H761" s="1"/>
      <c r="I761" s="1"/>
    </row>
    <row r="762" spans="2:9" ht="15.75" customHeight="1" x14ac:dyDescent="0.25">
      <c r="B762" s="1"/>
      <c r="C762" s="1"/>
      <c r="D762" s="1"/>
      <c r="E762" s="1"/>
      <c r="F762" s="1"/>
      <c r="G762" s="1"/>
      <c r="H762" s="1"/>
      <c r="I762" s="1"/>
    </row>
    <row r="763" spans="2:9" ht="15.75" customHeight="1" x14ac:dyDescent="0.25">
      <c r="B763" s="1"/>
      <c r="C763" s="1"/>
      <c r="D763" s="1"/>
      <c r="E763" s="1"/>
      <c r="F763" s="1"/>
      <c r="G763" s="1"/>
      <c r="H763" s="1"/>
      <c r="I763" s="1"/>
    </row>
    <row r="764" spans="2:9" ht="15.75" customHeight="1" x14ac:dyDescent="0.25">
      <c r="B764" s="1"/>
      <c r="C764" s="1"/>
      <c r="D764" s="1"/>
      <c r="E764" s="1"/>
      <c r="F764" s="1"/>
      <c r="G764" s="1"/>
      <c r="H764" s="1"/>
      <c r="I764" s="1"/>
    </row>
    <row r="765" spans="2:9" ht="15.75" customHeight="1" x14ac:dyDescent="0.25">
      <c r="B765" s="1"/>
      <c r="C765" s="1"/>
      <c r="D765" s="1"/>
      <c r="E765" s="1"/>
      <c r="F765" s="1"/>
      <c r="G765" s="1"/>
      <c r="H765" s="1"/>
      <c r="I765" s="1"/>
    </row>
    <row r="766" spans="2:9" ht="15.75" customHeight="1" x14ac:dyDescent="0.25">
      <c r="B766" s="1"/>
      <c r="C766" s="1"/>
      <c r="D766" s="1"/>
      <c r="E766" s="1"/>
      <c r="F766" s="1"/>
      <c r="G766" s="1"/>
      <c r="H766" s="1"/>
      <c r="I766" s="1"/>
    </row>
    <row r="767" spans="2:9" ht="15.75" customHeight="1" x14ac:dyDescent="0.25">
      <c r="B767" s="1"/>
      <c r="C767" s="1"/>
      <c r="D767" s="1"/>
      <c r="E767" s="1"/>
      <c r="F767" s="1"/>
      <c r="G767" s="1"/>
      <c r="H767" s="1"/>
      <c r="I767" s="1"/>
    </row>
    <row r="768" spans="2:9" ht="15.75" customHeight="1" x14ac:dyDescent="0.25">
      <c r="B768" s="1"/>
      <c r="C768" s="1"/>
      <c r="D768" s="1"/>
      <c r="E768" s="1"/>
      <c r="F768" s="1"/>
      <c r="G768" s="1"/>
      <c r="H768" s="1"/>
      <c r="I768" s="1"/>
    </row>
    <row r="769" spans="2:9" ht="15.75" customHeight="1" x14ac:dyDescent="0.25">
      <c r="B769" s="1"/>
      <c r="C769" s="1"/>
      <c r="D769" s="1"/>
      <c r="E769" s="1"/>
      <c r="F769" s="1"/>
      <c r="G769" s="1"/>
      <c r="H769" s="1"/>
      <c r="I769" s="1"/>
    </row>
    <row r="770" spans="2:9" ht="15.75" customHeight="1" x14ac:dyDescent="0.25">
      <c r="B770" s="1"/>
      <c r="C770" s="1"/>
      <c r="D770" s="1"/>
      <c r="E770" s="1"/>
      <c r="F770" s="1"/>
      <c r="G770" s="1"/>
      <c r="H770" s="1"/>
      <c r="I770" s="1"/>
    </row>
    <row r="771" spans="2:9" ht="15.75" customHeight="1" x14ac:dyDescent="0.25">
      <c r="B771" s="1"/>
      <c r="C771" s="1"/>
      <c r="D771" s="1"/>
      <c r="E771" s="1"/>
      <c r="F771" s="1"/>
      <c r="G771" s="1"/>
      <c r="H771" s="1"/>
      <c r="I771" s="1"/>
    </row>
    <row r="772" spans="2:9" ht="15.75" customHeight="1" x14ac:dyDescent="0.25">
      <c r="B772" s="1"/>
      <c r="C772" s="1"/>
      <c r="D772" s="1"/>
      <c r="E772" s="1"/>
      <c r="F772" s="1"/>
      <c r="G772" s="1"/>
      <c r="H772" s="1"/>
      <c r="I772" s="1"/>
    </row>
    <row r="773" spans="2:9" ht="15.75" customHeight="1" x14ac:dyDescent="0.25">
      <c r="B773" s="1"/>
      <c r="C773" s="1"/>
      <c r="D773" s="1"/>
      <c r="E773" s="1"/>
      <c r="F773" s="1"/>
      <c r="G773" s="1"/>
      <c r="H773" s="1"/>
      <c r="I773" s="1"/>
    </row>
    <row r="774" spans="2:9" ht="15.75" customHeight="1" x14ac:dyDescent="0.25">
      <c r="B774" s="1"/>
      <c r="C774" s="1"/>
      <c r="D774" s="1"/>
      <c r="E774" s="1"/>
      <c r="F774" s="1"/>
      <c r="G774" s="1"/>
      <c r="H774" s="1"/>
      <c r="I774" s="1"/>
    </row>
    <row r="775" spans="2:9" ht="15.75" customHeight="1" x14ac:dyDescent="0.25">
      <c r="B775" s="1"/>
      <c r="C775" s="1"/>
      <c r="D775" s="1"/>
      <c r="E775" s="1"/>
      <c r="F775" s="1"/>
      <c r="G775" s="1"/>
      <c r="H775" s="1"/>
      <c r="I775" s="1"/>
    </row>
    <row r="776" spans="2:9" ht="15.75" customHeight="1" x14ac:dyDescent="0.25">
      <c r="B776" s="1"/>
      <c r="C776" s="1"/>
      <c r="D776" s="1"/>
      <c r="E776" s="1"/>
      <c r="F776" s="1"/>
      <c r="G776" s="1"/>
      <c r="H776" s="1"/>
      <c r="I776" s="1"/>
    </row>
    <row r="777" spans="2:9" ht="15.75" customHeight="1" x14ac:dyDescent="0.25">
      <c r="B777" s="1"/>
      <c r="C777" s="1"/>
      <c r="D777" s="1"/>
      <c r="E777" s="1"/>
      <c r="F777" s="1"/>
      <c r="G777" s="1"/>
      <c r="H777" s="1"/>
      <c r="I777" s="1"/>
    </row>
    <row r="778" spans="2:9" ht="15.75" customHeight="1" x14ac:dyDescent="0.25">
      <c r="B778" s="1"/>
      <c r="C778" s="1"/>
      <c r="D778" s="1"/>
      <c r="E778" s="1"/>
      <c r="F778" s="1"/>
      <c r="G778" s="1"/>
      <c r="H778" s="1"/>
      <c r="I778" s="1"/>
    </row>
    <row r="779" spans="2:9" ht="15.75" customHeight="1" x14ac:dyDescent="0.25">
      <c r="B779" s="1"/>
      <c r="C779" s="1"/>
      <c r="D779" s="1"/>
      <c r="E779" s="1"/>
      <c r="F779" s="1"/>
      <c r="G779" s="1"/>
      <c r="H779" s="1"/>
      <c r="I779" s="1"/>
    </row>
    <row r="780" spans="2:9" ht="15.75" customHeight="1" x14ac:dyDescent="0.25">
      <c r="B780" s="1"/>
      <c r="C780" s="1"/>
      <c r="D780" s="1"/>
      <c r="E780" s="1"/>
      <c r="F780" s="1"/>
      <c r="G780" s="1"/>
      <c r="H780" s="1"/>
      <c r="I780" s="1"/>
    </row>
    <row r="781" spans="2:9" ht="15.75" customHeight="1" x14ac:dyDescent="0.25">
      <c r="B781" s="1"/>
      <c r="C781" s="1"/>
      <c r="D781" s="1"/>
      <c r="E781" s="1"/>
      <c r="F781" s="1"/>
      <c r="G781" s="1"/>
      <c r="H781" s="1"/>
      <c r="I781" s="1"/>
    </row>
    <row r="782" spans="2:9" ht="15.75" customHeight="1" x14ac:dyDescent="0.25">
      <c r="B782" s="1"/>
      <c r="C782" s="1"/>
      <c r="D782" s="1"/>
      <c r="E782" s="1"/>
      <c r="F782" s="1"/>
      <c r="G782" s="1"/>
      <c r="H782" s="1"/>
      <c r="I782" s="1"/>
    </row>
    <row r="783" spans="2:9" ht="15.75" customHeight="1" x14ac:dyDescent="0.25">
      <c r="B783" s="1"/>
      <c r="C783" s="1"/>
      <c r="D783" s="1"/>
      <c r="E783" s="1"/>
      <c r="F783" s="1"/>
      <c r="G783" s="1"/>
      <c r="H783" s="1"/>
      <c r="I783" s="1"/>
    </row>
    <row r="784" spans="2:9" ht="15.75" customHeight="1" x14ac:dyDescent="0.25">
      <c r="B784" s="1"/>
      <c r="C784" s="1"/>
      <c r="D784" s="1"/>
      <c r="E784" s="1"/>
      <c r="F784" s="1"/>
      <c r="G784" s="1"/>
      <c r="H784" s="1"/>
      <c r="I784" s="1"/>
    </row>
    <row r="785" spans="2:9" ht="15.75" customHeight="1" x14ac:dyDescent="0.25">
      <c r="B785" s="1"/>
      <c r="C785" s="1"/>
      <c r="D785" s="1"/>
      <c r="E785" s="1"/>
      <c r="F785" s="1"/>
      <c r="G785" s="1"/>
      <c r="H785" s="1"/>
      <c r="I785" s="1"/>
    </row>
    <row r="786" spans="2:9" ht="15.75" customHeight="1" x14ac:dyDescent="0.25">
      <c r="B786" s="1"/>
      <c r="C786" s="1"/>
      <c r="D786" s="1"/>
      <c r="E786" s="1"/>
      <c r="F786" s="1"/>
      <c r="G786" s="1"/>
      <c r="H786" s="1"/>
      <c r="I786" s="1"/>
    </row>
    <row r="787" spans="2:9" ht="15.75" customHeight="1" x14ac:dyDescent="0.25">
      <c r="B787" s="1"/>
      <c r="C787" s="1"/>
      <c r="D787" s="1"/>
      <c r="E787" s="1"/>
      <c r="F787" s="1"/>
      <c r="G787" s="1"/>
      <c r="H787" s="1"/>
      <c r="I787" s="1"/>
    </row>
    <row r="788" spans="2:9" ht="15.75" customHeight="1" x14ac:dyDescent="0.25">
      <c r="B788" s="1"/>
      <c r="C788" s="1"/>
      <c r="D788" s="1"/>
      <c r="E788" s="1"/>
      <c r="F788" s="1"/>
      <c r="G788" s="1"/>
      <c r="H788" s="1"/>
      <c r="I788" s="1"/>
    </row>
    <row r="789" spans="2:9" ht="15.75" customHeight="1" x14ac:dyDescent="0.25">
      <c r="B789" s="1"/>
      <c r="C789" s="1"/>
      <c r="D789" s="1"/>
      <c r="E789" s="1"/>
      <c r="F789" s="1"/>
      <c r="G789" s="1"/>
      <c r="H789" s="1"/>
      <c r="I789" s="1"/>
    </row>
    <row r="790" spans="2:9" ht="15.75" customHeight="1" x14ac:dyDescent="0.25">
      <c r="B790" s="1"/>
      <c r="C790" s="1"/>
      <c r="D790" s="1"/>
      <c r="E790" s="1"/>
      <c r="F790" s="1"/>
      <c r="G790" s="1"/>
      <c r="H790" s="1"/>
      <c r="I790" s="1"/>
    </row>
    <row r="791" spans="2:9" ht="15.75" customHeight="1" x14ac:dyDescent="0.25">
      <c r="B791" s="1"/>
      <c r="C791" s="1"/>
      <c r="D791" s="1"/>
      <c r="E791" s="1"/>
      <c r="F791" s="1"/>
      <c r="G791" s="1"/>
      <c r="H791" s="1"/>
      <c r="I791" s="1"/>
    </row>
    <row r="792" spans="2:9" ht="15.75" customHeight="1" x14ac:dyDescent="0.25">
      <c r="B792" s="1"/>
      <c r="C792" s="1"/>
      <c r="D792" s="1"/>
      <c r="E792" s="1"/>
      <c r="F792" s="1"/>
      <c r="G792" s="1"/>
      <c r="H792" s="1"/>
      <c r="I792" s="1"/>
    </row>
    <row r="793" spans="2:9" ht="15.75" customHeight="1" x14ac:dyDescent="0.25">
      <c r="B793" s="1"/>
      <c r="C793" s="1"/>
      <c r="D793" s="1"/>
      <c r="E793" s="1"/>
      <c r="F793" s="1"/>
      <c r="G793" s="1"/>
      <c r="H793" s="1"/>
      <c r="I793" s="1"/>
    </row>
    <row r="794" spans="2:9" ht="15.75" customHeight="1" x14ac:dyDescent="0.25">
      <c r="B794" s="1"/>
      <c r="C794" s="1"/>
      <c r="D794" s="1"/>
      <c r="E794" s="1"/>
      <c r="F794" s="1"/>
      <c r="G794" s="1"/>
      <c r="H794" s="1"/>
      <c r="I794" s="1"/>
    </row>
    <row r="795" spans="2:9" ht="15.75" customHeight="1" x14ac:dyDescent="0.25">
      <c r="B795" s="1"/>
      <c r="C795" s="1"/>
      <c r="D795" s="1"/>
      <c r="E795" s="1"/>
      <c r="F795" s="1"/>
      <c r="G795" s="1"/>
      <c r="H795" s="1"/>
      <c r="I795" s="1"/>
    </row>
    <row r="796" spans="2:9" ht="15.75" customHeight="1" x14ac:dyDescent="0.25">
      <c r="B796" s="1"/>
      <c r="C796" s="1"/>
      <c r="D796" s="1"/>
      <c r="E796" s="1"/>
      <c r="F796" s="1"/>
      <c r="G796" s="1"/>
      <c r="H796" s="1"/>
      <c r="I796" s="1"/>
    </row>
    <row r="797" spans="2:9" ht="15.75" customHeight="1" x14ac:dyDescent="0.25">
      <c r="B797" s="1"/>
      <c r="C797" s="1"/>
      <c r="D797" s="1"/>
      <c r="E797" s="1"/>
      <c r="F797" s="1"/>
      <c r="G797" s="1"/>
      <c r="H797" s="1"/>
      <c r="I797" s="1"/>
    </row>
    <row r="798" spans="2:9" ht="15.75" customHeight="1" x14ac:dyDescent="0.25">
      <c r="B798" s="1"/>
      <c r="C798" s="1"/>
      <c r="D798" s="1"/>
      <c r="E798" s="1"/>
      <c r="F798" s="1"/>
      <c r="G798" s="1"/>
      <c r="H798" s="1"/>
      <c r="I798" s="1"/>
    </row>
    <row r="799" spans="2:9" ht="15.75" customHeight="1" x14ac:dyDescent="0.25">
      <c r="B799" s="1"/>
      <c r="C799" s="1"/>
      <c r="D799" s="1"/>
      <c r="E799" s="1"/>
      <c r="F799" s="1"/>
      <c r="G799" s="1"/>
      <c r="H799" s="1"/>
      <c r="I799" s="1"/>
    </row>
    <row r="800" spans="2:9" ht="15.75" customHeight="1" x14ac:dyDescent="0.25">
      <c r="B800" s="1"/>
      <c r="C800" s="1"/>
      <c r="D800" s="1"/>
      <c r="E800" s="1"/>
      <c r="F800" s="1"/>
      <c r="G800" s="1"/>
      <c r="H800" s="1"/>
      <c r="I800" s="1"/>
    </row>
    <row r="801" spans="2:9" ht="15.75" customHeight="1" x14ac:dyDescent="0.25">
      <c r="B801" s="1"/>
      <c r="C801" s="1"/>
      <c r="D801" s="1"/>
      <c r="E801" s="1"/>
      <c r="F801" s="1"/>
      <c r="G801" s="1"/>
      <c r="H801" s="1"/>
      <c r="I801" s="1"/>
    </row>
    <row r="802" spans="2:9" ht="15.75" customHeight="1" x14ac:dyDescent="0.25">
      <c r="B802" s="1"/>
      <c r="C802" s="1"/>
      <c r="D802" s="1"/>
      <c r="E802" s="1"/>
      <c r="F802" s="1"/>
      <c r="G802" s="1"/>
      <c r="H802" s="1"/>
      <c r="I802" s="1"/>
    </row>
    <row r="803" spans="2:9" ht="15.75" customHeight="1" x14ac:dyDescent="0.25">
      <c r="B803" s="1"/>
      <c r="C803" s="1"/>
      <c r="D803" s="1"/>
      <c r="E803" s="1"/>
      <c r="F803" s="1"/>
      <c r="G803" s="1"/>
      <c r="H803" s="1"/>
      <c r="I803" s="1"/>
    </row>
    <row r="804" spans="2:9" ht="15.75" customHeight="1" x14ac:dyDescent="0.25">
      <c r="B804" s="1"/>
      <c r="C804" s="1"/>
      <c r="D804" s="1"/>
      <c r="E804" s="1"/>
      <c r="F804" s="1"/>
      <c r="G804" s="1"/>
      <c r="H804" s="1"/>
      <c r="I804" s="1"/>
    </row>
    <row r="805" spans="2:9" ht="15.75" customHeight="1" x14ac:dyDescent="0.25">
      <c r="B805" s="1"/>
      <c r="C805" s="1"/>
      <c r="D805" s="1"/>
      <c r="E805" s="1"/>
      <c r="F805" s="1"/>
      <c r="G805" s="1"/>
      <c r="H805" s="1"/>
      <c r="I805" s="1"/>
    </row>
    <row r="806" spans="2:9" ht="15.75" customHeight="1" x14ac:dyDescent="0.25">
      <c r="B806" s="1"/>
      <c r="C806" s="1"/>
      <c r="D806" s="1"/>
      <c r="E806" s="1"/>
      <c r="F806" s="1"/>
      <c r="G806" s="1"/>
      <c r="H806" s="1"/>
      <c r="I806" s="1"/>
    </row>
    <row r="807" spans="2:9" ht="15.75" customHeight="1" x14ac:dyDescent="0.25">
      <c r="B807" s="1"/>
      <c r="C807" s="1"/>
      <c r="D807" s="1"/>
      <c r="E807" s="1"/>
      <c r="F807" s="1"/>
      <c r="G807" s="1"/>
      <c r="H807" s="1"/>
      <c r="I807" s="1"/>
    </row>
    <row r="808" spans="2:9" ht="15.75" customHeight="1" x14ac:dyDescent="0.25">
      <c r="B808" s="1"/>
      <c r="C808" s="1"/>
      <c r="D808" s="1"/>
      <c r="E808" s="1"/>
      <c r="F808" s="1"/>
      <c r="G808" s="1"/>
      <c r="H808" s="1"/>
      <c r="I808" s="1"/>
    </row>
    <row r="809" spans="2:9" ht="15.75" customHeight="1" x14ac:dyDescent="0.25">
      <c r="B809" s="1"/>
      <c r="C809" s="1"/>
      <c r="D809" s="1"/>
      <c r="E809" s="1"/>
      <c r="F809" s="1"/>
      <c r="G809" s="1"/>
      <c r="H809" s="1"/>
      <c r="I809" s="1"/>
    </row>
    <row r="810" spans="2:9" ht="15.75" customHeight="1" x14ac:dyDescent="0.25">
      <c r="B810" s="1"/>
      <c r="C810" s="1"/>
      <c r="D810" s="1"/>
      <c r="E810" s="1"/>
      <c r="F810" s="1"/>
      <c r="G810" s="1"/>
      <c r="H810" s="1"/>
      <c r="I810" s="1"/>
    </row>
    <row r="811" spans="2:9" ht="15.75" customHeight="1" x14ac:dyDescent="0.25">
      <c r="B811" s="1"/>
      <c r="C811" s="1"/>
      <c r="D811" s="1"/>
      <c r="E811" s="1"/>
      <c r="F811" s="1"/>
      <c r="G811" s="1"/>
      <c r="H811" s="1"/>
      <c r="I811" s="1"/>
    </row>
    <row r="812" spans="2:9" ht="15.75" customHeight="1" x14ac:dyDescent="0.25">
      <c r="B812" s="1"/>
      <c r="C812" s="1"/>
      <c r="D812" s="1"/>
      <c r="E812" s="1"/>
      <c r="F812" s="1"/>
      <c r="G812" s="1"/>
      <c r="H812" s="1"/>
      <c r="I812" s="1"/>
    </row>
    <row r="813" spans="2:9" ht="15.75" customHeight="1" x14ac:dyDescent="0.25">
      <c r="B813" s="1"/>
      <c r="C813" s="1"/>
      <c r="D813" s="1"/>
      <c r="E813" s="1"/>
      <c r="F813" s="1"/>
      <c r="G813" s="1"/>
      <c r="H813" s="1"/>
      <c r="I813" s="1"/>
    </row>
    <row r="814" spans="2:9" ht="15.75" customHeight="1" x14ac:dyDescent="0.25">
      <c r="B814" s="1"/>
      <c r="C814" s="1"/>
      <c r="D814" s="1"/>
      <c r="E814" s="1"/>
      <c r="F814" s="1"/>
      <c r="G814" s="1"/>
      <c r="H814" s="1"/>
      <c r="I814" s="1"/>
    </row>
    <row r="815" spans="2:9" ht="15.75" customHeight="1" x14ac:dyDescent="0.25">
      <c r="B815" s="1"/>
      <c r="C815" s="1"/>
      <c r="D815" s="1"/>
      <c r="E815" s="1"/>
      <c r="F815" s="1"/>
      <c r="G815" s="1"/>
      <c r="H815" s="1"/>
      <c r="I815" s="1"/>
    </row>
    <row r="816" spans="2:9" ht="15.75" customHeight="1" x14ac:dyDescent="0.25">
      <c r="B816" s="1"/>
      <c r="C816" s="1"/>
      <c r="D816" s="1"/>
      <c r="E816" s="1"/>
      <c r="F816" s="1"/>
      <c r="G816" s="1"/>
      <c r="H816" s="1"/>
      <c r="I816" s="1"/>
    </row>
    <row r="817" spans="2:9" ht="15.75" customHeight="1" x14ac:dyDescent="0.25">
      <c r="B817" s="1"/>
      <c r="C817" s="1"/>
      <c r="D817" s="1"/>
      <c r="E817" s="1"/>
      <c r="F817" s="1"/>
      <c r="G817" s="1"/>
      <c r="H817" s="1"/>
      <c r="I817" s="1"/>
    </row>
    <row r="818" spans="2:9" ht="15.75" customHeight="1" x14ac:dyDescent="0.25">
      <c r="B818" s="1"/>
      <c r="C818" s="1"/>
      <c r="D818" s="1"/>
      <c r="E818" s="1"/>
      <c r="F818" s="1"/>
      <c r="G818" s="1"/>
      <c r="H818" s="1"/>
      <c r="I818" s="1"/>
    </row>
    <row r="819" spans="2:9" ht="15.75" customHeight="1" x14ac:dyDescent="0.25">
      <c r="B819" s="1"/>
      <c r="C819" s="1"/>
      <c r="D819" s="1"/>
      <c r="E819" s="1"/>
      <c r="F819" s="1"/>
      <c r="G819" s="1"/>
      <c r="H819" s="1"/>
      <c r="I819" s="1"/>
    </row>
    <row r="820" spans="2:9" ht="15.75" customHeight="1" x14ac:dyDescent="0.25">
      <c r="B820" s="1"/>
      <c r="C820" s="1"/>
      <c r="D820" s="1"/>
      <c r="E820" s="1"/>
      <c r="F820" s="1"/>
      <c r="G820" s="1"/>
      <c r="H820" s="1"/>
      <c r="I820" s="1"/>
    </row>
    <row r="821" spans="2:9" ht="15.75" customHeight="1" x14ac:dyDescent="0.25">
      <c r="B821" s="1"/>
      <c r="C821" s="1"/>
      <c r="D821" s="1"/>
      <c r="E821" s="1"/>
      <c r="F821" s="1"/>
      <c r="G821" s="1"/>
      <c r="H821" s="1"/>
      <c r="I821" s="1"/>
    </row>
    <row r="822" spans="2:9" ht="15.75" customHeight="1" x14ac:dyDescent="0.25">
      <c r="B822" s="1"/>
      <c r="C822" s="1"/>
      <c r="D822" s="1"/>
      <c r="E822" s="1"/>
      <c r="F822" s="1"/>
      <c r="G822" s="1"/>
      <c r="H822" s="1"/>
      <c r="I822" s="1"/>
    </row>
    <row r="823" spans="2:9" ht="15.75" customHeight="1" x14ac:dyDescent="0.25">
      <c r="B823" s="1"/>
      <c r="C823" s="1"/>
      <c r="D823" s="1"/>
      <c r="E823" s="1"/>
      <c r="F823" s="1"/>
      <c r="G823" s="1"/>
      <c r="H823" s="1"/>
      <c r="I823" s="1"/>
    </row>
    <row r="824" spans="2:9" ht="15.75" customHeight="1" x14ac:dyDescent="0.25">
      <c r="B824" s="1"/>
      <c r="C824" s="1"/>
      <c r="D824" s="1"/>
      <c r="E824" s="1"/>
      <c r="F824" s="1"/>
      <c r="G824" s="1"/>
      <c r="H824" s="1"/>
      <c r="I824" s="1"/>
    </row>
    <row r="825" spans="2:9" ht="15.75" customHeight="1" x14ac:dyDescent="0.25">
      <c r="B825" s="1"/>
      <c r="C825" s="1"/>
      <c r="D825" s="1"/>
      <c r="E825" s="1"/>
      <c r="F825" s="1"/>
      <c r="G825" s="1"/>
      <c r="H825" s="1"/>
      <c r="I825" s="1"/>
    </row>
    <row r="826" spans="2:9" ht="15.75" customHeight="1" x14ac:dyDescent="0.25">
      <c r="B826" s="1"/>
      <c r="C826" s="1"/>
      <c r="D826" s="1"/>
      <c r="E826" s="1"/>
      <c r="F826" s="1"/>
      <c r="G826" s="1"/>
      <c r="H826" s="1"/>
      <c r="I826" s="1"/>
    </row>
    <row r="827" spans="2:9" ht="15.75" customHeight="1" x14ac:dyDescent="0.25">
      <c r="B827" s="1"/>
      <c r="C827" s="1"/>
      <c r="D827" s="1"/>
      <c r="E827" s="1"/>
      <c r="F827" s="1"/>
      <c r="G827" s="1"/>
      <c r="H827" s="1"/>
      <c r="I827" s="1"/>
    </row>
    <row r="828" spans="2:9" ht="15.75" customHeight="1" x14ac:dyDescent="0.25">
      <c r="B828" s="1"/>
      <c r="C828" s="1"/>
      <c r="D828" s="1"/>
      <c r="E828" s="1"/>
      <c r="F828" s="1"/>
      <c r="G828" s="1"/>
      <c r="H828" s="1"/>
      <c r="I828" s="1"/>
    </row>
    <row r="829" spans="2:9" ht="15.75" customHeight="1" x14ac:dyDescent="0.25">
      <c r="B829" s="1"/>
      <c r="C829" s="1"/>
      <c r="D829" s="1"/>
      <c r="E829" s="1"/>
      <c r="F829" s="1"/>
      <c r="G829" s="1"/>
      <c r="H829" s="1"/>
      <c r="I829" s="1"/>
    </row>
    <row r="830" spans="2:9" ht="15.75" customHeight="1" x14ac:dyDescent="0.25">
      <c r="B830" s="1"/>
      <c r="C830" s="1"/>
      <c r="D830" s="1"/>
      <c r="E830" s="1"/>
      <c r="F830" s="1"/>
      <c r="G830" s="1"/>
      <c r="H830" s="1"/>
      <c r="I830" s="1"/>
    </row>
    <row r="831" spans="2:9" ht="15.75" customHeight="1" x14ac:dyDescent="0.25">
      <c r="B831" s="1"/>
      <c r="C831" s="1"/>
      <c r="D831" s="1"/>
      <c r="E831" s="1"/>
      <c r="F831" s="1"/>
      <c r="G831" s="1"/>
      <c r="H831" s="1"/>
      <c r="I831" s="1"/>
    </row>
    <row r="832" spans="2:9" ht="15.75" customHeight="1" x14ac:dyDescent="0.25">
      <c r="B832" s="1"/>
      <c r="C832" s="1"/>
      <c r="D832" s="1"/>
      <c r="E832" s="1"/>
      <c r="F832" s="1"/>
      <c r="G832" s="1"/>
      <c r="H832" s="1"/>
      <c r="I832" s="1"/>
    </row>
    <row r="833" spans="2:9" ht="15.75" customHeight="1" x14ac:dyDescent="0.25">
      <c r="B833" s="1"/>
      <c r="C833" s="1"/>
      <c r="D833" s="1"/>
      <c r="E833" s="1"/>
      <c r="F833" s="1"/>
      <c r="G833" s="1"/>
      <c r="H833" s="1"/>
      <c r="I833" s="1"/>
    </row>
    <row r="834" spans="2:9" ht="15.75" customHeight="1" x14ac:dyDescent="0.25">
      <c r="B834" s="1"/>
      <c r="C834" s="1"/>
      <c r="D834" s="1"/>
      <c r="E834" s="1"/>
      <c r="F834" s="1"/>
      <c r="G834" s="1"/>
      <c r="H834" s="1"/>
      <c r="I834" s="1"/>
    </row>
    <row r="835" spans="2:9" ht="15.75" customHeight="1" x14ac:dyDescent="0.25">
      <c r="B835" s="1"/>
      <c r="C835" s="1"/>
      <c r="D835" s="1"/>
      <c r="E835" s="1"/>
      <c r="F835" s="1"/>
      <c r="G835" s="1"/>
      <c r="H835" s="1"/>
      <c r="I835" s="1"/>
    </row>
    <row r="836" spans="2:9" ht="15.75" customHeight="1" x14ac:dyDescent="0.25">
      <c r="B836" s="1"/>
      <c r="C836" s="1"/>
      <c r="D836" s="1"/>
      <c r="E836" s="1"/>
      <c r="F836" s="1"/>
      <c r="G836" s="1"/>
      <c r="H836" s="1"/>
      <c r="I836" s="1"/>
    </row>
    <row r="837" spans="2:9" ht="15.75" customHeight="1" x14ac:dyDescent="0.25">
      <c r="B837" s="1"/>
      <c r="C837" s="1"/>
      <c r="D837" s="1"/>
      <c r="E837" s="1"/>
      <c r="F837" s="1"/>
      <c r="G837" s="1"/>
      <c r="H837" s="1"/>
      <c r="I837" s="1"/>
    </row>
    <row r="838" spans="2:9" ht="15.75" customHeight="1" x14ac:dyDescent="0.25">
      <c r="B838" s="1"/>
      <c r="C838" s="1"/>
      <c r="D838" s="1"/>
      <c r="E838" s="1"/>
      <c r="F838" s="1"/>
      <c r="G838" s="1"/>
      <c r="H838" s="1"/>
      <c r="I838" s="1"/>
    </row>
    <row r="839" spans="2:9" ht="15.75" customHeight="1" x14ac:dyDescent="0.25">
      <c r="B839" s="1"/>
      <c r="C839" s="1"/>
      <c r="D839" s="1"/>
      <c r="E839" s="1"/>
      <c r="F839" s="1"/>
      <c r="G839" s="1"/>
      <c r="H839" s="1"/>
      <c r="I839" s="1"/>
    </row>
    <row r="840" spans="2:9" ht="15.75" customHeight="1" x14ac:dyDescent="0.25">
      <c r="B840" s="1"/>
      <c r="C840" s="1"/>
      <c r="D840" s="1"/>
      <c r="E840" s="1"/>
      <c r="F840" s="1"/>
      <c r="G840" s="1"/>
      <c r="H840" s="1"/>
      <c r="I840" s="1"/>
    </row>
    <row r="841" spans="2:9" ht="15.75" customHeight="1" x14ac:dyDescent="0.25">
      <c r="B841" s="1"/>
      <c r="C841" s="1"/>
      <c r="D841" s="1"/>
      <c r="E841" s="1"/>
      <c r="F841" s="1"/>
      <c r="G841" s="1"/>
      <c r="H841" s="1"/>
      <c r="I841" s="1"/>
    </row>
    <row r="842" spans="2:9" ht="15.75" customHeight="1" x14ac:dyDescent="0.25">
      <c r="B842" s="1"/>
      <c r="C842" s="1"/>
      <c r="D842" s="1"/>
      <c r="E842" s="1"/>
      <c r="F842" s="1"/>
      <c r="G842" s="1"/>
      <c r="H842" s="1"/>
      <c r="I842" s="1"/>
    </row>
    <row r="843" spans="2:9" ht="15.75" customHeight="1" x14ac:dyDescent="0.25">
      <c r="B843" s="1"/>
      <c r="C843" s="1"/>
      <c r="D843" s="1"/>
      <c r="E843" s="1"/>
      <c r="F843" s="1"/>
      <c r="G843" s="1"/>
      <c r="H843" s="1"/>
      <c r="I843" s="1"/>
    </row>
    <row r="844" spans="2:9" ht="15.75" customHeight="1" x14ac:dyDescent="0.25">
      <c r="B844" s="1"/>
      <c r="C844" s="1"/>
      <c r="D844" s="1"/>
      <c r="E844" s="1"/>
      <c r="F844" s="1"/>
      <c r="G844" s="1"/>
      <c r="H844" s="1"/>
      <c r="I844" s="1"/>
    </row>
    <row r="845" spans="2:9" ht="15.75" customHeight="1" x14ac:dyDescent="0.25">
      <c r="B845" s="1"/>
      <c r="C845" s="1"/>
      <c r="D845" s="1"/>
      <c r="E845" s="1"/>
      <c r="F845" s="1"/>
      <c r="G845" s="1"/>
      <c r="H845" s="1"/>
      <c r="I845" s="1"/>
    </row>
    <row r="846" spans="2:9" ht="15.75" customHeight="1" x14ac:dyDescent="0.25">
      <c r="B846" s="1"/>
      <c r="C846" s="1"/>
      <c r="D846" s="1"/>
      <c r="E846" s="1"/>
      <c r="F846" s="1"/>
      <c r="G846" s="1"/>
      <c r="H846" s="1"/>
      <c r="I846" s="1"/>
    </row>
    <row r="847" spans="2:9" ht="15.75" customHeight="1" x14ac:dyDescent="0.25">
      <c r="B847" s="1"/>
      <c r="C847" s="1"/>
      <c r="D847" s="1"/>
      <c r="E847" s="1"/>
      <c r="F847" s="1"/>
      <c r="G847" s="1"/>
      <c r="H847" s="1"/>
      <c r="I847" s="1"/>
    </row>
    <row r="848" spans="2:9" ht="15.75" customHeight="1" x14ac:dyDescent="0.25">
      <c r="B848" s="1"/>
      <c r="C848" s="1"/>
      <c r="D848" s="1"/>
      <c r="E848" s="1"/>
      <c r="F848" s="1"/>
      <c r="G848" s="1"/>
      <c r="H848" s="1"/>
      <c r="I848" s="1"/>
    </row>
    <row r="849" spans="2:9" ht="15.75" customHeight="1" x14ac:dyDescent="0.25">
      <c r="B849" s="1"/>
      <c r="C849" s="1"/>
      <c r="D849" s="1"/>
      <c r="E849" s="1"/>
      <c r="F849" s="1"/>
      <c r="G849" s="1"/>
      <c r="H849" s="1"/>
      <c r="I849" s="1"/>
    </row>
    <row r="850" spans="2:9" ht="15.75" customHeight="1" x14ac:dyDescent="0.25">
      <c r="B850" s="1"/>
      <c r="C850" s="1"/>
      <c r="D850" s="1"/>
      <c r="E850" s="1"/>
      <c r="F850" s="1"/>
      <c r="G850" s="1"/>
      <c r="H850" s="1"/>
      <c r="I850" s="1"/>
    </row>
    <row r="851" spans="2:9" ht="15.75" customHeight="1" x14ac:dyDescent="0.25">
      <c r="B851" s="1"/>
      <c r="C851" s="1"/>
      <c r="D851" s="1"/>
      <c r="E851" s="1"/>
      <c r="F851" s="1"/>
      <c r="G851" s="1"/>
      <c r="H851" s="1"/>
      <c r="I851" s="1"/>
    </row>
    <row r="852" spans="2:9" ht="15.75" customHeight="1" x14ac:dyDescent="0.25">
      <c r="B852" s="1"/>
      <c r="C852" s="1"/>
      <c r="D852" s="1"/>
      <c r="E852" s="1"/>
      <c r="F852" s="1"/>
      <c r="G852" s="1"/>
      <c r="H852" s="1"/>
      <c r="I852" s="1"/>
    </row>
    <row r="853" spans="2:9" ht="15.75" customHeight="1" x14ac:dyDescent="0.25">
      <c r="B853" s="1"/>
      <c r="C853" s="1"/>
      <c r="D853" s="1"/>
      <c r="E853" s="1"/>
      <c r="F853" s="1"/>
      <c r="G853" s="1"/>
      <c r="H853" s="1"/>
      <c r="I853" s="1"/>
    </row>
    <row r="854" spans="2:9" ht="15.75" customHeight="1" x14ac:dyDescent="0.25">
      <c r="B854" s="1"/>
      <c r="C854" s="1"/>
      <c r="D854" s="1"/>
      <c r="E854" s="1"/>
      <c r="F854" s="1"/>
      <c r="G854" s="1"/>
      <c r="H854" s="1"/>
      <c r="I854" s="1"/>
    </row>
    <row r="855" spans="2:9" ht="15.75" customHeight="1" x14ac:dyDescent="0.25">
      <c r="B855" s="1"/>
      <c r="C855" s="1"/>
      <c r="D855" s="1"/>
      <c r="E855" s="1"/>
      <c r="F855" s="1"/>
      <c r="G855" s="1"/>
      <c r="H855" s="1"/>
      <c r="I855" s="1"/>
    </row>
    <row r="856" spans="2:9" ht="15.75" customHeight="1" x14ac:dyDescent="0.25">
      <c r="B856" s="1"/>
      <c r="C856" s="1"/>
      <c r="D856" s="1"/>
      <c r="E856" s="1"/>
      <c r="F856" s="1"/>
      <c r="G856" s="1"/>
      <c r="H856" s="1"/>
      <c r="I856" s="1"/>
    </row>
    <row r="857" spans="2:9" ht="15.75" customHeight="1" x14ac:dyDescent="0.25">
      <c r="B857" s="1"/>
      <c r="C857" s="1"/>
      <c r="D857" s="1"/>
      <c r="E857" s="1"/>
      <c r="F857" s="1"/>
      <c r="G857" s="1"/>
      <c r="H857" s="1"/>
      <c r="I857" s="1"/>
    </row>
    <row r="858" spans="2:9" ht="15.75" customHeight="1" x14ac:dyDescent="0.25">
      <c r="B858" s="1"/>
      <c r="C858" s="1"/>
      <c r="D858" s="1"/>
      <c r="E858" s="1"/>
      <c r="F858" s="1"/>
      <c r="G858" s="1"/>
      <c r="H858" s="1"/>
      <c r="I858" s="1"/>
    </row>
    <row r="859" spans="2:9" ht="15.75" customHeight="1" x14ac:dyDescent="0.25">
      <c r="B859" s="1"/>
      <c r="C859" s="1"/>
      <c r="D859" s="1"/>
      <c r="E859" s="1"/>
      <c r="F859" s="1"/>
      <c r="G859" s="1"/>
      <c r="H859" s="1"/>
      <c r="I859" s="1"/>
    </row>
    <row r="860" spans="2:9" ht="15.75" customHeight="1" x14ac:dyDescent="0.25">
      <c r="B860" s="1"/>
      <c r="C860" s="1"/>
      <c r="D860" s="1"/>
      <c r="E860" s="1"/>
      <c r="F860" s="1"/>
      <c r="G860" s="1"/>
      <c r="H860" s="1"/>
      <c r="I860" s="1"/>
    </row>
    <row r="861" spans="2:9" ht="15.75" customHeight="1" x14ac:dyDescent="0.25">
      <c r="B861" s="1"/>
      <c r="C861" s="1"/>
      <c r="D861" s="1"/>
      <c r="E861" s="1"/>
      <c r="F861" s="1"/>
      <c r="G861" s="1"/>
      <c r="H861" s="1"/>
      <c r="I861" s="1"/>
    </row>
    <row r="862" spans="2:9" ht="15.75" customHeight="1" x14ac:dyDescent="0.25">
      <c r="B862" s="1"/>
      <c r="C862" s="1"/>
      <c r="D862" s="1"/>
      <c r="E862" s="1"/>
      <c r="F862" s="1"/>
      <c r="G862" s="1"/>
      <c r="H862" s="1"/>
      <c r="I862" s="1"/>
    </row>
    <row r="863" spans="2:9" ht="15.75" customHeight="1" x14ac:dyDescent="0.25">
      <c r="B863" s="1"/>
      <c r="C863" s="1"/>
      <c r="D863" s="1"/>
      <c r="E863" s="1"/>
      <c r="F863" s="1"/>
      <c r="G863" s="1"/>
      <c r="H863" s="1"/>
      <c r="I863" s="1"/>
    </row>
    <row r="864" spans="2:9" ht="15.75" customHeight="1" x14ac:dyDescent="0.25">
      <c r="B864" s="1"/>
      <c r="C864" s="1"/>
      <c r="D864" s="1"/>
      <c r="E864" s="1"/>
      <c r="F864" s="1"/>
      <c r="G864" s="1"/>
      <c r="H864" s="1"/>
      <c r="I864" s="1"/>
    </row>
    <row r="865" spans="2:9" ht="15.75" customHeight="1" x14ac:dyDescent="0.25">
      <c r="B865" s="1"/>
      <c r="C865" s="1"/>
      <c r="D865" s="1"/>
      <c r="E865" s="1"/>
      <c r="F865" s="1"/>
      <c r="G865" s="1"/>
      <c r="H865" s="1"/>
      <c r="I865" s="1"/>
    </row>
    <row r="866" spans="2:9" ht="15.75" customHeight="1" x14ac:dyDescent="0.25">
      <c r="B866" s="1"/>
      <c r="C866" s="1"/>
      <c r="D866" s="1"/>
      <c r="E866" s="1"/>
      <c r="F866" s="1"/>
      <c r="G866" s="1"/>
      <c r="H866" s="1"/>
      <c r="I866" s="1"/>
    </row>
    <row r="867" spans="2:9" ht="15.75" customHeight="1" x14ac:dyDescent="0.25">
      <c r="B867" s="1"/>
      <c r="C867" s="1"/>
      <c r="D867" s="1"/>
      <c r="E867" s="1"/>
      <c r="F867" s="1"/>
      <c r="G867" s="1"/>
      <c r="H867" s="1"/>
      <c r="I867" s="1"/>
    </row>
    <row r="868" spans="2:9" ht="15.75" customHeight="1" x14ac:dyDescent="0.25">
      <c r="B868" s="1"/>
      <c r="C868" s="1"/>
      <c r="D868" s="1"/>
      <c r="E868" s="1"/>
      <c r="F868" s="1"/>
      <c r="G868" s="1"/>
      <c r="H868" s="1"/>
      <c r="I868" s="1"/>
    </row>
    <row r="869" spans="2:9" ht="15.75" customHeight="1" x14ac:dyDescent="0.25">
      <c r="B869" s="1"/>
      <c r="C869" s="1"/>
      <c r="D869" s="1"/>
      <c r="E869" s="1"/>
      <c r="F869" s="1"/>
      <c r="G869" s="1"/>
      <c r="H869" s="1"/>
      <c r="I869" s="1"/>
    </row>
    <row r="870" spans="2:9" ht="15.75" customHeight="1" x14ac:dyDescent="0.25">
      <c r="B870" s="1"/>
      <c r="C870" s="1"/>
      <c r="D870" s="1"/>
      <c r="E870" s="1"/>
      <c r="F870" s="1"/>
      <c r="G870" s="1"/>
      <c r="H870" s="1"/>
      <c r="I870" s="1"/>
    </row>
    <row r="871" spans="2:9" ht="15.75" customHeight="1" x14ac:dyDescent="0.25">
      <c r="B871" s="1"/>
      <c r="C871" s="1"/>
      <c r="D871" s="1"/>
      <c r="E871" s="1"/>
      <c r="F871" s="1"/>
      <c r="G871" s="1"/>
      <c r="H871" s="1"/>
      <c r="I871" s="1"/>
    </row>
    <row r="872" spans="2:9" ht="15.75" customHeight="1" x14ac:dyDescent="0.25">
      <c r="B872" s="1"/>
      <c r="C872" s="1"/>
      <c r="D872" s="1"/>
      <c r="E872" s="1"/>
      <c r="F872" s="1"/>
      <c r="G872" s="1"/>
      <c r="H872" s="1"/>
      <c r="I872" s="1"/>
    </row>
    <row r="873" spans="2:9" ht="15.75" customHeight="1" x14ac:dyDescent="0.25">
      <c r="B873" s="1"/>
      <c r="C873" s="1"/>
      <c r="D873" s="1"/>
      <c r="E873" s="1"/>
      <c r="F873" s="1"/>
      <c r="G873" s="1"/>
      <c r="H873" s="1"/>
      <c r="I873" s="1"/>
    </row>
    <row r="874" spans="2:9" ht="15.75" customHeight="1" x14ac:dyDescent="0.25">
      <c r="B874" s="1"/>
      <c r="C874" s="1"/>
      <c r="D874" s="1"/>
      <c r="E874" s="1"/>
      <c r="F874" s="1"/>
      <c r="G874" s="1"/>
      <c r="H874" s="1"/>
      <c r="I874" s="1"/>
    </row>
    <row r="875" spans="2:9" ht="15.75" customHeight="1" x14ac:dyDescent="0.25">
      <c r="B875" s="1"/>
      <c r="C875" s="1"/>
      <c r="D875" s="1"/>
      <c r="E875" s="1"/>
      <c r="F875" s="1"/>
      <c r="G875" s="1"/>
      <c r="H875" s="1"/>
      <c r="I875" s="1"/>
    </row>
    <row r="876" spans="2:9" ht="15.75" customHeight="1" x14ac:dyDescent="0.25">
      <c r="B876" s="1"/>
      <c r="C876" s="1"/>
      <c r="D876" s="1"/>
      <c r="E876" s="1"/>
      <c r="F876" s="1"/>
      <c r="G876" s="1"/>
      <c r="H876" s="1"/>
      <c r="I876" s="1"/>
    </row>
    <row r="877" spans="2:9" ht="15.75" customHeight="1" x14ac:dyDescent="0.25">
      <c r="B877" s="1"/>
      <c r="C877" s="1"/>
      <c r="D877" s="1"/>
      <c r="E877" s="1"/>
      <c r="F877" s="1"/>
      <c r="G877" s="1"/>
      <c r="H877" s="1"/>
      <c r="I877" s="1"/>
    </row>
    <row r="878" spans="2:9" ht="15.75" customHeight="1" x14ac:dyDescent="0.25">
      <c r="B878" s="1"/>
      <c r="C878" s="1"/>
      <c r="D878" s="1"/>
      <c r="E878" s="1"/>
      <c r="F878" s="1"/>
      <c r="G878" s="1"/>
      <c r="H878" s="1"/>
      <c r="I878" s="1"/>
    </row>
    <row r="879" spans="2:9" ht="15.75" customHeight="1" x14ac:dyDescent="0.25">
      <c r="B879" s="1"/>
      <c r="C879" s="1"/>
      <c r="D879" s="1"/>
      <c r="E879" s="1"/>
      <c r="F879" s="1"/>
      <c r="G879" s="1"/>
      <c r="H879" s="1"/>
      <c r="I879" s="1"/>
    </row>
    <row r="880" spans="2:9" ht="15.75" customHeight="1" x14ac:dyDescent="0.25">
      <c r="B880" s="1"/>
      <c r="C880" s="1"/>
      <c r="D880" s="1"/>
      <c r="E880" s="1"/>
      <c r="F880" s="1"/>
      <c r="G880" s="1"/>
      <c r="H880" s="1"/>
      <c r="I880" s="1"/>
    </row>
    <row r="881" spans="2:9" ht="15.75" customHeight="1" x14ac:dyDescent="0.25">
      <c r="B881" s="1"/>
      <c r="C881" s="1"/>
      <c r="D881" s="1"/>
      <c r="E881" s="1"/>
      <c r="F881" s="1"/>
      <c r="G881" s="1"/>
      <c r="H881" s="1"/>
      <c r="I881" s="1"/>
    </row>
    <row r="882" spans="2:9" ht="15.75" customHeight="1" x14ac:dyDescent="0.25">
      <c r="B882" s="1"/>
      <c r="C882" s="1"/>
      <c r="D882" s="1"/>
      <c r="E882" s="1"/>
      <c r="F882" s="1"/>
      <c r="G882" s="1"/>
      <c r="H882" s="1"/>
      <c r="I882" s="1"/>
    </row>
    <row r="883" spans="2:9" ht="15.75" customHeight="1" x14ac:dyDescent="0.25">
      <c r="B883" s="1"/>
      <c r="C883" s="1"/>
      <c r="D883" s="1"/>
      <c r="E883" s="1"/>
      <c r="F883" s="1"/>
      <c r="G883" s="1"/>
      <c r="H883" s="1"/>
      <c r="I883" s="1"/>
    </row>
    <row r="884" spans="2:9" ht="15.75" customHeight="1" x14ac:dyDescent="0.25">
      <c r="B884" s="1"/>
      <c r="C884" s="1"/>
      <c r="D884" s="1"/>
      <c r="E884" s="1"/>
      <c r="F884" s="1"/>
      <c r="G884" s="1"/>
      <c r="H884" s="1"/>
      <c r="I884" s="1"/>
    </row>
    <row r="885" spans="2:9" ht="15.75" customHeight="1" x14ac:dyDescent="0.25">
      <c r="B885" s="1"/>
      <c r="C885" s="1"/>
      <c r="D885" s="1"/>
      <c r="E885" s="1"/>
      <c r="F885" s="1"/>
      <c r="G885" s="1"/>
      <c r="H885" s="1"/>
      <c r="I885" s="1"/>
    </row>
    <row r="886" spans="2:9" ht="15.75" customHeight="1" x14ac:dyDescent="0.25">
      <c r="B886" s="1"/>
      <c r="C886" s="1"/>
      <c r="D886" s="1"/>
      <c r="E886" s="1"/>
      <c r="F886" s="1"/>
      <c r="G886" s="1"/>
      <c r="H886" s="1"/>
      <c r="I886" s="1"/>
    </row>
    <row r="887" spans="2:9" ht="15.75" customHeight="1" x14ac:dyDescent="0.25">
      <c r="B887" s="1"/>
      <c r="C887" s="1"/>
      <c r="D887" s="1"/>
      <c r="E887" s="1"/>
      <c r="F887" s="1"/>
      <c r="G887" s="1"/>
      <c r="H887" s="1"/>
      <c r="I887" s="1"/>
    </row>
    <row r="888" spans="2:9" ht="15.75" customHeight="1" x14ac:dyDescent="0.25">
      <c r="B888" s="1"/>
      <c r="C888" s="1"/>
      <c r="D888" s="1"/>
      <c r="E888" s="1"/>
      <c r="F888" s="1"/>
      <c r="G888" s="1"/>
      <c r="H888" s="1"/>
      <c r="I888" s="1"/>
    </row>
    <row r="889" spans="2:9" ht="15.75" customHeight="1" x14ac:dyDescent="0.25">
      <c r="B889" s="1"/>
      <c r="C889" s="1"/>
      <c r="D889" s="1"/>
      <c r="E889" s="1"/>
      <c r="F889" s="1"/>
      <c r="G889" s="1"/>
      <c r="H889" s="1"/>
      <c r="I889" s="1"/>
    </row>
    <row r="890" spans="2:9" ht="15.75" customHeight="1" x14ac:dyDescent="0.25">
      <c r="B890" s="1"/>
      <c r="C890" s="1"/>
      <c r="D890" s="1"/>
      <c r="E890" s="1"/>
      <c r="F890" s="1"/>
      <c r="G890" s="1"/>
      <c r="H890" s="1"/>
      <c r="I890" s="1"/>
    </row>
    <row r="891" spans="2:9" ht="15.75" customHeight="1" x14ac:dyDescent="0.25">
      <c r="B891" s="1"/>
      <c r="C891" s="1"/>
      <c r="D891" s="1"/>
      <c r="E891" s="1"/>
      <c r="F891" s="1"/>
      <c r="G891" s="1"/>
      <c r="H891" s="1"/>
      <c r="I891" s="1"/>
    </row>
    <row r="892" spans="2:9" ht="15.75" customHeight="1" x14ac:dyDescent="0.25">
      <c r="B892" s="1"/>
      <c r="C892" s="1"/>
      <c r="D892" s="1"/>
      <c r="E892" s="1"/>
      <c r="F892" s="1"/>
      <c r="G892" s="1"/>
      <c r="H892" s="1"/>
      <c r="I892" s="1"/>
    </row>
    <row r="893" spans="2:9" ht="15.75" customHeight="1" x14ac:dyDescent="0.25">
      <c r="B893" s="1"/>
      <c r="C893" s="1"/>
      <c r="D893" s="1"/>
      <c r="E893" s="1"/>
      <c r="F893" s="1"/>
      <c r="G893" s="1"/>
      <c r="H893" s="1"/>
      <c r="I893" s="1"/>
    </row>
    <row r="894" spans="2:9" ht="15.75" customHeight="1" x14ac:dyDescent="0.25">
      <c r="B894" s="1"/>
      <c r="C894" s="1"/>
      <c r="D894" s="1"/>
      <c r="E894" s="1"/>
      <c r="F894" s="1"/>
      <c r="G894" s="1"/>
      <c r="H894" s="1"/>
      <c r="I894" s="1"/>
    </row>
    <row r="895" spans="2:9" ht="15.75" customHeight="1" x14ac:dyDescent="0.25">
      <c r="B895" s="1"/>
      <c r="C895" s="1"/>
      <c r="D895" s="1"/>
      <c r="E895" s="1"/>
      <c r="F895" s="1"/>
      <c r="G895" s="1"/>
      <c r="H895" s="1"/>
      <c r="I895" s="1"/>
    </row>
    <row r="896" spans="2:9" ht="15.75" customHeight="1" x14ac:dyDescent="0.25">
      <c r="B896" s="1"/>
      <c r="C896" s="1"/>
      <c r="D896" s="1"/>
      <c r="E896" s="1"/>
      <c r="F896" s="1"/>
      <c r="G896" s="1"/>
      <c r="H896" s="1"/>
      <c r="I896" s="1"/>
    </row>
    <row r="897" spans="2:9" ht="15.75" customHeight="1" x14ac:dyDescent="0.25">
      <c r="B897" s="1"/>
      <c r="C897" s="1"/>
      <c r="D897" s="1"/>
      <c r="E897" s="1"/>
      <c r="F897" s="1"/>
      <c r="G897" s="1"/>
      <c r="H897" s="1"/>
      <c r="I897" s="1"/>
    </row>
    <row r="898" spans="2:9" ht="15.75" customHeight="1" x14ac:dyDescent="0.25">
      <c r="B898" s="1"/>
      <c r="C898" s="1"/>
      <c r="D898" s="1"/>
      <c r="E898" s="1"/>
      <c r="F898" s="1"/>
      <c r="G898" s="1"/>
      <c r="H898" s="1"/>
      <c r="I898" s="1"/>
    </row>
    <row r="899" spans="2:9" ht="15.75" customHeight="1" x14ac:dyDescent="0.25">
      <c r="B899" s="1"/>
      <c r="C899" s="1"/>
      <c r="D899" s="1"/>
      <c r="E899" s="1"/>
      <c r="F899" s="1"/>
      <c r="G899" s="1"/>
      <c r="H899" s="1"/>
      <c r="I899" s="1"/>
    </row>
    <row r="900" spans="2:9" ht="15.75" customHeight="1" x14ac:dyDescent="0.25">
      <c r="B900" s="1"/>
      <c r="C900" s="1"/>
      <c r="D900" s="1"/>
      <c r="E900" s="1"/>
      <c r="F900" s="1"/>
      <c r="G900" s="1"/>
      <c r="H900" s="1"/>
      <c r="I900" s="1"/>
    </row>
    <row r="901" spans="2:9" ht="15.75" customHeight="1" x14ac:dyDescent="0.25">
      <c r="B901" s="1"/>
      <c r="C901" s="1"/>
      <c r="D901" s="1"/>
      <c r="E901" s="1"/>
      <c r="F901" s="1"/>
      <c r="G901" s="1"/>
      <c r="H901" s="1"/>
      <c r="I901" s="1"/>
    </row>
    <row r="902" spans="2:9" ht="15.75" customHeight="1" x14ac:dyDescent="0.25">
      <c r="B902" s="1"/>
      <c r="C902" s="1"/>
      <c r="D902" s="1"/>
      <c r="E902" s="1"/>
      <c r="F902" s="1"/>
      <c r="G902" s="1"/>
      <c r="H902" s="1"/>
      <c r="I902" s="1"/>
    </row>
    <row r="903" spans="2:9" ht="15.75" customHeight="1" x14ac:dyDescent="0.25">
      <c r="B903" s="1"/>
      <c r="C903" s="1"/>
      <c r="D903" s="1"/>
      <c r="E903" s="1"/>
      <c r="F903" s="1"/>
      <c r="G903" s="1"/>
      <c r="H903" s="1"/>
      <c r="I903" s="1"/>
    </row>
    <row r="904" spans="2:9" ht="15.75" customHeight="1" x14ac:dyDescent="0.25">
      <c r="B904" s="1"/>
      <c r="C904" s="1"/>
      <c r="D904" s="1"/>
      <c r="E904" s="1"/>
      <c r="F904" s="1"/>
      <c r="G904" s="1"/>
      <c r="H904" s="1"/>
      <c r="I904" s="1"/>
    </row>
    <row r="905" spans="2:9" ht="15.75" customHeight="1" x14ac:dyDescent="0.25">
      <c r="B905" s="1"/>
      <c r="C905" s="1"/>
      <c r="D905" s="1"/>
      <c r="E905" s="1"/>
      <c r="F905" s="1"/>
      <c r="G905" s="1"/>
      <c r="H905" s="1"/>
      <c r="I905" s="1"/>
    </row>
    <row r="906" spans="2:9" ht="15.75" customHeight="1" x14ac:dyDescent="0.25">
      <c r="B906" s="1"/>
      <c r="C906" s="1"/>
      <c r="D906" s="1"/>
      <c r="E906" s="1"/>
      <c r="F906" s="1"/>
      <c r="G906" s="1"/>
      <c r="H906" s="1"/>
      <c r="I906" s="1"/>
    </row>
    <row r="907" spans="2:9" ht="15.75" customHeight="1" x14ac:dyDescent="0.25">
      <c r="B907" s="1"/>
      <c r="C907" s="1"/>
      <c r="D907" s="1"/>
      <c r="E907" s="1"/>
      <c r="F907" s="1"/>
      <c r="G907" s="1"/>
      <c r="H907" s="1"/>
      <c r="I907" s="1"/>
    </row>
    <row r="908" spans="2:9" ht="15.75" customHeight="1" x14ac:dyDescent="0.25">
      <c r="B908" s="1"/>
      <c r="C908" s="1"/>
      <c r="D908" s="1"/>
      <c r="E908" s="1"/>
      <c r="F908" s="1"/>
      <c r="G908" s="1"/>
      <c r="H908" s="1"/>
      <c r="I908" s="1"/>
    </row>
    <row r="909" spans="2:9" ht="15.75" customHeight="1" x14ac:dyDescent="0.25">
      <c r="B909" s="1"/>
      <c r="C909" s="1"/>
      <c r="D909" s="1"/>
      <c r="E909" s="1"/>
      <c r="F909" s="1"/>
      <c r="G909" s="1"/>
      <c r="H909" s="1"/>
      <c r="I909" s="1"/>
    </row>
    <row r="910" spans="2:9" ht="15.75" customHeight="1" x14ac:dyDescent="0.25">
      <c r="B910" s="1"/>
      <c r="C910" s="1"/>
      <c r="D910" s="1"/>
      <c r="E910" s="1"/>
      <c r="F910" s="1"/>
      <c r="G910" s="1"/>
      <c r="H910" s="1"/>
      <c r="I910" s="1"/>
    </row>
    <row r="911" spans="2:9" ht="15.75" customHeight="1" x14ac:dyDescent="0.25">
      <c r="B911" s="1"/>
      <c r="C911" s="1"/>
      <c r="D911" s="1"/>
      <c r="E911" s="1"/>
      <c r="F911" s="1"/>
      <c r="G911" s="1"/>
      <c r="H911" s="1"/>
      <c r="I911" s="1"/>
    </row>
    <row r="912" spans="2:9" ht="15.75" customHeight="1" x14ac:dyDescent="0.25">
      <c r="B912" s="1"/>
      <c r="C912" s="1"/>
      <c r="D912" s="1"/>
      <c r="E912" s="1"/>
      <c r="F912" s="1"/>
      <c r="G912" s="1"/>
      <c r="H912" s="1"/>
      <c r="I912" s="1"/>
    </row>
    <row r="913" spans="2:9" ht="15.75" customHeight="1" x14ac:dyDescent="0.25">
      <c r="B913" s="1"/>
      <c r="C913" s="1"/>
      <c r="D913" s="1"/>
      <c r="E913" s="1"/>
      <c r="F913" s="1"/>
      <c r="G913" s="1"/>
      <c r="H913" s="1"/>
      <c r="I913" s="1"/>
    </row>
    <row r="914" spans="2:9" ht="15.75" customHeight="1" x14ac:dyDescent="0.25">
      <c r="B914" s="1"/>
      <c r="C914" s="1"/>
      <c r="D914" s="1"/>
      <c r="E914" s="1"/>
      <c r="F914" s="1"/>
      <c r="G914" s="1"/>
      <c r="H914" s="1"/>
      <c r="I914" s="1"/>
    </row>
    <row r="915" spans="2:9" ht="15.75" customHeight="1" x14ac:dyDescent="0.25">
      <c r="B915" s="1"/>
      <c r="C915" s="1"/>
      <c r="D915" s="1"/>
      <c r="E915" s="1"/>
      <c r="F915" s="1"/>
      <c r="G915" s="1"/>
      <c r="H915" s="1"/>
      <c r="I915" s="1"/>
    </row>
    <row r="916" spans="2:9" ht="15.75" customHeight="1" x14ac:dyDescent="0.25">
      <c r="B916" s="1"/>
      <c r="C916" s="1"/>
      <c r="D916" s="1"/>
      <c r="E916" s="1"/>
      <c r="F916" s="1"/>
      <c r="G916" s="1"/>
      <c r="H916" s="1"/>
      <c r="I916" s="1"/>
    </row>
    <row r="917" spans="2:9" ht="15.75" customHeight="1" x14ac:dyDescent="0.25">
      <c r="B917" s="1"/>
      <c r="C917" s="1"/>
      <c r="D917" s="1"/>
      <c r="E917" s="1"/>
      <c r="F917" s="1"/>
      <c r="G917" s="1"/>
      <c r="H917" s="1"/>
      <c r="I917" s="1"/>
    </row>
    <row r="918" spans="2:9" ht="15.75" customHeight="1" x14ac:dyDescent="0.25">
      <c r="B918" s="1"/>
      <c r="C918" s="1"/>
      <c r="D918" s="1"/>
      <c r="E918" s="1"/>
      <c r="F918" s="1"/>
      <c r="G918" s="1"/>
      <c r="H918" s="1"/>
      <c r="I918" s="1"/>
    </row>
    <row r="919" spans="2:9" ht="15.75" customHeight="1" x14ac:dyDescent="0.25">
      <c r="B919" s="1"/>
      <c r="C919" s="1"/>
      <c r="D919" s="1"/>
      <c r="E919" s="1"/>
      <c r="F919" s="1"/>
      <c r="G919" s="1"/>
      <c r="H919" s="1"/>
      <c r="I919" s="1"/>
    </row>
    <row r="920" spans="2:9" ht="15.75" customHeight="1" x14ac:dyDescent="0.25">
      <c r="B920" s="1"/>
      <c r="C920" s="1"/>
      <c r="D920" s="1"/>
      <c r="E920" s="1"/>
      <c r="F920" s="1"/>
      <c r="G920" s="1"/>
      <c r="H920" s="1"/>
      <c r="I920" s="1"/>
    </row>
    <row r="921" spans="2:9" ht="15.75" customHeight="1" x14ac:dyDescent="0.25">
      <c r="B921" s="1"/>
      <c r="C921" s="1"/>
      <c r="D921" s="1"/>
      <c r="E921" s="1"/>
      <c r="F921" s="1"/>
      <c r="G921" s="1"/>
      <c r="H921" s="1"/>
      <c r="I921" s="1"/>
    </row>
    <row r="922" spans="2:9" ht="15.75" customHeight="1" x14ac:dyDescent="0.25">
      <c r="B922" s="1"/>
      <c r="C922" s="1"/>
      <c r="D922" s="1"/>
      <c r="E922" s="1"/>
      <c r="F922" s="1"/>
      <c r="G922" s="1"/>
      <c r="H922" s="1"/>
      <c r="I922" s="1"/>
    </row>
    <row r="923" spans="2:9" ht="15.75" customHeight="1" x14ac:dyDescent="0.25">
      <c r="B923" s="1"/>
      <c r="C923" s="1"/>
      <c r="D923" s="1"/>
      <c r="E923" s="1"/>
      <c r="F923" s="1"/>
      <c r="G923" s="1"/>
      <c r="H923" s="1"/>
      <c r="I923" s="1"/>
    </row>
    <row r="924" spans="2:9" ht="15.75" customHeight="1" x14ac:dyDescent="0.25">
      <c r="B924" s="1"/>
      <c r="C924" s="1"/>
      <c r="D924" s="1"/>
      <c r="E924" s="1"/>
      <c r="F924" s="1"/>
      <c r="G924" s="1"/>
      <c r="H924" s="1"/>
      <c r="I924" s="1"/>
    </row>
    <row r="925" spans="2:9" ht="15.75" customHeight="1" x14ac:dyDescent="0.25">
      <c r="B925" s="1"/>
      <c r="C925" s="1"/>
      <c r="D925" s="1"/>
      <c r="E925" s="1"/>
      <c r="F925" s="1"/>
      <c r="G925" s="1"/>
      <c r="H925" s="1"/>
      <c r="I925" s="1"/>
    </row>
    <row r="926" spans="2:9" ht="15.75" customHeight="1" x14ac:dyDescent="0.25">
      <c r="B926" s="1"/>
      <c r="C926" s="1"/>
      <c r="D926" s="1"/>
      <c r="E926" s="1"/>
      <c r="F926" s="1"/>
      <c r="G926" s="1"/>
      <c r="H926" s="1"/>
      <c r="I926" s="1"/>
    </row>
    <row r="927" spans="2:9" ht="15.75" customHeight="1" x14ac:dyDescent="0.25">
      <c r="B927" s="1"/>
      <c r="C927" s="1"/>
      <c r="D927" s="1"/>
      <c r="E927" s="1"/>
      <c r="F927" s="1"/>
      <c r="G927" s="1"/>
      <c r="H927" s="1"/>
      <c r="I927" s="1"/>
    </row>
    <row r="928" spans="2:9" ht="15.75" customHeight="1" x14ac:dyDescent="0.25">
      <c r="B928" s="1"/>
      <c r="C928" s="1"/>
      <c r="D928" s="1"/>
      <c r="E928" s="1"/>
      <c r="F928" s="1"/>
      <c r="G928" s="1"/>
      <c r="H928" s="1"/>
      <c r="I928" s="1"/>
    </row>
    <row r="929" spans="2:9" ht="15.75" customHeight="1" x14ac:dyDescent="0.25">
      <c r="B929" s="1"/>
      <c r="C929" s="1"/>
      <c r="D929" s="1"/>
      <c r="E929" s="1"/>
      <c r="F929" s="1"/>
      <c r="G929" s="1"/>
      <c r="H929" s="1"/>
      <c r="I929" s="1"/>
    </row>
    <row r="930" spans="2:9" ht="15.75" customHeight="1" x14ac:dyDescent="0.25">
      <c r="B930" s="1"/>
      <c r="C930" s="1"/>
      <c r="D930" s="1"/>
      <c r="E930" s="1"/>
      <c r="F930" s="1"/>
      <c r="G930" s="1"/>
      <c r="H930" s="1"/>
      <c r="I930" s="1"/>
    </row>
    <row r="931" spans="2:9" ht="15.75" customHeight="1" x14ac:dyDescent="0.25">
      <c r="B931" s="1"/>
      <c r="C931" s="1"/>
      <c r="D931" s="1"/>
      <c r="E931" s="1"/>
      <c r="F931" s="1"/>
      <c r="G931" s="1"/>
      <c r="H931" s="1"/>
      <c r="I931" s="1"/>
    </row>
    <row r="932" spans="2:9" ht="15.75" customHeight="1" x14ac:dyDescent="0.25">
      <c r="B932" s="1"/>
      <c r="C932" s="1"/>
      <c r="D932" s="1"/>
      <c r="E932" s="1"/>
      <c r="F932" s="1"/>
      <c r="G932" s="1"/>
      <c r="H932" s="1"/>
      <c r="I932" s="1"/>
    </row>
    <row r="933" spans="2:9" ht="15.75" customHeight="1" x14ac:dyDescent="0.25">
      <c r="B933" s="1"/>
      <c r="C933" s="1"/>
      <c r="D933" s="1"/>
      <c r="E933" s="1"/>
      <c r="F933" s="1"/>
      <c r="G933" s="1"/>
      <c r="H933" s="1"/>
      <c r="I933" s="1"/>
    </row>
    <row r="934" spans="2:9" ht="15.75" customHeight="1" x14ac:dyDescent="0.25">
      <c r="B934" s="1"/>
      <c r="C934" s="1"/>
      <c r="D934" s="1"/>
      <c r="E934" s="1"/>
      <c r="F934" s="1"/>
      <c r="G934" s="1"/>
      <c r="H934" s="1"/>
      <c r="I934" s="1"/>
    </row>
    <row r="935" spans="2:9" ht="15.75" customHeight="1" x14ac:dyDescent="0.25">
      <c r="B935" s="1"/>
      <c r="C935" s="1"/>
      <c r="D935" s="1"/>
      <c r="E935" s="1"/>
      <c r="F935" s="1"/>
      <c r="G935" s="1"/>
      <c r="H935" s="1"/>
      <c r="I935" s="1"/>
    </row>
    <row r="936" spans="2:9" ht="15.75" customHeight="1" x14ac:dyDescent="0.25">
      <c r="B936" s="1"/>
      <c r="C936" s="1"/>
      <c r="D936" s="1"/>
      <c r="E936" s="1"/>
      <c r="F936" s="1"/>
      <c r="G936" s="1"/>
      <c r="H936" s="1"/>
      <c r="I936" s="1"/>
    </row>
    <row r="937" spans="2:9" ht="15.75" customHeight="1" x14ac:dyDescent="0.25">
      <c r="B937" s="1"/>
      <c r="C937" s="1"/>
      <c r="D937" s="1"/>
      <c r="E937" s="1"/>
      <c r="F937" s="1"/>
      <c r="G937" s="1"/>
      <c r="H937" s="1"/>
      <c r="I937" s="1"/>
    </row>
    <row r="938" spans="2:9" ht="15.75" customHeight="1" x14ac:dyDescent="0.25">
      <c r="B938" s="1"/>
      <c r="C938" s="1"/>
      <c r="D938" s="1"/>
      <c r="E938" s="1"/>
      <c r="F938" s="1"/>
      <c r="G938" s="1"/>
      <c r="H938" s="1"/>
      <c r="I938" s="1"/>
    </row>
    <row r="939" spans="2:9" ht="15.75" customHeight="1" x14ac:dyDescent="0.25">
      <c r="B939" s="1"/>
      <c r="C939" s="1"/>
      <c r="D939" s="1"/>
      <c r="E939" s="1"/>
      <c r="F939" s="1"/>
      <c r="G939" s="1"/>
      <c r="H939" s="1"/>
      <c r="I939" s="1"/>
    </row>
    <row r="940" spans="2:9" ht="15.75" customHeight="1" x14ac:dyDescent="0.25">
      <c r="B940" s="1"/>
      <c r="C940" s="1"/>
      <c r="D940" s="1"/>
      <c r="E940" s="1"/>
      <c r="F940" s="1"/>
      <c r="G940" s="1"/>
      <c r="H940" s="1"/>
      <c r="I940" s="1"/>
    </row>
    <row r="941" spans="2:9" ht="15.75" customHeight="1" x14ac:dyDescent="0.25">
      <c r="B941" s="1"/>
      <c r="C941" s="1"/>
      <c r="D941" s="1"/>
      <c r="E941" s="1"/>
      <c r="F941" s="1"/>
      <c r="G941" s="1"/>
      <c r="H941" s="1"/>
      <c r="I941" s="1"/>
    </row>
    <row r="942" spans="2:9" ht="15.75" customHeight="1" x14ac:dyDescent="0.25">
      <c r="B942" s="1"/>
      <c r="C942" s="1"/>
      <c r="D942" s="1"/>
      <c r="E942" s="1"/>
      <c r="F942" s="1"/>
      <c r="G942" s="1"/>
      <c r="H942" s="1"/>
      <c r="I942" s="1"/>
    </row>
    <row r="943" spans="2:9" ht="15.75" customHeight="1" x14ac:dyDescent="0.25">
      <c r="B943" s="1"/>
      <c r="C943" s="1"/>
      <c r="D943" s="1"/>
      <c r="E943" s="1"/>
      <c r="F943" s="1"/>
      <c r="G943" s="1"/>
      <c r="H943" s="1"/>
      <c r="I943" s="1"/>
    </row>
    <row r="944" spans="2:9" ht="15.75" customHeight="1" x14ac:dyDescent="0.25">
      <c r="B944" s="1"/>
      <c r="C944" s="1"/>
      <c r="D944" s="1"/>
      <c r="E944" s="1"/>
      <c r="F944" s="1"/>
      <c r="G944" s="1"/>
      <c r="H944" s="1"/>
      <c r="I944" s="1"/>
    </row>
    <row r="945" spans="2:9" ht="15.75" customHeight="1" x14ac:dyDescent="0.25">
      <c r="B945" s="1"/>
      <c r="C945" s="1"/>
      <c r="D945" s="1"/>
      <c r="E945" s="1"/>
      <c r="F945" s="1"/>
      <c r="G945" s="1"/>
      <c r="H945" s="1"/>
      <c r="I945" s="1"/>
    </row>
    <row r="946" spans="2:9" ht="15.75" customHeight="1" x14ac:dyDescent="0.25">
      <c r="B946" s="1"/>
      <c r="C946" s="1"/>
      <c r="D946" s="1"/>
      <c r="E946" s="1"/>
      <c r="F946" s="1"/>
      <c r="G946" s="1"/>
      <c r="H946" s="1"/>
      <c r="I946" s="1"/>
    </row>
    <row r="947" spans="2:9" ht="15.75" customHeight="1" x14ac:dyDescent="0.25">
      <c r="B947" s="1"/>
      <c r="C947" s="1"/>
      <c r="D947" s="1"/>
      <c r="E947" s="1"/>
      <c r="F947" s="1"/>
      <c r="G947" s="1"/>
      <c r="H947" s="1"/>
      <c r="I947" s="1"/>
    </row>
    <row r="948" spans="2:9" ht="15.75" customHeight="1" x14ac:dyDescent="0.25">
      <c r="B948" s="1"/>
      <c r="C948" s="1"/>
      <c r="D948" s="1"/>
      <c r="E948" s="1"/>
      <c r="F948" s="1"/>
      <c r="G948" s="1"/>
      <c r="H948" s="1"/>
      <c r="I948" s="1"/>
    </row>
    <row r="949" spans="2:9" ht="15.75" customHeight="1" x14ac:dyDescent="0.25">
      <c r="B949" s="1"/>
      <c r="C949" s="1"/>
      <c r="D949" s="1"/>
      <c r="E949" s="1"/>
      <c r="F949" s="1"/>
      <c r="G949" s="1"/>
      <c r="H949" s="1"/>
      <c r="I949" s="1"/>
    </row>
    <row r="950" spans="2:9" ht="15.75" customHeight="1" x14ac:dyDescent="0.25">
      <c r="B950" s="1"/>
      <c r="C950" s="1"/>
      <c r="D950" s="1"/>
      <c r="E950" s="1"/>
      <c r="F950" s="1"/>
      <c r="G950" s="1"/>
      <c r="H950" s="1"/>
      <c r="I950" s="1"/>
    </row>
    <row r="951" spans="2:9" ht="15.75" customHeight="1" x14ac:dyDescent="0.25">
      <c r="B951" s="1"/>
      <c r="C951" s="1"/>
      <c r="D951" s="1"/>
      <c r="E951" s="1"/>
      <c r="F951" s="1"/>
      <c r="G951" s="1"/>
      <c r="H951" s="1"/>
      <c r="I951" s="1"/>
    </row>
    <row r="952" spans="2:9" ht="15.75" customHeight="1" x14ac:dyDescent="0.25">
      <c r="B952" s="1"/>
      <c r="C952" s="1"/>
      <c r="D952" s="1"/>
      <c r="E952" s="1"/>
      <c r="F952" s="1"/>
      <c r="G952" s="1"/>
      <c r="H952" s="1"/>
      <c r="I952" s="1"/>
    </row>
    <row r="953" spans="2:9" ht="15.75" customHeight="1" x14ac:dyDescent="0.25">
      <c r="B953" s="1"/>
      <c r="C953" s="1"/>
      <c r="D953" s="1"/>
      <c r="E953" s="1"/>
      <c r="F953" s="1"/>
      <c r="G953" s="1"/>
      <c r="H953" s="1"/>
      <c r="I953" s="1"/>
    </row>
    <row r="954" spans="2:9" ht="15.75" customHeight="1" x14ac:dyDescent="0.25">
      <c r="B954" s="1"/>
      <c r="C954" s="1"/>
      <c r="D954" s="1"/>
      <c r="E954" s="1"/>
      <c r="F954" s="1"/>
      <c r="G954" s="1"/>
      <c r="H954" s="1"/>
      <c r="I954" s="1"/>
    </row>
    <row r="955" spans="2:9" ht="15.75" customHeight="1" x14ac:dyDescent="0.25">
      <c r="B955" s="1"/>
      <c r="C955" s="1"/>
      <c r="D955" s="1"/>
      <c r="E955" s="1"/>
      <c r="F955" s="1"/>
      <c r="G955" s="1"/>
      <c r="H955" s="1"/>
      <c r="I955" s="1"/>
    </row>
    <row r="956" spans="2:9" ht="15.75" customHeight="1" x14ac:dyDescent="0.25">
      <c r="B956" s="1"/>
      <c r="C956" s="1"/>
      <c r="D956" s="1"/>
      <c r="E956" s="1"/>
      <c r="F956" s="1"/>
      <c r="G956" s="1"/>
      <c r="H956" s="1"/>
      <c r="I956" s="1"/>
    </row>
    <row r="957" spans="2:9" ht="15.75" customHeight="1" x14ac:dyDescent="0.25">
      <c r="B957" s="1"/>
      <c r="C957" s="1"/>
      <c r="D957" s="1"/>
      <c r="E957" s="1"/>
      <c r="F957" s="1"/>
      <c r="G957" s="1"/>
      <c r="H957" s="1"/>
      <c r="I957" s="1"/>
    </row>
    <row r="958" spans="2:9" ht="15.75" customHeight="1" x14ac:dyDescent="0.25">
      <c r="B958" s="1"/>
      <c r="C958" s="1"/>
      <c r="D958" s="1"/>
      <c r="E958" s="1"/>
      <c r="F958" s="1"/>
      <c r="G958" s="1"/>
      <c r="H958" s="1"/>
      <c r="I958" s="1"/>
    </row>
    <row r="959" spans="2:9" ht="15.75" customHeight="1" x14ac:dyDescent="0.25">
      <c r="B959" s="1"/>
      <c r="C959" s="1"/>
      <c r="D959" s="1"/>
      <c r="E959" s="1"/>
      <c r="F959" s="1"/>
      <c r="G959" s="1"/>
      <c r="H959" s="1"/>
      <c r="I959" s="1"/>
    </row>
    <row r="960" spans="2:9" ht="15.75" customHeight="1" x14ac:dyDescent="0.25">
      <c r="B960" s="1"/>
      <c r="C960" s="1"/>
      <c r="D960" s="1"/>
      <c r="E960" s="1"/>
      <c r="F960" s="1"/>
      <c r="G960" s="1"/>
      <c r="H960" s="1"/>
      <c r="I960" s="1"/>
    </row>
    <row r="961" spans="2:9" ht="15.75" customHeight="1" x14ac:dyDescent="0.25">
      <c r="B961" s="1"/>
      <c r="C961" s="1"/>
      <c r="D961" s="1"/>
      <c r="E961" s="1"/>
      <c r="F961" s="1"/>
      <c r="G961" s="1"/>
      <c r="H961" s="1"/>
      <c r="I961" s="1"/>
    </row>
    <row r="962" spans="2:9" ht="15.75" customHeight="1" x14ac:dyDescent="0.25">
      <c r="B962" s="1"/>
      <c r="C962" s="1"/>
      <c r="D962" s="1"/>
      <c r="E962" s="1"/>
      <c r="F962" s="1"/>
      <c r="G962" s="1"/>
      <c r="H962" s="1"/>
      <c r="I962" s="1"/>
    </row>
    <row r="963" spans="2:9" ht="15.75" customHeight="1" x14ac:dyDescent="0.25">
      <c r="B963" s="1"/>
      <c r="C963" s="1"/>
      <c r="D963" s="1"/>
      <c r="E963" s="1"/>
      <c r="F963" s="1"/>
      <c r="G963" s="1"/>
      <c r="H963" s="1"/>
      <c r="I963" s="1"/>
    </row>
    <row r="964" spans="2:9" ht="15.75" customHeight="1" x14ac:dyDescent="0.25">
      <c r="B964" s="1"/>
      <c r="C964" s="1"/>
      <c r="D964" s="1"/>
      <c r="E964" s="1"/>
      <c r="F964" s="1"/>
      <c r="G964" s="1"/>
      <c r="H964" s="1"/>
      <c r="I964" s="1"/>
    </row>
    <row r="965" spans="2:9" ht="15.75" customHeight="1" x14ac:dyDescent="0.25">
      <c r="B965" s="1"/>
      <c r="C965" s="1"/>
      <c r="D965" s="1"/>
      <c r="E965" s="1"/>
      <c r="F965" s="1"/>
      <c r="G965" s="1"/>
      <c r="H965" s="1"/>
      <c r="I965" s="1"/>
    </row>
    <row r="966" spans="2:9" ht="15.75" customHeight="1" x14ac:dyDescent="0.25">
      <c r="B966" s="1"/>
      <c r="C966" s="1"/>
      <c r="D966" s="1"/>
      <c r="E966" s="1"/>
      <c r="F966" s="1"/>
      <c r="G966" s="1"/>
      <c r="H966" s="1"/>
      <c r="I966" s="1"/>
    </row>
    <row r="967" spans="2:9" ht="15.75" customHeight="1" x14ac:dyDescent="0.25">
      <c r="B967" s="1"/>
      <c r="C967" s="1"/>
      <c r="D967" s="1"/>
      <c r="E967" s="1"/>
      <c r="F967" s="1"/>
      <c r="G967" s="1"/>
      <c r="H967" s="1"/>
      <c r="I967" s="1"/>
    </row>
    <row r="968" spans="2:9" ht="15.75" customHeight="1" x14ac:dyDescent="0.25">
      <c r="B968" s="1"/>
      <c r="C968" s="1"/>
      <c r="D968" s="1"/>
      <c r="E968" s="1"/>
      <c r="F968" s="1"/>
      <c r="G968" s="1"/>
      <c r="H968" s="1"/>
      <c r="I968" s="1"/>
    </row>
    <row r="969" spans="2:9" ht="15.75" customHeight="1" x14ac:dyDescent="0.25">
      <c r="B969" s="1"/>
      <c r="C969" s="1"/>
      <c r="D969" s="1"/>
      <c r="E969" s="1"/>
      <c r="F969" s="1"/>
      <c r="G969" s="1"/>
      <c r="H969" s="1"/>
      <c r="I969" s="1"/>
    </row>
    <row r="970" spans="2:9" ht="15.75" customHeight="1" x14ac:dyDescent="0.25">
      <c r="B970" s="1"/>
      <c r="C970" s="1"/>
      <c r="D970" s="1"/>
      <c r="E970" s="1"/>
      <c r="F970" s="1"/>
      <c r="G970" s="1"/>
      <c r="H970" s="1"/>
      <c r="I970" s="1"/>
    </row>
    <row r="971" spans="2:9" ht="15.75" customHeight="1" x14ac:dyDescent="0.25">
      <c r="B971" s="1"/>
      <c r="C971" s="1"/>
      <c r="D971" s="1"/>
      <c r="E971" s="1"/>
      <c r="F971" s="1"/>
      <c r="G971" s="1"/>
      <c r="H971" s="1"/>
      <c r="I971" s="1"/>
    </row>
    <row r="972" spans="2:9" ht="15.75" customHeight="1" x14ac:dyDescent="0.25">
      <c r="B972" s="1"/>
      <c r="C972" s="1"/>
      <c r="D972" s="1"/>
      <c r="E972" s="1"/>
      <c r="F972" s="1"/>
      <c r="G972" s="1"/>
      <c r="H972" s="1"/>
      <c r="I972" s="1"/>
    </row>
    <row r="973" spans="2:9" ht="15.75" customHeight="1" x14ac:dyDescent="0.25">
      <c r="B973" s="1"/>
      <c r="C973" s="1"/>
      <c r="D973" s="1"/>
      <c r="E973" s="1"/>
      <c r="F973" s="1"/>
      <c r="G973" s="1"/>
      <c r="H973" s="1"/>
      <c r="I973" s="1"/>
    </row>
    <row r="974" spans="2:9" ht="15.75" customHeight="1" x14ac:dyDescent="0.25">
      <c r="B974" s="1"/>
      <c r="C974" s="1"/>
      <c r="D974" s="1"/>
      <c r="E974" s="1"/>
      <c r="F974" s="1"/>
      <c r="G974" s="1"/>
      <c r="H974" s="1"/>
      <c r="I974" s="1"/>
    </row>
    <row r="975" spans="2:9" ht="15.75" customHeight="1" x14ac:dyDescent="0.25">
      <c r="B975" s="1"/>
      <c r="C975" s="1"/>
      <c r="D975" s="1"/>
      <c r="E975" s="1"/>
      <c r="F975" s="1"/>
      <c r="G975" s="1"/>
      <c r="H975" s="1"/>
      <c r="I975" s="1"/>
    </row>
    <row r="976" spans="2:9" ht="15.75" customHeight="1" x14ac:dyDescent="0.25">
      <c r="B976" s="1"/>
      <c r="C976" s="1"/>
      <c r="D976" s="1"/>
      <c r="E976" s="1"/>
      <c r="F976" s="1"/>
      <c r="G976" s="1"/>
      <c r="H976" s="1"/>
      <c r="I976" s="1"/>
    </row>
    <row r="977" spans="2:9" ht="15.75" customHeight="1" x14ac:dyDescent="0.25">
      <c r="B977" s="1"/>
      <c r="C977" s="1"/>
      <c r="D977" s="1"/>
      <c r="E977" s="1"/>
      <c r="F977" s="1"/>
      <c r="G977" s="1"/>
      <c r="H977" s="1"/>
      <c r="I977" s="1"/>
    </row>
    <row r="978" spans="2:9" ht="15.75" customHeight="1" x14ac:dyDescent="0.25">
      <c r="B978" s="1"/>
      <c r="C978" s="1"/>
      <c r="D978" s="1"/>
      <c r="E978" s="1"/>
      <c r="F978" s="1"/>
      <c r="G978" s="1"/>
      <c r="H978" s="1"/>
      <c r="I978" s="1"/>
    </row>
    <row r="979" spans="2:9" ht="15.75" customHeight="1" x14ac:dyDescent="0.25">
      <c r="B979" s="1"/>
      <c r="C979" s="1"/>
      <c r="D979" s="1"/>
      <c r="E979" s="1"/>
      <c r="F979" s="1"/>
      <c r="G979" s="1"/>
      <c r="H979" s="1"/>
      <c r="I979" s="1"/>
    </row>
    <row r="980" spans="2:9" ht="15.75" customHeight="1" x14ac:dyDescent="0.25">
      <c r="B980" s="1"/>
      <c r="C980" s="1"/>
      <c r="D980" s="1"/>
      <c r="E980" s="1"/>
      <c r="F980" s="1"/>
      <c r="G980" s="1"/>
      <c r="H980" s="1"/>
      <c r="I980" s="1"/>
    </row>
    <row r="981" spans="2:9" ht="15.75" customHeight="1" x14ac:dyDescent="0.25">
      <c r="B981" s="1"/>
      <c r="C981" s="1"/>
      <c r="D981" s="1"/>
      <c r="E981" s="1"/>
      <c r="F981" s="1"/>
      <c r="G981" s="1"/>
      <c r="H981" s="1"/>
      <c r="I981" s="1"/>
    </row>
    <row r="982" spans="2:9" ht="15.75" customHeight="1" x14ac:dyDescent="0.25">
      <c r="B982" s="1"/>
      <c r="C982" s="1"/>
      <c r="D982" s="1"/>
      <c r="E982" s="1"/>
      <c r="F982" s="1"/>
      <c r="G982" s="1"/>
      <c r="H982" s="1"/>
      <c r="I982" s="1"/>
    </row>
    <row r="983" spans="2:9" ht="15.75" customHeight="1" x14ac:dyDescent="0.25">
      <c r="B983" s="1"/>
      <c r="C983" s="1"/>
      <c r="D983" s="1"/>
      <c r="E983" s="1"/>
      <c r="F983" s="1"/>
      <c r="G983" s="1"/>
      <c r="H983" s="1"/>
      <c r="I983" s="1"/>
    </row>
    <row r="984" spans="2:9" ht="15.75" customHeight="1" x14ac:dyDescent="0.25">
      <c r="B984" s="1"/>
      <c r="C984" s="1"/>
      <c r="D984" s="1"/>
      <c r="E984" s="1"/>
      <c r="F984" s="1"/>
      <c r="G984" s="1"/>
      <c r="H984" s="1"/>
      <c r="I984" s="1"/>
    </row>
    <row r="985" spans="2:9" ht="15.75" customHeight="1" x14ac:dyDescent="0.25">
      <c r="B985" s="1"/>
      <c r="C985" s="1"/>
      <c r="D985" s="1"/>
      <c r="E985" s="1"/>
      <c r="F985" s="1"/>
      <c r="G985" s="1"/>
      <c r="H985" s="1"/>
      <c r="I985" s="1"/>
    </row>
    <row r="986" spans="2:9" ht="15.75" customHeight="1" x14ac:dyDescent="0.25">
      <c r="B986" s="1"/>
      <c r="C986" s="1"/>
      <c r="D986" s="1"/>
      <c r="E986" s="1"/>
      <c r="F986" s="1"/>
      <c r="G986" s="1"/>
      <c r="H986" s="1"/>
      <c r="I986" s="1"/>
    </row>
    <row r="987" spans="2:9" ht="15.75" customHeight="1" x14ac:dyDescent="0.25">
      <c r="B987" s="1"/>
      <c r="C987" s="1"/>
      <c r="D987" s="1"/>
      <c r="E987" s="1"/>
      <c r="F987" s="1"/>
      <c r="G987" s="1"/>
      <c r="H987" s="1"/>
      <c r="I987" s="1"/>
    </row>
    <row r="988" spans="2:9" ht="15.75" customHeight="1" x14ac:dyDescent="0.25">
      <c r="B988" s="1"/>
      <c r="C988" s="1"/>
      <c r="D988" s="1"/>
      <c r="E988" s="1"/>
      <c r="F988" s="1"/>
      <c r="G988" s="1"/>
      <c r="H988" s="1"/>
      <c r="I988" s="1"/>
    </row>
    <row r="989" spans="2:9" ht="15.75" customHeight="1" x14ac:dyDescent="0.25">
      <c r="B989" s="1"/>
      <c r="C989" s="1"/>
      <c r="D989" s="1"/>
      <c r="E989" s="1"/>
      <c r="F989" s="1"/>
      <c r="G989" s="1"/>
      <c r="H989" s="1"/>
      <c r="I989" s="1"/>
    </row>
    <row r="990" spans="2:9" ht="15.75" customHeight="1" x14ac:dyDescent="0.25">
      <c r="B990" s="1"/>
      <c r="C990" s="1"/>
      <c r="D990" s="1"/>
      <c r="E990" s="1"/>
      <c r="F990" s="1"/>
      <c r="G990" s="1"/>
      <c r="H990" s="1"/>
      <c r="I990" s="1"/>
    </row>
    <row r="991" spans="2:9" ht="15.75" customHeight="1" x14ac:dyDescent="0.25">
      <c r="B991" s="1"/>
      <c r="C991" s="1"/>
      <c r="D991" s="1"/>
      <c r="E991" s="1"/>
      <c r="F991" s="1"/>
      <c r="G991" s="1"/>
      <c r="H991" s="1"/>
      <c r="I991" s="1"/>
    </row>
    <row r="992" spans="2:9" ht="15.75" customHeight="1" x14ac:dyDescent="0.25">
      <c r="B992" s="1"/>
      <c r="C992" s="1"/>
      <c r="D992" s="1"/>
      <c r="E992" s="1"/>
      <c r="F992" s="1"/>
      <c r="G992" s="1"/>
      <c r="H992" s="1"/>
      <c r="I992" s="1"/>
    </row>
    <row r="993" spans="2:9" ht="15.75" customHeight="1" x14ac:dyDescent="0.25">
      <c r="B993" s="1"/>
      <c r="C993" s="1"/>
      <c r="D993" s="1"/>
      <c r="E993" s="1"/>
      <c r="F993" s="1"/>
      <c r="G993" s="1"/>
      <c r="H993" s="1"/>
      <c r="I993" s="1"/>
    </row>
    <row r="994" spans="2:9" ht="15.75" customHeight="1" x14ac:dyDescent="0.25">
      <c r="B994" s="1"/>
      <c r="C994" s="1"/>
      <c r="D994" s="1"/>
      <c r="E994" s="1"/>
      <c r="F994" s="1"/>
      <c r="G994" s="1"/>
      <c r="H994" s="1"/>
      <c r="I994" s="1"/>
    </row>
    <row r="995" spans="2:9" ht="15.75" customHeight="1" x14ac:dyDescent="0.25">
      <c r="B995" s="1"/>
      <c r="C995" s="1"/>
      <c r="D995" s="1"/>
      <c r="E995" s="1"/>
      <c r="F995" s="1"/>
      <c r="G995" s="1"/>
      <c r="H995" s="1"/>
      <c r="I995" s="1"/>
    </row>
    <row r="996" spans="2:9" ht="15.75" customHeight="1" x14ac:dyDescent="0.25">
      <c r="B996" s="1"/>
      <c r="C996" s="1"/>
      <c r="D996" s="1"/>
      <c r="E996" s="1"/>
      <c r="F996" s="1"/>
      <c r="G996" s="1"/>
      <c r="H996" s="1"/>
      <c r="I996" s="1"/>
    </row>
    <row r="997" spans="2:9" ht="15.75" customHeight="1" x14ac:dyDescent="0.25">
      <c r="B997" s="1"/>
      <c r="C997" s="1"/>
      <c r="D997" s="1"/>
      <c r="E997" s="1"/>
      <c r="F997" s="1"/>
      <c r="G997" s="1"/>
      <c r="H997" s="1"/>
      <c r="I997" s="1"/>
    </row>
    <row r="998" spans="2:9" ht="15.75" customHeight="1" x14ac:dyDescent="0.25">
      <c r="B998" s="1"/>
      <c r="C998" s="1"/>
      <c r="D998" s="1"/>
      <c r="E998" s="1"/>
      <c r="F998" s="1"/>
      <c r="G998" s="1"/>
      <c r="H998" s="1"/>
      <c r="I998" s="1"/>
    </row>
    <row r="999" spans="2:9" ht="15.75" customHeight="1" x14ac:dyDescent="0.25">
      <c r="B999" s="1"/>
      <c r="C999" s="1"/>
      <c r="D999" s="1"/>
      <c r="E999" s="1"/>
      <c r="F999" s="1"/>
      <c r="G999" s="1"/>
      <c r="H999" s="1"/>
      <c r="I999" s="1"/>
    </row>
    <row r="1000" spans="2:9" ht="15.75" customHeight="1" x14ac:dyDescent="0.25">
      <c r="B1000" s="1"/>
      <c r="C1000" s="1"/>
      <c r="D1000" s="1"/>
      <c r="E1000" s="1"/>
      <c r="F1000" s="1"/>
      <c r="G1000" s="1"/>
      <c r="H1000" s="1"/>
      <c r="I1000" s="1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10.28515625" customWidth="1"/>
    <col min="3" max="3" width="62.28515625" customWidth="1"/>
    <col min="4" max="4" width="3.7109375" customWidth="1"/>
    <col min="5" max="5" width="8.28515625" customWidth="1"/>
    <col min="6" max="6" width="10" customWidth="1"/>
    <col min="7" max="7" width="14.28515625" customWidth="1"/>
    <col min="8" max="8" width="8.7109375" customWidth="1"/>
    <col min="9" max="9" width="13.28515625" customWidth="1"/>
    <col min="10" max="26" width="10.7109375" customWidth="1"/>
  </cols>
  <sheetData>
    <row r="1" spans="2:9" x14ac:dyDescent="0.25">
      <c r="B1" s="1"/>
      <c r="C1" s="1"/>
      <c r="D1" s="1"/>
      <c r="E1" s="1"/>
      <c r="F1" s="1"/>
      <c r="G1" s="2">
        <f>0+0+0+0+0+0+0+0+G3</f>
        <v>3611138.44</v>
      </c>
      <c r="H1" s="1"/>
      <c r="I1" s="2">
        <f>0+0+0+0+0+0+0+0+I3</f>
        <v>412281.31</v>
      </c>
    </row>
    <row r="2" spans="2:9" ht="33.75" x14ac:dyDescent="0.25">
      <c r="B2" s="3" t="s">
        <v>3</v>
      </c>
      <c r="C2" s="3" t="s">
        <v>4</v>
      </c>
      <c r="D2" s="3" t="s">
        <v>5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</row>
    <row r="3" spans="2:9" x14ac:dyDescent="0.25">
      <c r="B3" s="2" t="s">
        <v>14</v>
      </c>
      <c r="C3" s="2" t="s">
        <v>141</v>
      </c>
      <c r="D3" s="1"/>
      <c r="E3" s="1"/>
      <c r="F3" s="1"/>
      <c r="G3" s="2">
        <v>3611138.44</v>
      </c>
      <c r="H3" s="1"/>
      <c r="I3" s="2">
        <v>412281.31</v>
      </c>
    </row>
    <row r="4" spans="2:9" x14ac:dyDescent="0.25">
      <c r="B4" s="5" t="s">
        <v>16</v>
      </c>
      <c r="C4" s="5" t="s">
        <v>142</v>
      </c>
      <c r="D4" s="1"/>
      <c r="E4" s="1"/>
      <c r="F4" s="1"/>
      <c r="G4" s="5">
        <v>16910.66</v>
      </c>
      <c r="H4" s="1"/>
      <c r="I4" s="5">
        <v>0</v>
      </c>
    </row>
    <row r="5" spans="2:9" x14ac:dyDescent="0.25">
      <c r="B5" s="6" t="s">
        <v>18</v>
      </c>
      <c r="C5" s="6" t="s">
        <v>143</v>
      </c>
      <c r="D5" s="6" t="s">
        <v>105</v>
      </c>
      <c r="E5" s="6">
        <v>395</v>
      </c>
      <c r="F5" s="6">
        <v>30</v>
      </c>
      <c r="G5" s="6">
        <v>11850</v>
      </c>
      <c r="H5" s="6">
        <v>0</v>
      </c>
      <c r="I5" s="6">
        <v>0</v>
      </c>
    </row>
    <row r="6" spans="2:9" x14ac:dyDescent="0.25">
      <c r="B6" s="7" t="s">
        <v>21</v>
      </c>
      <c r="C6" s="7" t="s">
        <v>144</v>
      </c>
      <c r="D6" s="1"/>
      <c r="E6" s="1"/>
      <c r="F6" s="1"/>
      <c r="G6" s="7">
        <v>5060.66</v>
      </c>
      <c r="H6" s="1"/>
      <c r="I6" s="7">
        <v>0</v>
      </c>
    </row>
    <row r="7" spans="2:9" x14ac:dyDescent="0.25">
      <c r="B7" s="6" t="s">
        <v>145</v>
      </c>
      <c r="C7" s="6" t="s">
        <v>146</v>
      </c>
      <c r="D7" s="6" t="s">
        <v>105</v>
      </c>
      <c r="E7" s="6">
        <v>1008.1</v>
      </c>
      <c r="F7" s="6">
        <v>5.0199999999999996</v>
      </c>
      <c r="G7" s="6">
        <v>5060.66</v>
      </c>
      <c r="H7" s="6">
        <v>0</v>
      </c>
      <c r="I7" s="6">
        <v>0</v>
      </c>
    </row>
    <row r="8" spans="2:9" x14ac:dyDescent="0.25">
      <c r="B8" s="5" t="s">
        <v>30</v>
      </c>
      <c r="C8" s="5" t="s">
        <v>147</v>
      </c>
      <c r="D8" s="1"/>
      <c r="E8" s="1"/>
      <c r="F8" s="1"/>
      <c r="G8" s="5">
        <v>3594227.78</v>
      </c>
      <c r="H8" s="1"/>
      <c r="I8" s="5">
        <v>412281.31</v>
      </c>
    </row>
    <row r="9" spans="2:9" x14ac:dyDescent="0.25">
      <c r="B9" s="7" t="s">
        <v>32</v>
      </c>
      <c r="C9" s="7" t="s">
        <v>148</v>
      </c>
      <c r="D9" s="1"/>
      <c r="E9" s="1"/>
      <c r="F9" s="1"/>
      <c r="G9" s="7">
        <v>435.5</v>
      </c>
      <c r="H9" s="1"/>
      <c r="I9" s="7">
        <v>39.03</v>
      </c>
    </row>
    <row r="10" spans="2:9" x14ac:dyDescent="0.25">
      <c r="B10" s="6" t="s">
        <v>149</v>
      </c>
      <c r="C10" s="6" t="s">
        <v>150</v>
      </c>
      <c r="D10" s="6" t="s">
        <v>102</v>
      </c>
      <c r="E10" s="6">
        <v>0.47</v>
      </c>
      <c r="F10" s="6">
        <v>380.72</v>
      </c>
      <c r="G10" s="6">
        <v>178.94</v>
      </c>
      <c r="H10" s="6">
        <v>0</v>
      </c>
      <c r="I10" s="6">
        <v>0</v>
      </c>
    </row>
    <row r="11" spans="2:9" x14ac:dyDescent="0.25">
      <c r="B11" s="6" t="s">
        <v>151</v>
      </c>
      <c r="C11" s="6" t="s">
        <v>152</v>
      </c>
      <c r="D11" s="6" t="s">
        <v>105</v>
      </c>
      <c r="E11" s="6">
        <v>3.67</v>
      </c>
      <c r="F11" s="6">
        <v>55.3</v>
      </c>
      <c r="G11" s="6">
        <v>202.95</v>
      </c>
      <c r="H11" s="6">
        <v>0.16</v>
      </c>
      <c r="I11" s="6">
        <v>0.59</v>
      </c>
    </row>
    <row r="12" spans="2:9" x14ac:dyDescent="0.25">
      <c r="B12" s="6" t="s">
        <v>153</v>
      </c>
      <c r="C12" s="6" t="s">
        <v>154</v>
      </c>
      <c r="D12" s="6" t="s">
        <v>155</v>
      </c>
      <c r="E12" s="6">
        <v>38.44</v>
      </c>
      <c r="F12" s="6">
        <v>1.1299999999999999</v>
      </c>
      <c r="G12" s="6">
        <v>43.44</v>
      </c>
      <c r="H12" s="6">
        <v>1</v>
      </c>
      <c r="I12" s="6">
        <v>38.44</v>
      </c>
    </row>
    <row r="13" spans="2:9" x14ac:dyDescent="0.25">
      <c r="B13" s="6" t="s">
        <v>156</v>
      </c>
      <c r="C13" s="6" t="s">
        <v>157</v>
      </c>
      <c r="D13" s="6" t="s">
        <v>105</v>
      </c>
      <c r="E13" s="6">
        <v>3.71</v>
      </c>
      <c r="F13" s="6">
        <v>2.74</v>
      </c>
      <c r="G13" s="6">
        <v>10.17</v>
      </c>
      <c r="H13" s="6">
        <v>0</v>
      </c>
      <c r="I13" s="6">
        <v>0</v>
      </c>
    </row>
    <row r="14" spans="2:9" x14ac:dyDescent="0.25">
      <c r="B14" s="7" t="s">
        <v>35</v>
      </c>
      <c r="C14" s="7" t="s">
        <v>158</v>
      </c>
      <c r="D14" s="1"/>
      <c r="E14" s="1"/>
      <c r="F14" s="1"/>
      <c r="G14" s="7">
        <v>187061.41</v>
      </c>
      <c r="H14" s="1"/>
      <c r="I14" s="7">
        <v>9294.2800000000007</v>
      </c>
    </row>
    <row r="15" spans="2:9" x14ac:dyDescent="0.25">
      <c r="B15" s="6" t="s">
        <v>159</v>
      </c>
      <c r="C15" s="6" t="s">
        <v>160</v>
      </c>
      <c r="D15" s="6" t="s">
        <v>102</v>
      </c>
      <c r="E15" s="6">
        <v>180.36</v>
      </c>
      <c r="F15" s="6">
        <v>447.6</v>
      </c>
      <c r="G15" s="6">
        <v>80729.14</v>
      </c>
      <c r="H15" s="6">
        <v>0</v>
      </c>
      <c r="I15" s="6">
        <v>0</v>
      </c>
    </row>
    <row r="16" spans="2:9" x14ac:dyDescent="0.25">
      <c r="B16" s="6" t="s">
        <v>161</v>
      </c>
      <c r="C16" s="6" t="s">
        <v>162</v>
      </c>
      <c r="D16" s="6" t="s">
        <v>105</v>
      </c>
      <c r="E16" s="6">
        <v>1812.89</v>
      </c>
      <c r="F16" s="6">
        <v>50.64</v>
      </c>
      <c r="G16" s="6">
        <v>91804.75</v>
      </c>
      <c r="H16" s="6">
        <v>0.46</v>
      </c>
      <c r="I16" s="6">
        <v>833.93</v>
      </c>
    </row>
    <row r="17" spans="2:9" x14ac:dyDescent="0.25">
      <c r="B17" s="6" t="s">
        <v>163</v>
      </c>
      <c r="C17" s="6" t="s">
        <v>164</v>
      </c>
      <c r="D17" s="6" t="s">
        <v>155</v>
      </c>
      <c r="E17" s="6">
        <v>8460.35</v>
      </c>
      <c r="F17" s="6">
        <v>1.1299999999999999</v>
      </c>
      <c r="G17" s="6">
        <v>9560.2000000000007</v>
      </c>
      <c r="H17" s="6">
        <v>1</v>
      </c>
      <c r="I17" s="6">
        <v>8460.35</v>
      </c>
    </row>
    <row r="18" spans="2:9" x14ac:dyDescent="0.25">
      <c r="B18" s="6" t="s">
        <v>165</v>
      </c>
      <c r="C18" s="6" t="s">
        <v>157</v>
      </c>
      <c r="D18" s="6" t="s">
        <v>105</v>
      </c>
      <c r="E18" s="6">
        <v>1812.89</v>
      </c>
      <c r="F18" s="6">
        <v>2.74</v>
      </c>
      <c r="G18" s="6">
        <v>4967.32</v>
      </c>
      <c r="H18" s="6">
        <v>0</v>
      </c>
      <c r="I18" s="6">
        <v>0</v>
      </c>
    </row>
    <row r="19" spans="2:9" x14ac:dyDescent="0.25">
      <c r="B19" s="7" t="s">
        <v>37</v>
      </c>
      <c r="C19" s="7" t="s">
        <v>166</v>
      </c>
      <c r="D19" s="1"/>
      <c r="E19" s="1"/>
      <c r="F19" s="1"/>
      <c r="G19" s="7">
        <v>695.32</v>
      </c>
      <c r="H19" s="1"/>
      <c r="I19" s="7">
        <v>44.12</v>
      </c>
    </row>
    <row r="20" spans="2:9" x14ac:dyDescent="0.25">
      <c r="B20" s="6" t="s">
        <v>167</v>
      </c>
      <c r="C20" s="6" t="s">
        <v>150</v>
      </c>
      <c r="D20" s="6" t="s">
        <v>102</v>
      </c>
      <c r="E20" s="6">
        <v>0.82</v>
      </c>
      <c r="F20" s="6">
        <v>380.72</v>
      </c>
      <c r="G20" s="6">
        <v>312.19</v>
      </c>
      <c r="H20" s="6">
        <v>0</v>
      </c>
      <c r="I20" s="6">
        <v>0</v>
      </c>
    </row>
    <row r="21" spans="2:9" ht="15.75" customHeight="1" x14ac:dyDescent="0.25">
      <c r="B21" s="6" t="s">
        <v>168</v>
      </c>
      <c r="C21" s="6" t="s">
        <v>152</v>
      </c>
      <c r="D21" s="6" t="s">
        <v>105</v>
      </c>
      <c r="E21" s="6">
        <v>5.76</v>
      </c>
      <c r="F21" s="6">
        <v>55.3</v>
      </c>
      <c r="G21" s="6">
        <v>318.52999999999997</v>
      </c>
      <c r="H21" s="6">
        <v>0.16</v>
      </c>
      <c r="I21" s="6">
        <v>0.92</v>
      </c>
    </row>
    <row r="22" spans="2:9" ht="15.75" customHeight="1" x14ac:dyDescent="0.25">
      <c r="B22" s="6" t="s">
        <v>169</v>
      </c>
      <c r="C22" s="6" t="s">
        <v>154</v>
      </c>
      <c r="D22" s="6" t="s">
        <v>155</v>
      </c>
      <c r="E22" s="6">
        <v>43.2</v>
      </c>
      <c r="F22" s="6">
        <v>1.1299999999999999</v>
      </c>
      <c r="G22" s="6">
        <v>48.82</v>
      </c>
      <c r="H22" s="6">
        <v>1</v>
      </c>
      <c r="I22" s="6">
        <v>43.2</v>
      </c>
    </row>
    <row r="23" spans="2:9" ht="15.75" customHeight="1" x14ac:dyDescent="0.25">
      <c r="B23" s="6" t="s">
        <v>170</v>
      </c>
      <c r="C23" s="6" t="s">
        <v>157</v>
      </c>
      <c r="D23" s="6" t="s">
        <v>105</v>
      </c>
      <c r="E23" s="6">
        <v>5.76</v>
      </c>
      <c r="F23" s="6">
        <v>2.74</v>
      </c>
      <c r="G23" s="6">
        <v>15.78</v>
      </c>
      <c r="H23" s="6">
        <v>0</v>
      </c>
      <c r="I23" s="6">
        <v>0</v>
      </c>
    </row>
    <row r="24" spans="2:9" ht="15.75" customHeight="1" x14ac:dyDescent="0.25">
      <c r="B24" s="7" t="s">
        <v>39</v>
      </c>
      <c r="C24" s="7" t="s">
        <v>171</v>
      </c>
      <c r="D24" s="1"/>
      <c r="E24" s="1"/>
      <c r="F24" s="1"/>
      <c r="G24" s="7">
        <v>879.64</v>
      </c>
      <c r="H24" s="1"/>
      <c r="I24" s="7">
        <v>43.3</v>
      </c>
    </row>
    <row r="25" spans="2:9" ht="15.75" customHeight="1" x14ac:dyDescent="0.25">
      <c r="B25" s="6" t="s">
        <v>172</v>
      </c>
      <c r="C25" s="6" t="s">
        <v>173</v>
      </c>
      <c r="D25" s="6" t="s">
        <v>102</v>
      </c>
      <c r="E25" s="6">
        <v>1.68</v>
      </c>
      <c r="F25" s="6">
        <v>373.66</v>
      </c>
      <c r="G25" s="6">
        <v>627.75</v>
      </c>
      <c r="H25" s="6">
        <v>0</v>
      </c>
      <c r="I25" s="6">
        <v>0</v>
      </c>
    </row>
    <row r="26" spans="2:9" ht="15.75" customHeight="1" x14ac:dyDescent="0.25">
      <c r="B26" s="6" t="s">
        <v>174</v>
      </c>
      <c r="C26" s="6" t="s">
        <v>152</v>
      </c>
      <c r="D26" s="6" t="s">
        <v>105</v>
      </c>
      <c r="E26" s="6">
        <v>3.28</v>
      </c>
      <c r="F26" s="6">
        <v>55.3</v>
      </c>
      <c r="G26" s="6">
        <v>181.38</v>
      </c>
      <c r="H26" s="6">
        <v>0.16</v>
      </c>
      <c r="I26" s="6">
        <v>0.52</v>
      </c>
    </row>
    <row r="27" spans="2:9" ht="15.75" customHeight="1" x14ac:dyDescent="0.25">
      <c r="B27" s="6" t="s">
        <v>175</v>
      </c>
      <c r="C27" s="6" t="s">
        <v>154</v>
      </c>
      <c r="D27" s="6" t="s">
        <v>155</v>
      </c>
      <c r="E27" s="6">
        <v>42.78</v>
      </c>
      <c r="F27" s="6">
        <v>1.1299999999999999</v>
      </c>
      <c r="G27" s="6">
        <v>48.34</v>
      </c>
      <c r="H27" s="6">
        <v>1</v>
      </c>
      <c r="I27" s="6">
        <v>42.78</v>
      </c>
    </row>
    <row r="28" spans="2:9" ht="15.75" customHeight="1" x14ac:dyDescent="0.25">
      <c r="B28" s="6" t="s">
        <v>176</v>
      </c>
      <c r="C28" s="6" t="s">
        <v>157</v>
      </c>
      <c r="D28" s="6" t="s">
        <v>105</v>
      </c>
      <c r="E28" s="6">
        <v>8.09</v>
      </c>
      <c r="F28" s="6">
        <v>2.74</v>
      </c>
      <c r="G28" s="6">
        <v>22.17</v>
      </c>
      <c r="H28" s="6">
        <v>0</v>
      </c>
      <c r="I28" s="6">
        <v>0</v>
      </c>
    </row>
    <row r="29" spans="2:9" ht="15.75" customHeight="1" x14ac:dyDescent="0.25">
      <c r="B29" s="7" t="s">
        <v>41</v>
      </c>
      <c r="C29" s="7" t="s">
        <v>177</v>
      </c>
      <c r="D29" s="1"/>
      <c r="E29" s="1"/>
      <c r="F29" s="1"/>
      <c r="G29" s="7">
        <v>64739.11</v>
      </c>
      <c r="H29" s="1"/>
      <c r="I29" s="7">
        <v>15748.61</v>
      </c>
    </row>
    <row r="30" spans="2:9" ht="15.75" customHeight="1" x14ac:dyDescent="0.25">
      <c r="B30" s="6" t="s">
        <v>178</v>
      </c>
      <c r="C30" s="6" t="s">
        <v>179</v>
      </c>
      <c r="D30" s="6" t="s">
        <v>102</v>
      </c>
      <c r="E30" s="6">
        <v>69.680000000000007</v>
      </c>
      <c r="F30" s="6">
        <v>380.07</v>
      </c>
      <c r="G30" s="6">
        <v>26483.279999999999</v>
      </c>
      <c r="H30" s="6">
        <v>0</v>
      </c>
      <c r="I30" s="6">
        <v>0</v>
      </c>
    </row>
    <row r="31" spans="2:9" ht="15.75" customHeight="1" x14ac:dyDescent="0.25">
      <c r="B31" s="6" t="s">
        <v>180</v>
      </c>
      <c r="C31" s="6" t="s">
        <v>181</v>
      </c>
      <c r="D31" s="6" t="s">
        <v>105</v>
      </c>
      <c r="E31" s="6">
        <v>417.79</v>
      </c>
      <c r="F31" s="6">
        <v>39.65</v>
      </c>
      <c r="G31" s="6">
        <v>16565.37</v>
      </c>
      <c r="H31" s="6">
        <v>0.16</v>
      </c>
      <c r="I31" s="6">
        <v>66.849999999999994</v>
      </c>
    </row>
    <row r="32" spans="2:9" ht="15.75" customHeight="1" x14ac:dyDescent="0.25">
      <c r="B32" s="6" t="s">
        <v>182</v>
      </c>
      <c r="C32" s="6" t="s">
        <v>183</v>
      </c>
      <c r="D32" s="6" t="s">
        <v>105</v>
      </c>
      <c r="E32" s="6">
        <v>52.86</v>
      </c>
      <c r="F32" s="6">
        <v>50.89</v>
      </c>
      <c r="G32" s="6">
        <v>2690.05</v>
      </c>
      <c r="H32" s="6">
        <v>0.16</v>
      </c>
      <c r="I32" s="6">
        <v>8.4600000000000009</v>
      </c>
    </row>
    <row r="33" spans="2:9" ht="15.75" customHeight="1" x14ac:dyDescent="0.25">
      <c r="B33" s="6" t="s">
        <v>184</v>
      </c>
      <c r="C33" s="6" t="s">
        <v>154</v>
      </c>
      <c r="D33" s="6" t="s">
        <v>155</v>
      </c>
      <c r="E33" s="6">
        <v>15673.3</v>
      </c>
      <c r="F33" s="6">
        <v>1.1299999999999999</v>
      </c>
      <c r="G33" s="6">
        <v>17710.830000000002</v>
      </c>
      <c r="H33" s="6">
        <v>1</v>
      </c>
      <c r="I33" s="6">
        <v>15673.3</v>
      </c>
    </row>
    <row r="34" spans="2:9" ht="15.75" customHeight="1" x14ac:dyDescent="0.25">
      <c r="B34" s="6" t="s">
        <v>185</v>
      </c>
      <c r="C34" s="6" t="s">
        <v>157</v>
      </c>
      <c r="D34" s="6" t="s">
        <v>105</v>
      </c>
      <c r="E34" s="6">
        <v>470.65</v>
      </c>
      <c r="F34" s="6">
        <v>2.74</v>
      </c>
      <c r="G34" s="6">
        <v>1289.58</v>
      </c>
      <c r="H34" s="6">
        <v>0</v>
      </c>
      <c r="I34" s="6">
        <v>0</v>
      </c>
    </row>
    <row r="35" spans="2:9" ht="15.75" customHeight="1" x14ac:dyDescent="0.25">
      <c r="B35" s="7" t="s">
        <v>43</v>
      </c>
      <c r="C35" s="7" t="s">
        <v>186</v>
      </c>
      <c r="D35" s="1"/>
      <c r="E35" s="1"/>
      <c r="F35" s="1"/>
      <c r="G35" s="7">
        <v>262596.08</v>
      </c>
      <c r="H35" s="1"/>
      <c r="I35" s="7">
        <v>40301</v>
      </c>
    </row>
    <row r="36" spans="2:9" ht="15.75" customHeight="1" x14ac:dyDescent="0.25">
      <c r="B36" s="6" t="s">
        <v>187</v>
      </c>
      <c r="C36" s="6" t="s">
        <v>179</v>
      </c>
      <c r="D36" s="6" t="s">
        <v>102</v>
      </c>
      <c r="E36" s="6">
        <v>386.23</v>
      </c>
      <c r="F36" s="6">
        <v>380.07</v>
      </c>
      <c r="G36" s="6">
        <v>146794.44</v>
      </c>
      <c r="H36" s="6">
        <v>0</v>
      </c>
      <c r="I36" s="6">
        <v>0</v>
      </c>
    </row>
    <row r="37" spans="2:9" ht="15.75" customHeight="1" x14ac:dyDescent="0.25">
      <c r="B37" s="6" t="s">
        <v>188</v>
      </c>
      <c r="C37" s="6" t="s">
        <v>189</v>
      </c>
      <c r="D37" s="6" t="s">
        <v>105</v>
      </c>
      <c r="E37" s="6">
        <v>1464.49</v>
      </c>
      <c r="F37" s="6">
        <v>39.65</v>
      </c>
      <c r="G37" s="6">
        <v>58067.03</v>
      </c>
      <c r="H37" s="6">
        <v>0.16</v>
      </c>
      <c r="I37" s="6">
        <v>234.32</v>
      </c>
    </row>
    <row r="38" spans="2:9" ht="15.75" customHeight="1" x14ac:dyDescent="0.25">
      <c r="B38" s="6" t="s">
        <v>190</v>
      </c>
      <c r="C38" s="6" t="s">
        <v>191</v>
      </c>
      <c r="D38" s="6" t="s">
        <v>105</v>
      </c>
      <c r="E38" s="6">
        <v>158.03</v>
      </c>
      <c r="F38" s="6">
        <v>50.89</v>
      </c>
      <c r="G38" s="6">
        <v>8042.15</v>
      </c>
      <c r="H38" s="6">
        <v>0.16</v>
      </c>
      <c r="I38" s="6">
        <v>25.28</v>
      </c>
    </row>
    <row r="39" spans="2:9" ht="15.75" customHeight="1" x14ac:dyDescent="0.25">
      <c r="B39" s="6" t="s">
        <v>192</v>
      </c>
      <c r="C39" s="6" t="s">
        <v>154</v>
      </c>
      <c r="D39" s="6" t="s">
        <v>155</v>
      </c>
      <c r="E39" s="6">
        <v>40041.4</v>
      </c>
      <c r="F39" s="6">
        <v>1.1299999999999999</v>
      </c>
      <c r="G39" s="6">
        <v>45246.78</v>
      </c>
      <c r="H39" s="6">
        <v>1</v>
      </c>
      <c r="I39" s="6">
        <v>40041.4</v>
      </c>
    </row>
    <row r="40" spans="2:9" ht="15.75" customHeight="1" x14ac:dyDescent="0.25">
      <c r="B40" s="6" t="s">
        <v>193</v>
      </c>
      <c r="C40" s="6" t="s">
        <v>157</v>
      </c>
      <c r="D40" s="6" t="s">
        <v>105</v>
      </c>
      <c r="E40" s="6">
        <v>1622.51</v>
      </c>
      <c r="F40" s="6">
        <v>2.74</v>
      </c>
      <c r="G40" s="6">
        <v>4445.68</v>
      </c>
      <c r="H40" s="6">
        <v>0</v>
      </c>
      <c r="I40" s="6">
        <v>0</v>
      </c>
    </row>
    <row r="41" spans="2:9" ht="15.75" customHeight="1" x14ac:dyDescent="0.25">
      <c r="B41" s="7" t="s">
        <v>45</v>
      </c>
      <c r="C41" s="7" t="s">
        <v>194</v>
      </c>
      <c r="D41" s="1"/>
      <c r="E41" s="1"/>
      <c r="F41" s="1"/>
      <c r="G41" s="7">
        <v>219909.74</v>
      </c>
      <c r="H41" s="1"/>
      <c r="I41" s="7">
        <v>28851.39</v>
      </c>
    </row>
    <row r="42" spans="2:9" ht="15.75" customHeight="1" x14ac:dyDescent="0.25">
      <c r="B42" s="6" t="s">
        <v>195</v>
      </c>
      <c r="C42" s="6" t="s">
        <v>196</v>
      </c>
      <c r="D42" s="6" t="s">
        <v>102</v>
      </c>
      <c r="E42" s="6">
        <v>226.81</v>
      </c>
      <c r="F42" s="6">
        <v>384.46</v>
      </c>
      <c r="G42" s="6">
        <v>87199.37</v>
      </c>
      <c r="H42" s="6">
        <v>0</v>
      </c>
      <c r="I42" s="6">
        <v>0</v>
      </c>
    </row>
    <row r="43" spans="2:9" ht="15.75" customHeight="1" x14ac:dyDescent="0.25">
      <c r="B43" s="6" t="s">
        <v>197</v>
      </c>
      <c r="C43" s="6" t="s">
        <v>198</v>
      </c>
      <c r="D43" s="6" t="s">
        <v>105</v>
      </c>
      <c r="E43" s="6">
        <v>1107.32</v>
      </c>
      <c r="F43" s="6">
        <v>79.67</v>
      </c>
      <c r="G43" s="6">
        <v>88220.18</v>
      </c>
      <c r="H43" s="6">
        <v>0</v>
      </c>
      <c r="I43" s="6">
        <v>0</v>
      </c>
    </row>
    <row r="44" spans="2:9" ht="15.75" customHeight="1" x14ac:dyDescent="0.25">
      <c r="B44" s="6" t="s">
        <v>199</v>
      </c>
      <c r="C44" s="6" t="s">
        <v>200</v>
      </c>
      <c r="D44" s="6" t="s">
        <v>105</v>
      </c>
      <c r="E44" s="6">
        <v>87.69</v>
      </c>
      <c r="F44" s="6">
        <v>98.23</v>
      </c>
      <c r="G44" s="6">
        <v>8613.7900000000009</v>
      </c>
      <c r="H44" s="6">
        <v>0</v>
      </c>
      <c r="I44" s="6">
        <v>0</v>
      </c>
    </row>
    <row r="45" spans="2:9" ht="15.75" customHeight="1" x14ac:dyDescent="0.25">
      <c r="B45" s="6" t="s">
        <v>201</v>
      </c>
      <c r="C45" s="6" t="s">
        <v>154</v>
      </c>
      <c r="D45" s="6" t="s">
        <v>155</v>
      </c>
      <c r="E45" s="6">
        <v>28851.39</v>
      </c>
      <c r="F45" s="6">
        <v>1.1299999999999999</v>
      </c>
      <c r="G45" s="6">
        <v>32602.07</v>
      </c>
      <c r="H45" s="6">
        <v>1</v>
      </c>
      <c r="I45" s="6">
        <v>28851.39</v>
      </c>
    </row>
    <row r="46" spans="2:9" ht="15.75" customHeight="1" x14ac:dyDescent="0.25">
      <c r="B46" s="6" t="s">
        <v>202</v>
      </c>
      <c r="C46" s="6" t="s">
        <v>157</v>
      </c>
      <c r="D46" s="6" t="s">
        <v>105</v>
      </c>
      <c r="E46" s="6">
        <v>1195.01</v>
      </c>
      <c r="F46" s="6">
        <v>2.74</v>
      </c>
      <c r="G46" s="6">
        <v>3274.33</v>
      </c>
      <c r="H46" s="6">
        <v>0</v>
      </c>
      <c r="I46" s="6">
        <v>0</v>
      </c>
    </row>
    <row r="47" spans="2:9" ht="15.75" customHeight="1" x14ac:dyDescent="0.25">
      <c r="B47" s="7" t="s">
        <v>47</v>
      </c>
      <c r="C47" s="7" t="s">
        <v>203</v>
      </c>
      <c r="D47" s="1"/>
      <c r="E47" s="1"/>
      <c r="F47" s="1"/>
      <c r="G47" s="7">
        <v>24927.94</v>
      </c>
      <c r="H47" s="1"/>
      <c r="I47" s="7">
        <v>2115.71</v>
      </c>
    </row>
    <row r="48" spans="2:9" ht="15.75" customHeight="1" x14ac:dyDescent="0.25">
      <c r="B48" s="6" t="s">
        <v>204</v>
      </c>
      <c r="C48" s="6" t="s">
        <v>205</v>
      </c>
      <c r="D48" s="6" t="s">
        <v>102</v>
      </c>
      <c r="E48" s="6">
        <v>35.9</v>
      </c>
      <c r="F48" s="6">
        <v>384.46</v>
      </c>
      <c r="G48" s="6">
        <v>13802.11</v>
      </c>
      <c r="H48" s="6">
        <v>0</v>
      </c>
      <c r="I48" s="6">
        <v>0</v>
      </c>
    </row>
    <row r="49" spans="2:9" ht="15.75" customHeight="1" x14ac:dyDescent="0.25">
      <c r="B49" s="6" t="s">
        <v>206</v>
      </c>
      <c r="C49" s="6" t="s">
        <v>207</v>
      </c>
      <c r="D49" s="6" t="s">
        <v>105</v>
      </c>
      <c r="E49" s="6">
        <v>198.62</v>
      </c>
      <c r="F49" s="6">
        <v>33.03</v>
      </c>
      <c r="G49" s="6">
        <v>6560.42</v>
      </c>
      <c r="H49" s="6">
        <v>0.46</v>
      </c>
      <c r="I49" s="6">
        <v>91.37</v>
      </c>
    </row>
    <row r="50" spans="2:9" ht="15.75" customHeight="1" x14ac:dyDescent="0.25">
      <c r="B50" s="6" t="s">
        <v>208</v>
      </c>
      <c r="C50" s="6" t="s">
        <v>164</v>
      </c>
      <c r="D50" s="6" t="s">
        <v>155</v>
      </c>
      <c r="E50" s="6">
        <v>1276.75</v>
      </c>
      <c r="F50" s="6">
        <v>1.1299999999999999</v>
      </c>
      <c r="G50" s="6">
        <v>1442.73</v>
      </c>
      <c r="H50" s="6">
        <v>1</v>
      </c>
      <c r="I50" s="6">
        <v>1276.75</v>
      </c>
    </row>
    <row r="51" spans="2:9" ht="15.75" customHeight="1" x14ac:dyDescent="0.25">
      <c r="B51" s="6" t="s">
        <v>209</v>
      </c>
      <c r="C51" s="6" t="s">
        <v>210</v>
      </c>
      <c r="D51" s="6" t="s">
        <v>155</v>
      </c>
      <c r="E51" s="6">
        <v>747.59</v>
      </c>
      <c r="F51" s="6">
        <v>1.39</v>
      </c>
      <c r="G51" s="6">
        <v>1039.1500000000001</v>
      </c>
      <c r="H51" s="6">
        <v>1</v>
      </c>
      <c r="I51" s="6">
        <v>747.59</v>
      </c>
    </row>
    <row r="52" spans="2:9" ht="15.75" customHeight="1" x14ac:dyDescent="0.25">
      <c r="B52" s="6" t="s">
        <v>211</v>
      </c>
      <c r="C52" s="6" t="s">
        <v>157</v>
      </c>
      <c r="D52" s="6" t="s">
        <v>105</v>
      </c>
      <c r="E52" s="6">
        <v>198.62</v>
      </c>
      <c r="F52" s="6">
        <v>2.74</v>
      </c>
      <c r="G52" s="6">
        <v>544.22</v>
      </c>
      <c r="H52" s="6">
        <v>0</v>
      </c>
      <c r="I52" s="6">
        <v>0</v>
      </c>
    </row>
    <row r="53" spans="2:9" ht="15.75" customHeight="1" x14ac:dyDescent="0.25">
      <c r="B53" s="6" t="s">
        <v>212</v>
      </c>
      <c r="C53" s="6" t="s">
        <v>213</v>
      </c>
      <c r="D53" s="6" t="s">
        <v>105</v>
      </c>
      <c r="E53" s="6">
        <v>198.62</v>
      </c>
      <c r="F53" s="6">
        <v>7.75</v>
      </c>
      <c r="G53" s="6">
        <v>1539.31</v>
      </c>
      <c r="H53" s="6">
        <v>0</v>
      </c>
      <c r="I53" s="6">
        <v>0</v>
      </c>
    </row>
    <row r="54" spans="2:9" ht="15.75" customHeight="1" x14ac:dyDescent="0.25">
      <c r="B54" s="7" t="s">
        <v>49</v>
      </c>
      <c r="C54" s="7" t="s">
        <v>214</v>
      </c>
      <c r="D54" s="1"/>
      <c r="E54" s="1"/>
      <c r="F54" s="1"/>
      <c r="G54" s="7">
        <v>63176.76</v>
      </c>
      <c r="H54" s="1"/>
      <c r="I54" s="7">
        <v>3055.25</v>
      </c>
    </row>
    <row r="55" spans="2:9" ht="15.75" customHeight="1" x14ac:dyDescent="0.25">
      <c r="B55" s="6" t="s">
        <v>215</v>
      </c>
      <c r="C55" s="6" t="s">
        <v>216</v>
      </c>
      <c r="D55" s="6" t="s">
        <v>102</v>
      </c>
      <c r="E55" s="6">
        <v>30.89</v>
      </c>
      <c r="F55" s="6">
        <v>384.46</v>
      </c>
      <c r="G55" s="6">
        <v>11875.97</v>
      </c>
      <c r="H55" s="6">
        <v>0</v>
      </c>
      <c r="I55" s="6">
        <v>0</v>
      </c>
    </row>
    <row r="56" spans="2:9" ht="15.75" customHeight="1" x14ac:dyDescent="0.25">
      <c r="B56" s="6" t="s">
        <v>217</v>
      </c>
      <c r="C56" s="6" t="s">
        <v>218</v>
      </c>
      <c r="D56" s="6" t="s">
        <v>105</v>
      </c>
      <c r="E56" s="6">
        <v>447.65</v>
      </c>
      <c r="F56" s="6">
        <v>33.03</v>
      </c>
      <c r="G56" s="6">
        <v>14785.88</v>
      </c>
      <c r="H56" s="6">
        <v>0.46</v>
      </c>
      <c r="I56" s="6">
        <v>205.92</v>
      </c>
    </row>
    <row r="57" spans="2:9" ht="15.75" customHeight="1" x14ac:dyDescent="0.25">
      <c r="B57" s="6" t="s">
        <v>219</v>
      </c>
      <c r="C57" s="6" t="s">
        <v>164</v>
      </c>
      <c r="D57" s="6" t="s">
        <v>155</v>
      </c>
      <c r="E57" s="6">
        <v>1305.3900000000001</v>
      </c>
      <c r="F57" s="6">
        <v>1.1299999999999999</v>
      </c>
      <c r="G57" s="6">
        <v>1475.09</v>
      </c>
      <c r="H57" s="6">
        <v>1</v>
      </c>
      <c r="I57" s="6">
        <v>1305.3900000000001</v>
      </c>
    </row>
    <row r="58" spans="2:9" ht="15.75" customHeight="1" x14ac:dyDescent="0.25">
      <c r="B58" s="6" t="s">
        <v>220</v>
      </c>
      <c r="C58" s="6" t="s">
        <v>221</v>
      </c>
      <c r="D58" s="6" t="s">
        <v>155</v>
      </c>
      <c r="E58" s="6">
        <v>223.83</v>
      </c>
      <c r="F58" s="6">
        <v>1.1299999999999999</v>
      </c>
      <c r="G58" s="6">
        <v>252.93</v>
      </c>
      <c r="H58" s="6">
        <v>1</v>
      </c>
      <c r="I58" s="6">
        <v>223.83</v>
      </c>
    </row>
    <row r="59" spans="2:9" ht="15.75" customHeight="1" x14ac:dyDescent="0.25">
      <c r="B59" s="6" t="s">
        <v>222</v>
      </c>
      <c r="C59" s="6" t="s">
        <v>223</v>
      </c>
      <c r="D59" s="6" t="s">
        <v>155</v>
      </c>
      <c r="E59" s="6">
        <v>1320.11</v>
      </c>
      <c r="F59" s="6">
        <v>0</v>
      </c>
      <c r="G59" s="6">
        <v>0</v>
      </c>
      <c r="H59" s="6">
        <v>1</v>
      </c>
      <c r="I59" s="6">
        <v>1320.11</v>
      </c>
    </row>
    <row r="60" spans="2:9" ht="15.75" customHeight="1" x14ac:dyDescent="0.25">
      <c r="B60" s="6" t="s">
        <v>224</v>
      </c>
      <c r="C60" s="6" t="s">
        <v>225</v>
      </c>
      <c r="D60" s="6" t="s">
        <v>105</v>
      </c>
      <c r="E60" s="6">
        <v>447.65</v>
      </c>
      <c r="F60" s="6">
        <v>60.38</v>
      </c>
      <c r="G60" s="6">
        <v>27029.11</v>
      </c>
      <c r="H60" s="6">
        <v>0</v>
      </c>
      <c r="I60" s="6">
        <v>0</v>
      </c>
    </row>
    <row r="61" spans="2:9" ht="15.75" customHeight="1" x14ac:dyDescent="0.25">
      <c r="B61" s="6" t="s">
        <v>226</v>
      </c>
      <c r="C61" s="6" t="s">
        <v>227</v>
      </c>
      <c r="D61" s="6" t="s">
        <v>105</v>
      </c>
      <c r="E61" s="6">
        <v>447.65</v>
      </c>
      <c r="F61" s="6">
        <v>3.34</v>
      </c>
      <c r="G61" s="6">
        <v>1495.15</v>
      </c>
      <c r="H61" s="6">
        <v>0</v>
      </c>
      <c r="I61" s="6">
        <v>0</v>
      </c>
    </row>
    <row r="62" spans="2:9" ht="15.75" customHeight="1" x14ac:dyDescent="0.25">
      <c r="B62" s="6" t="s">
        <v>228</v>
      </c>
      <c r="C62" s="6" t="s">
        <v>229</v>
      </c>
      <c r="D62" s="6" t="s">
        <v>105</v>
      </c>
      <c r="E62" s="6">
        <v>447.65</v>
      </c>
      <c r="F62" s="6">
        <v>3.5</v>
      </c>
      <c r="G62" s="6">
        <v>1566.78</v>
      </c>
      <c r="H62" s="6">
        <v>0</v>
      </c>
      <c r="I62" s="6">
        <v>0</v>
      </c>
    </row>
    <row r="63" spans="2:9" ht="15.75" customHeight="1" x14ac:dyDescent="0.25">
      <c r="B63" s="6" t="s">
        <v>230</v>
      </c>
      <c r="C63" s="6" t="s">
        <v>157</v>
      </c>
      <c r="D63" s="6" t="s">
        <v>105</v>
      </c>
      <c r="E63" s="6">
        <v>447.65</v>
      </c>
      <c r="F63" s="6">
        <v>2.74</v>
      </c>
      <c r="G63" s="6">
        <v>1226.56</v>
      </c>
      <c r="H63" s="6">
        <v>0</v>
      </c>
      <c r="I63" s="6">
        <v>0</v>
      </c>
    </row>
    <row r="64" spans="2:9" ht="15.75" customHeight="1" x14ac:dyDescent="0.25">
      <c r="B64" s="6" t="s">
        <v>231</v>
      </c>
      <c r="C64" s="6" t="s">
        <v>213</v>
      </c>
      <c r="D64" s="6" t="s">
        <v>105</v>
      </c>
      <c r="E64" s="6">
        <v>447.65</v>
      </c>
      <c r="F64" s="6">
        <v>7.75</v>
      </c>
      <c r="G64" s="6">
        <v>3469.29</v>
      </c>
      <c r="H64" s="6">
        <v>0</v>
      </c>
      <c r="I64" s="6">
        <v>0</v>
      </c>
    </row>
    <row r="65" spans="2:9" ht="15.75" customHeight="1" x14ac:dyDescent="0.25">
      <c r="B65" s="7" t="s">
        <v>51</v>
      </c>
      <c r="C65" s="7" t="s">
        <v>232</v>
      </c>
      <c r="D65" s="1"/>
      <c r="E65" s="1"/>
      <c r="F65" s="1"/>
      <c r="G65" s="7">
        <v>393318.96</v>
      </c>
      <c r="H65" s="1"/>
      <c r="I65" s="7">
        <v>22888.03</v>
      </c>
    </row>
    <row r="66" spans="2:9" ht="15.75" customHeight="1" x14ac:dyDescent="0.25">
      <c r="B66" s="6" t="s">
        <v>233</v>
      </c>
      <c r="C66" s="6" t="s">
        <v>216</v>
      </c>
      <c r="D66" s="6" t="s">
        <v>102</v>
      </c>
      <c r="E66" s="6">
        <v>197.66</v>
      </c>
      <c r="F66" s="6">
        <v>384.46</v>
      </c>
      <c r="G66" s="6">
        <v>75992.36</v>
      </c>
      <c r="H66" s="6">
        <v>0</v>
      </c>
      <c r="I66" s="6">
        <v>0</v>
      </c>
    </row>
    <row r="67" spans="2:9" ht="15.75" customHeight="1" x14ac:dyDescent="0.25">
      <c r="B67" s="6" t="s">
        <v>234</v>
      </c>
      <c r="C67" s="6" t="s">
        <v>218</v>
      </c>
      <c r="D67" s="6" t="s">
        <v>105</v>
      </c>
      <c r="E67" s="6">
        <v>2630.68</v>
      </c>
      <c r="F67" s="6">
        <v>33.03</v>
      </c>
      <c r="G67" s="6">
        <v>86891.36</v>
      </c>
      <c r="H67" s="6">
        <v>0.46</v>
      </c>
      <c r="I67" s="6">
        <v>1210.1099999999999</v>
      </c>
    </row>
    <row r="68" spans="2:9" ht="15.75" customHeight="1" x14ac:dyDescent="0.25">
      <c r="B68" s="6" t="s">
        <v>235</v>
      </c>
      <c r="C68" s="6" t="s">
        <v>236</v>
      </c>
      <c r="D68" s="6" t="s">
        <v>105</v>
      </c>
      <c r="E68" s="6">
        <v>50.2</v>
      </c>
      <c r="F68" s="6">
        <v>38.130000000000003</v>
      </c>
      <c r="G68" s="6">
        <v>1914.13</v>
      </c>
      <c r="H68" s="6">
        <v>0.46</v>
      </c>
      <c r="I68" s="6">
        <v>23.09</v>
      </c>
    </row>
    <row r="69" spans="2:9" ht="15.75" customHeight="1" x14ac:dyDescent="0.25">
      <c r="B69" s="6" t="s">
        <v>237</v>
      </c>
      <c r="C69" s="6" t="s">
        <v>164</v>
      </c>
      <c r="D69" s="6" t="s">
        <v>155</v>
      </c>
      <c r="E69" s="6">
        <v>10226.370000000001</v>
      </c>
      <c r="F69" s="6">
        <v>1.1299999999999999</v>
      </c>
      <c r="G69" s="6">
        <v>11555.8</v>
      </c>
      <c r="H69" s="6">
        <v>1</v>
      </c>
      <c r="I69" s="6">
        <v>10226.370000000001</v>
      </c>
    </row>
    <row r="70" spans="2:9" ht="15.75" customHeight="1" x14ac:dyDescent="0.25">
      <c r="B70" s="6" t="s">
        <v>238</v>
      </c>
      <c r="C70" s="6" t="s">
        <v>221</v>
      </c>
      <c r="D70" s="6" t="s">
        <v>155</v>
      </c>
      <c r="E70" s="6">
        <v>1315.33</v>
      </c>
      <c r="F70" s="6">
        <v>1.1299999999999999</v>
      </c>
      <c r="G70" s="6">
        <v>1486.32</v>
      </c>
      <c r="H70" s="6">
        <v>1</v>
      </c>
      <c r="I70" s="6">
        <v>1315.33</v>
      </c>
    </row>
    <row r="71" spans="2:9" ht="15.75" customHeight="1" x14ac:dyDescent="0.25">
      <c r="B71" s="6" t="s">
        <v>239</v>
      </c>
      <c r="C71" s="6" t="s">
        <v>223</v>
      </c>
      <c r="D71" s="6" t="s">
        <v>155</v>
      </c>
      <c r="E71" s="6">
        <v>10113.129999999999</v>
      </c>
      <c r="F71" s="6">
        <v>0</v>
      </c>
      <c r="G71" s="6">
        <v>0</v>
      </c>
      <c r="H71" s="6">
        <v>1</v>
      </c>
      <c r="I71" s="6">
        <v>10113.129999999999</v>
      </c>
    </row>
    <row r="72" spans="2:9" ht="15.75" customHeight="1" x14ac:dyDescent="0.25">
      <c r="B72" s="6" t="s">
        <v>240</v>
      </c>
      <c r="C72" s="6" t="s">
        <v>241</v>
      </c>
      <c r="D72" s="6" t="s">
        <v>105</v>
      </c>
      <c r="E72" s="6">
        <v>2630.68</v>
      </c>
      <c r="F72" s="6">
        <v>64.58</v>
      </c>
      <c r="G72" s="6">
        <v>169889.31</v>
      </c>
      <c r="H72" s="6">
        <v>0</v>
      </c>
      <c r="I72" s="6">
        <v>0</v>
      </c>
    </row>
    <row r="73" spans="2:9" ht="15.75" customHeight="1" x14ac:dyDescent="0.25">
      <c r="B73" s="6" t="s">
        <v>242</v>
      </c>
      <c r="C73" s="6" t="s">
        <v>227</v>
      </c>
      <c r="D73" s="6" t="s">
        <v>105</v>
      </c>
      <c r="E73" s="6">
        <v>2630.68</v>
      </c>
      <c r="F73" s="6">
        <v>3.34</v>
      </c>
      <c r="G73" s="6">
        <v>8786.4699999999993</v>
      </c>
      <c r="H73" s="6">
        <v>0</v>
      </c>
      <c r="I73" s="6">
        <v>0</v>
      </c>
    </row>
    <row r="74" spans="2:9" ht="15.75" customHeight="1" x14ac:dyDescent="0.25">
      <c r="B74" s="6" t="s">
        <v>243</v>
      </c>
      <c r="C74" s="6" t="s">
        <v>229</v>
      </c>
      <c r="D74" s="6" t="s">
        <v>105</v>
      </c>
      <c r="E74" s="6">
        <v>2630.68</v>
      </c>
      <c r="F74" s="6">
        <v>3.5</v>
      </c>
      <c r="G74" s="6">
        <v>9207.3799999999992</v>
      </c>
      <c r="H74" s="6">
        <v>0</v>
      </c>
      <c r="I74" s="6">
        <v>0</v>
      </c>
    </row>
    <row r="75" spans="2:9" ht="15.75" customHeight="1" x14ac:dyDescent="0.25">
      <c r="B75" s="6" t="s">
        <v>244</v>
      </c>
      <c r="C75" s="6" t="s">
        <v>157</v>
      </c>
      <c r="D75" s="6" t="s">
        <v>105</v>
      </c>
      <c r="E75" s="6">
        <v>2630.68</v>
      </c>
      <c r="F75" s="6">
        <v>2.74</v>
      </c>
      <c r="G75" s="6">
        <v>7208.06</v>
      </c>
      <c r="H75" s="6">
        <v>0</v>
      </c>
      <c r="I75" s="6">
        <v>0</v>
      </c>
    </row>
    <row r="76" spans="2:9" ht="15.75" customHeight="1" x14ac:dyDescent="0.25">
      <c r="B76" s="6" t="s">
        <v>245</v>
      </c>
      <c r="C76" s="6" t="s">
        <v>213</v>
      </c>
      <c r="D76" s="6" t="s">
        <v>105</v>
      </c>
      <c r="E76" s="6">
        <v>2630.68</v>
      </c>
      <c r="F76" s="6">
        <v>7.75</v>
      </c>
      <c r="G76" s="6">
        <v>20387.77</v>
      </c>
      <c r="H76" s="6">
        <v>0</v>
      </c>
      <c r="I76" s="6">
        <v>0</v>
      </c>
    </row>
    <row r="77" spans="2:9" ht="15.75" customHeight="1" x14ac:dyDescent="0.25">
      <c r="B77" s="7" t="s">
        <v>53</v>
      </c>
      <c r="C77" s="7" t="s">
        <v>246</v>
      </c>
      <c r="D77" s="1"/>
      <c r="E77" s="1"/>
      <c r="F77" s="1"/>
      <c r="G77" s="7">
        <v>26710.400000000001</v>
      </c>
      <c r="H77" s="1"/>
      <c r="I77" s="7">
        <v>1776.66</v>
      </c>
    </row>
    <row r="78" spans="2:9" ht="15.75" customHeight="1" x14ac:dyDescent="0.25">
      <c r="B78" s="6" t="s">
        <v>247</v>
      </c>
      <c r="C78" s="6" t="s">
        <v>216</v>
      </c>
      <c r="D78" s="6" t="s">
        <v>102</v>
      </c>
      <c r="E78" s="6">
        <v>15.6</v>
      </c>
      <c r="F78" s="6">
        <v>384.46</v>
      </c>
      <c r="G78" s="6">
        <v>5997.58</v>
      </c>
      <c r="H78" s="6">
        <v>0</v>
      </c>
      <c r="I78" s="6">
        <v>0</v>
      </c>
    </row>
    <row r="79" spans="2:9" ht="15.75" customHeight="1" x14ac:dyDescent="0.25">
      <c r="B79" s="6" t="s">
        <v>248</v>
      </c>
      <c r="C79" s="6" t="s">
        <v>249</v>
      </c>
      <c r="D79" s="6" t="s">
        <v>105</v>
      </c>
      <c r="E79" s="6">
        <v>158.38999999999999</v>
      </c>
      <c r="F79" s="6">
        <v>33.03</v>
      </c>
      <c r="G79" s="6">
        <v>5231.62</v>
      </c>
      <c r="H79" s="6">
        <v>0.46</v>
      </c>
      <c r="I79" s="6">
        <v>72.86</v>
      </c>
    </row>
    <row r="80" spans="2:9" ht="15.75" customHeight="1" x14ac:dyDescent="0.25">
      <c r="B80" s="6" t="s">
        <v>250</v>
      </c>
      <c r="C80" s="6" t="s">
        <v>164</v>
      </c>
      <c r="D80" s="6" t="s">
        <v>155</v>
      </c>
      <c r="E80" s="6">
        <v>889.51</v>
      </c>
      <c r="F80" s="6">
        <v>1.1299999999999999</v>
      </c>
      <c r="G80" s="6">
        <v>1005.15</v>
      </c>
      <c r="H80" s="6">
        <v>1</v>
      </c>
      <c r="I80" s="6">
        <v>889.51</v>
      </c>
    </row>
    <row r="81" spans="2:9" ht="15.75" customHeight="1" x14ac:dyDescent="0.25">
      <c r="B81" s="6" t="s">
        <v>251</v>
      </c>
      <c r="C81" s="6" t="s">
        <v>221</v>
      </c>
      <c r="D81" s="6" t="s">
        <v>155</v>
      </c>
      <c r="E81" s="6">
        <v>79.19</v>
      </c>
      <c r="F81" s="6">
        <v>1.1299999999999999</v>
      </c>
      <c r="G81" s="6">
        <v>89.48</v>
      </c>
      <c r="H81" s="6">
        <v>1</v>
      </c>
      <c r="I81" s="6">
        <v>79.19</v>
      </c>
    </row>
    <row r="82" spans="2:9" ht="15.75" customHeight="1" x14ac:dyDescent="0.25">
      <c r="B82" s="6" t="s">
        <v>252</v>
      </c>
      <c r="C82" s="6" t="s">
        <v>253</v>
      </c>
      <c r="D82" s="6" t="s">
        <v>155</v>
      </c>
      <c r="E82" s="6">
        <v>735.1</v>
      </c>
      <c r="F82" s="6">
        <v>0</v>
      </c>
      <c r="G82" s="6">
        <v>0</v>
      </c>
      <c r="H82" s="6">
        <v>1</v>
      </c>
      <c r="I82" s="6">
        <v>735.1</v>
      </c>
    </row>
    <row r="83" spans="2:9" ht="15.75" customHeight="1" x14ac:dyDescent="0.25">
      <c r="B83" s="6" t="s">
        <v>254</v>
      </c>
      <c r="C83" s="6" t="s">
        <v>255</v>
      </c>
      <c r="D83" s="6" t="s">
        <v>105</v>
      </c>
      <c r="E83" s="6">
        <v>158.38999999999999</v>
      </c>
      <c r="F83" s="6">
        <v>73.5</v>
      </c>
      <c r="G83" s="6">
        <v>11641.67</v>
      </c>
      <c r="H83" s="6">
        <v>0</v>
      </c>
      <c r="I83" s="6">
        <v>0</v>
      </c>
    </row>
    <row r="84" spans="2:9" ht="15.75" customHeight="1" x14ac:dyDescent="0.25">
      <c r="B84" s="6" t="s">
        <v>256</v>
      </c>
      <c r="C84" s="6" t="s">
        <v>227</v>
      </c>
      <c r="D84" s="6" t="s">
        <v>105</v>
      </c>
      <c r="E84" s="6">
        <v>158.38999999999999</v>
      </c>
      <c r="F84" s="6">
        <v>3.34</v>
      </c>
      <c r="G84" s="6">
        <v>529.02</v>
      </c>
      <c r="H84" s="6">
        <v>0</v>
      </c>
      <c r="I84" s="6">
        <v>0</v>
      </c>
    </row>
    <row r="85" spans="2:9" ht="15.75" customHeight="1" x14ac:dyDescent="0.25">
      <c r="B85" s="6" t="s">
        <v>257</v>
      </c>
      <c r="C85" s="6" t="s">
        <v>229</v>
      </c>
      <c r="D85" s="6" t="s">
        <v>105</v>
      </c>
      <c r="E85" s="6">
        <v>158.38999999999999</v>
      </c>
      <c r="F85" s="6">
        <v>3.5</v>
      </c>
      <c r="G85" s="6">
        <v>554.37</v>
      </c>
      <c r="H85" s="6">
        <v>0</v>
      </c>
      <c r="I85" s="6">
        <v>0</v>
      </c>
    </row>
    <row r="86" spans="2:9" ht="15.75" customHeight="1" x14ac:dyDescent="0.25">
      <c r="B86" s="6" t="s">
        <v>258</v>
      </c>
      <c r="C86" s="6" t="s">
        <v>157</v>
      </c>
      <c r="D86" s="6" t="s">
        <v>105</v>
      </c>
      <c r="E86" s="6">
        <v>158.38999999999999</v>
      </c>
      <c r="F86" s="6">
        <v>2.74</v>
      </c>
      <c r="G86" s="6">
        <v>433.99</v>
      </c>
      <c r="H86" s="6">
        <v>0</v>
      </c>
      <c r="I86" s="6">
        <v>0</v>
      </c>
    </row>
    <row r="87" spans="2:9" ht="15.75" customHeight="1" x14ac:dyDescent="0.25">
      <c r="B87" s="6" t="s">
        <v>259</v>
      </c>
      <c r="C87" s="6" t="s">
        <v>213</v>
      </c>
      <c r="D87" s="6" t="s">
        <v>105</v>
      </c>
      <c r="E87" s="6">
        <v>158.38999999999999</v>
      </c>
      <c r="F87" s="6">
        <v>7.75</v>
      </c>
      <c r="G87" s="6">
        <v>1227.52</v>
      </c>
      <c r="H87" s="6">
        <v>0</v>
      </c>
      <c r="I87" s="6">
        <v>0</v>
      </c>
    </row>
    <row r="88" spans="2:9" ht="15.75" customHeight="1" x14ac:dyDescent="0.25">
      <c r="B88" s="7" t="s">
        <v>55</v>
      </c>
      <c r="C88" s="7" t="s">
        <v>260</v>
      </c>
      <c r="D88" s="1"/>
      <c r="E88" s="1"/>
      <c r="F88" s="1"/>
      <c r="G88" s="7">
        <v>34209.519999999997</v>
      </c>
      <c r="H88" s="1"/>
      <c r="I88" s="7">
        <v>2842.85</v>
      </c>
    </row>
    <row r="89" spans="2:9" ht="15.75" customHeight="1" x14ac:dyDescent="0.25">
      <c r="B89" s="6" t="s">
        <v>261</v>
      </c>
      <c r="C89" s="6" t="s">
        <v>216</v>
      </c>
      <c r="D89" s="6" t="s">
        <v>102</v>
      </c>
      <c r="E89" s="6">
        <v>4.03</v>
      </c>
      <c r="F89" s="6">
        <v>384.46</v>
      </c>
      <c r="G89" s="6">
        <v>1549.37</v>
      </c>
      <c r="H89" s="6">
        <v>0</v>
      </c>
      <c r="I89" s="6">
        <v>0</v>
      </c>
    </row>
    <row r="90" spans="2:9" ht="15.75" customHeight="1" x14ac:dyDescent="0.25">
      <c r="B90" s="6" t="s">
        <v>262</v>
      </c>
      <c r="C90" s="6" t="s">
        <v>249</v>
      </c>
      <c r="D90" s="6" t="s">
        <v>105</v>
      </c>
      <c r="E90" s="6">
        <v>274.75</v>
      </c>
      <c r="F90" s="6">
        <v>33.03</v>
      </c>
      <c r="G90" s="6">
        <v>9074.99</v>
      </c>
      <c r="H90" s="6">
        <v>0.46</v>
      </c>
      <c r="I90" s="6">
        <v>126.39</v>
      </c>
    </row>
    <row r="91" spans="2:9" ht="15.75" customHeight="1" x14ac:dyDescent="0.25">
      <c r="B91" s="6" t="s">
        <v>263</v>
      </c>
      <c r="C91" s="6" t="s">
        <v>164</v>
      </c>
      <c r="D91" s="6" t="s">
        <v>155</v>
      </c>
      <c r="E91" s="6">
        <v>818.7</v>
      </c>
      <c r="F91" s="6">
        <v>1.1299999999999999</v>
      </c>
      <c r="G91" s="6">
        <v>925.13</v>
      </c>
      <c r="H91" s="6">
        <v>1</v>
      </c>
      <c r="I91" s="6">
        <v>818.7</v>
      </c>
    </row>
    <row r="92" spans="2:9" ht="15.75" customHeight="1" x14ac:dyDescent="0.25">
      <c r="B92" s="6" t="s">
        <v>264</v>
      </c>
      <c r="C92" s="6" t="s">
        <v>253</v>
      </c>
      <c r="D92" s="6" t="s">
        <v>155</v>
      </c>
      <c r="E92" s="6">
        <v>1760.38</v>
      </c>
      <c r="F92" s="6">
        <v>0</v>
      </c>
      <c r="G92" s="6">
        <v>0</v>
      </c>
      <c r="H92" s="6">
        <v>1</v>
      </c>
      <c r="I92" s="6">
        <v>1760.38</v>
      </c>
    </row>
    <row r="93" spans="2:9" ht="15.75" customHeight="1" x14ac:dyDescent="0.25">
      <c r="B93" s="6" t="s">
        <v>265</v>
      </c>
      <c r="C93" s="6" t="s">
        <v>221</v>
      </c>
      <c r="D93" s="6" t="s">
        <v>155</v>
      </c>
      <c r="E93" s="6">
        <v>137.38</v>
      </c>
      <c r="F93" s="6">
        <v>1.1299999999999999</v>
      </c>
      <c r="G93" s="6">
        <v>155.24</v>
      </c>
      <c r="H93" s="6">
        <v>1</v>
      </c>
      <c r="I93" s="6">
        <v>137.38</v>
      </c>
    </row>
    <row r="94" spans="2:9" ht="15.75" customHeight="1" x14ac:dyDescent="0.25">
      <c r="B94" s="6" t="s">
        <v>266</v>
      </c>
      <c r="C94" s="6" t="s">
        <v>267</v>
      </c>
      <c r="D94" s="6" t="s">
        <v>105</v>
      </c>
      <c r="E94" s="6">
        <v>274.75</v>
      </c>
      <c r="F94" s="6">
        <v>64.58</v>
      </c>
      <c r="G94" s="6">
        <v>17743.36</v>
      </c>
      <c r="H94" s="6">
        <v>0</v>
      </c>
      <c r="I94" s="6">
        <v>0</v>
      </c>
    </row>
    <row r="95" spans="2:9" ht="15.75" customHeight="1" x14ac:dyDescent="0.25">
      <c r="B95" s="6" t="s">
        <v>268</v>
      </c>
      <c r="C95" s="6" t="s">
        <v>227</v>
      </c>
      <c r="D95" s="6" t="s">
        <v>105</v>
      </c>
      <c r="E95" s="6">
        <v>274.75</v>
      </c>
      <c r="F95" s="6">
        <v>3.34</v>
      </c>
      <c r="G95" s="6">
        <v>917.67</v>
      </c>
      <c r="H95" s="6">
        <v>0</v>
      </c>
      <c r="I95" s="6">
        <v>0</v>
      </c>
    </row>
    <row r="96" spans="2:9" ht="15.75" customHeight="1" x14ac:dyDescent="0.25">
      <c r="B96" s="6" t="s">
        <v>269</v>
      </c>
      <c r="C96" s="6" t="s">
        <v>229</v>
      </c>
      <c r="D96" s="6" t="s">
        <v>105</v>
      </c>
      <c r="E96" s="6">
        <v>274.75</v>
      </c>
      <c r="F96" s="6">
        <v>3.5</v>
      </c>
      <c r="G96" s="6">
        <v>961.63</v>
      </c>
      <c r="H96" s="6">
        <v>0</v>
      </c>
      <c r="I96" s="6">
        <v>0</v>
      </c>
    </row>
    <row r="97" spans="2:9" ht="15.75" customHeight="1" x14ac:dyDescent="0.25">
      <c r="B97" s="6" t="s">
        <v>270</v>
      </c>
      <c r="C97" s="6" t="s">
        <v>157</v>
      </c>
      <c r="D97" s="6" t="s">
        <v>105</v>
      </c>
      <c r="E97" s="6">
        <v>274.75</v>
      </c>
      <c r="F97" s="6">
        <v>2.74</v>
      </c>
      <c r="G97" s="6">
        <v>752.82</v>
      </c>
      <c r="H97" s="6">
        <v>0</v>
      </c>
      <c r="I97" s="6">
        <v>0</v>
      </c>
    </row>
    <row r="98" spans="2:9" ht="15.75" customHeight="1" x14ac:dyDescent="0.25">
      <c r="B98" s="6" t="s">
        <v>271</v>
      </c>
      <c r="C98" s="6" t="s">
        <v>213</v>
      </c>
      <c r="D98" s="6" t="s">
        <v>105</v>
      </c>
      <c r="E98" s="6">
        <v>274.75</v>
      </c>
      <c r="F98" s="6">
        <v>7.75</v>
      </c>
      <c r="G98" s="6">
        <v>2129.31</v>
      </c>
      <c r="H98" s="6">
        <v>0</v>
      </c>
      <c r="I98" s="6">
        <v>0</v>
      </c>
    </row>
    <row r="99" spans="2:9" ht="15.75" customHeight="1" x14ac:dyDescent="0.25">
      <c r="B99" s="7" t="s">
        <v>57</v>
      </c>
      <c r="C99" s="7" t="s">
        <v>272</v>
      </c>
      <c r="D99" s="1"/>
      <c r="E99" s="1"/>
      <c r="F99" s="1"/>
      <c r="G99" s="7">
        <v>144481.68</v>
      </c>
      <c r="H99" s="1"/>
      <c r="I99" s="7">
        <v>16718.849999999999</v>
      </c>
    </row>
    <row r="100" spans="2:9" ht="15.75" customHeight="1" x14ac:dyDescent="0.25">
      <c r="B100" s="6" t="s">
        <v>273</v>
      </c>
      <c r="C100" s="6" t="s">
        <v>216</v>
      </c>
      <c r="D100" s="6" t="s">
        <v>102</v>
      </c>
      <c r="E100" s="6">
        <v>177.46</v>
      </c>
      <c r="F100" s="6">
        <v>384.46</v>
      </c>
      <c r="G100" s="6">
        <v>68226.27</v>
      </c>
      <c r="H100" s="6">
        <v>0</v>
      </c>
      <c r="I100" s="6">
        <v>0</v>
      </c>
    </row>
    <row r="101" spans="2:9" ht="15.75" customHeight="1" x14ac:dyDescent="0.25">
      <c r="B101" s="6" t="s">
        <v>274</v>
      </c>
      <c r="C101" s="6" t="s">
        <v>249</v>
      </c>
      <c r="D101" s="6" t="s">
        <v>105</v>
      </c>
      <c r="E101" s="6">
        <v>609.84</v>
      </c>
      <c r="F101" s="6">
        <v>33.03</v>
      </c>
      <c r="G101" s="6">
        <v>20143.02</v>
      </c>
      <c r="H101" s="6">
        <v>0.46</v>
      </c>
      <c r="I101" s="6">
        <v>280.52999999999997</v>
      </c>
    </row>
    <row r="102" spans="2:9" ht="15.75" customHeight="1" x14ac:dyDescent="0.25">
      <c r="B102" s="6" t="s">
        <v>275</v>
      </c>
      <c r="C102" s="6" t="s">
        <v>276</v>
      </c>
      <c r="D102" s="6" t="s">
        <v>105</v>
      </c>
      <c r="E102" s="6">
        <v>41.48</v>
      </c>
      <c r="F102" s="6">
        <v>38.130000000000003</v>
      </c>
      <c r="G102" s="6">
        <v>1581.63</v>
      </c>
      <c r="H102" s="6">
        <v>0.46</v>
      </c>
      <c r="I102" s="6">
        <v>19.079999999999998</v>
      </c>
    </row>
    <row r="103" spans="2:9" ht="15.75" customHeight="1" x14ac:dyDescent="0.25">
      <c r="B103" s="6" t="s">
        <v>277</v>
      </c>
      <c r="C103" s="6" t="s">
        <v>164</v>
      </c>
      <c r="D103" s="6" t="s">
        <v>155</v>
      </c>
      <c r="E103" s="6">
        <v>10402.049999999999</v>
      </c>
      <c r="F103" s="6">
        <v>1.1299999999999999</v>
      </c>
      <c r="G103" s="6">
        <v>11754.32</v>
      </c>
      <c r="H103" s="6">
        <v>1</v>
      </c>
      <c r="I103" s="6">
        <v>10402.049999999999</v>
      </c>
    </row>
    <row r="104" spans="2:9" ht="15.75" customHeight="1" x14ac:dyDescent="0.25">
      <c r="B104" s="6" t="s">
        <v>278</v>
      </c>
      <c r="C104" s="6" t="s">
        <v>279</v>
      </c>
      <c r="D104" s="6" t="s">
        <v>155</v>
      </c>
      <c r="E104" s="6">
        <v>1302.6300000000001</v>
      </c>
      <c r="F104" s="6">
        <v>1.1299999999999999</v>
      </c>
      <c r="G104" s="6">
        <v>1471.97</v>
      </c>
      <c r="H104" s="6">
        <v>1</v>
      </c>
      <c r="I104" s="6">
        <v>1302.6300000000001</v>
      </c>
    </row>
    <row r="105" spans="2:9" ht="15.75" customHeight="1" x14ac:dyDescent="0.25">
      <c r="B105" s="6" t="s">
        <v>280</v>
      </c>
      <c r="C105" s="6" t="s">
        <v>253</v>
      </c>
      <c r="D105" s="6" t="s">
        <v>155</v>
      </c>
      <c r="E105" s="6">
        <v>4714.5600000000004</v>
      </c>
      <c r="F105" s="6">
        <v>0</v>
      </c>
      <c r="G105" s="6">
        <v>0</v>
      </c>
      <c r="H105" s="6">
        <v>1</v>
      </c>
      <c r="I105" s="6">
        <v>4714.5600000000004</v>
      </c>
    </row>
    <row r="106" spans="2:9" ht="15.75" customHeight="1" x14ac:dyDescent="0.25">
      <c r="B106" s="6" t="s">
        <v>281</v>
      </c>
      <c r="C106" s="6" t="s">
        <v>282</v>
      </c>
      <c r="D106" s="6" t="s">
        <v>105</v>
      </c>
      <c r="E106" s="6">
        <v>609.84</v>
      </c>
      <c r="F106" s="6">
        <v>50.4</v>
      </c>
      <c r="G106" s="6">
        <v>30735.94</v>
      </c>
      <c r="H106" s="6">
        <v>0</v>
      </c>
      <c r="I106" s="6">
        <v>0</v>
      </c>
    </row>
    <row r="107" spans="2:9" ht="15.75" customHeight="1" x14ac:dyDescent="0.25">
      <c r="B107" s="6" t="s">
        <v>283</v>
      </c>
      <c r="C107" s="6" t="s">
        <v>227</v>
      </c>
      <c r="D107" s="6" t="s">
        <v>105</v>
      </c>
      <c r="E107" s="6">
        <v>609.84</v>
      </c>
      <c r="F107" s="6">
        <v>3.34</v>
      </c>
      <c r="G107" s="6">
        <v>2036.87</v>
      </c>
      <c r="H107" s="6">
        <v>0</v>
      </c>
      <c r="I107" s="6">
        <v>0</v>
      </c>
    </row>
    <row r="108" spans="2:9" ht="15.75" customHeight="1" x14ac:dyDescent="0.25">
      <c r="B108" s="6" t="s">
        <v>284</v>
      </c>
      <c r="C108" s="6" t="s">
        <v>229</v>
      </c>
      <c r="D108" s="6" t="s">
        <v>105</v>
      </c>
      <c r="E108" s="6">
        <v>609.84</v>
      </c>
      <c r="F108" s="6">
        <v>3.5</v>
      </c>
      <c r="G108" s="6">
        <v>2134.44</v>
      </c>
      <c r="H108" s="6">
        <v>0</v>
      </c>
      <c r="I108" s="6">
        <v>0</v>
      </c>
    </row>
    <row r="109" spans="2:9" ht="15.75" customHeight="1" x14ac:dyDescent="0.25">
      <c r="B109" s="6" t="s">
        <v>285</v>
      </c>
      <c r="C109" s="6" t="s">
        <v>157</v>
      </c>
      <c r="D109" s="6" t="s">
        <v>105</v>
      </c>
      <c r="E109" s="6">
        <v>609.84</v>
      </c>
      <c r="F109" s="6">
        <v>2.74</v>
      </c>
      <c r="G109" s="6">
        <v>1670.96</v>
      </c>
      <c r="H109" s="6">
        <v>0</v>
      </c>
      <c r="I109" s="6">
        <v>0</v>
      </c>
    </row>
    <row r="110" spans="2:9" ht="15.75" customHeight="1" x14ac:dyDescent="0.25">
      <c r="B110" s="6" t="s">
        <v>286</v>
      </c>
      <c r="C110" s="6" t="s">
        <v>213</v>
      </c>
      <c r="D110" s="6" t="s">
        <v>105</v>
      </c>
      <c r="E110" s="6">
        <v>609.84</v>
      </c>
      <c r="F110" s="6">
        <v>7.75</v>
      </c>
      <c r="G110" s="6">
        <v>4726.26</v>
      </c>
      <c r="H110" s="6">
        <v>0</v>
      </c>
      <c r="I110" s="6">
        <v>0</v>
      </c>
    </row>
    <row r="111" spans="2:9" ht="15.75" customHeight="1" x14ac:dyDescent="0.25">
      <c r="B111" s="7" t="s">
        <v>59</v>
      </c>
      <c r="C111" s="7" t="s">
        <v>287</v>
      </c>
      <c r="D111" s="1"/>
      <c r="E111" s="1"/>
      <c r="F111" s="1"/>
      <c r="G111" s="7">
        <v>5995.25</v>
      </c>
      <c r="H111" s="1"/>
      <c r="I111" s="7">
        <v>305.52999999999997</v>
      </c>
    </row>
    <row r="112" spans="2:9" ht="15.75" customHeight="1" x14ac:dyDescent="0.25">
      <c r="B112" s="6" t="s">
        <v>288</v>
      </c>
      <c r="C112" s="6" t="s">
        <v>216</v>
      </c>
      <c r="D112" s="6" t="s">
        <v>102</v>
      </c>
      <c r="E112" s="6">
        <v>3.58</v>
      </c>
      <c r="F112" s="6">
        <v>384.46</v>
      </c>
      <c r="G112" s="6">
        <v>1376.37</v>
      </c>
      <c r="H112" s="6">
        <v>0</v>
      </c>
      <c r="I112" s="6">
        <v>0</v>
      </c>
    </row>
    <row r="113" spans="2:9" ht="15.75" customHeight="1" x14ac:dyDescent="0.25">
      <c r="B113" s="6" t="s">
        <v>289</v>
      </c>
      <c r="C113" s="6" t="s">
        <v>249</v>
      </c>
      <c r="D113" s="6" t="s">
        <v>105</v>
      </c>
      <c r="E113" s="6">
        <v>38.07</v>
      </c>
      <c r="F113" s="6">
        <v>33.03</v>
      </c>
      <c r="G113" s="6">
        <v>1257.45</v>
      </c>
      <c r="H113" s="6">
        <v>0.46</v>
      </c>
      <c r="I113" s="6">
        <v>17.510000000000002</v>
      </c>
    </row>
    <row r="114" spans="2:9" ht="15.75" customHeight="1" x14ac:dyDescent="0.25">
      <c r="B114" s="6" t="s">
        <v>290</v>
      </c>
      <c r="C114" s="6" t="s">
        <v>164</v>
      </c>
      <c r="D114" s="6" t="s">
        <v>155</v>
      </c>
      <c r="E114" s="6">
        <v>196.11</v>
      </c>
      <c r="F114" s="6">
        <v>1.1299999999999999</v>
      </c>
      <c r="G114" s="6">
        <v>221.6</v>
      </c>
      <c r="H114" s="6">
        <v>1</v>
      </c>
      <c r="I114" s="6">
        <v>196.11</v>
      </c>
    </row>
    <row r="115" spans="2:9" ht="15.75" customHeight="1" x14ac:dyDescent="0.25">
      <c r="B115" s="6" t="s">
        <v>291</v>
      </c>
      <c r="C115" s="6" t="s">
        <v>279</v>
      </c>
      <c r="D115" s="6" t="s">
        <v>155</v>
      </c>
      <c r="E115" s="6">
        <v>19.04</v>
      </c>
      <c r="F115" s="6">
        <v>1.1299999999999999</v>
      </c>
      <c r="G115" s="6">
        <v>21.52</v>
      </c>
      <c r="H115" s="6">
        <v>1</v>
      </c>
      <c r="I115" s="6">
        <v>19.04</v>
      </c>
    </row>
    <row r="116" spans="2:9" ht="15.75" customHeight="1" x14ac:dyDescent="0.25">
      <c r="B116" s="6" t="s">
        <v>292</v>
      </c>
      <c r="C116" s="6" t="s">
        <v>253</v>
      </c>
      <c r="D116" s="6" t="s">
        <v>155</v>
      </c>
      <c r="E116" s="6">
        <v>72.87</v>
      </c>
      <c r="F116" s="6">
        <v>0</v>
      </c>
      <c r="G116" s="6">
        <v>0</v>
      </c>
      <c r="H116" s="6">
        <v>1</v>
      </c>
      <c r="I116" s="6">
        <v>72.87</v>
      </c>
    </row>
    <row r="117" spans="2:9" ht="15.75" customHeight="1" x14ac:dyDescent="0.25">
      <c r="B117" s="6" t="s">
        <v>293</v>
      </c>
      <c r="C117" s="6" t="s">
        <v>267</v>
      </c>
      <c r="D117" s="6" t="s">
        <v>105</v>
      </c>
      <c r="E117" s="6">
        <v>38.07</v>
      </c>
      <c r="F117" s="6">
        <v>64.58</v>
      </c>
      <c r="G117" s="6">
        <v>2458.56</v>
      </c>
      <c r="H117" s="6">
        <v>0</v>
      </c>
      <c r="I117" s="6">
        <v>0</v>
      </c>
    </row>
    <row r="118" spans="2:9" ht="15.75" customHeight="1" x14ac:dyDescent="0.25">
      <c r="B118" s="6" t="s">
        <v>294</v>
      </c>
      <c r="C118" s="6" t="s">
        <v>227</v>
      </c>
      <c r="D118" s="6" t="s">
        <v>105</v>
      </c>
      <c r="E118" s="6">
        <v>38.07</v>
      </c>
      <c r="F118" s="6">
        <v>3.34</v>
      </c>
      <c r="G118" s="6">
        <v>127.15</v>
      </c>
      <c r="H118" s="6">
        <v>0</v>
      </c>
      <c r="I118" s="6">
        <v>0</v>
      </c>
    </row>
    <row r="119" spans="2:9" ht="15.75" customHeight="1" x14ac:dyDescent="0.25">
      <c r="B119" s="6" t="s">
        <v>295</v>
      </c>
      <c r="C119" s="6" t="s">
        <v>229</v>
      </c>
      <c r="D119" s="6" t="s">
        <v>105</v>
      </c>
      <c r="E119" s="6">
        <v>38.07</v>
      </c>
      <c r="F119" s="6">
        <v>3.5</v>
      </c>
      <c r="G119" s="6">
        <v>133.25</v>
      </c>
      <c r="H119" s="6">
        <v>0</v>
      </c>
      <c r="I119" s="6">
        <v>0</v>
      </c>
    </row>
    <row r="120" spans="2:9" ht="15.75" customHeight="1" x14ac:dyDescent="0.25">
      <c r="B120" s="6" t="s">
        <v>296</v>
      </c>
      <c r="C120" s="6" t="s">
        <v>157</v>
      </c>
      <c r="D120" s="6" t="s">
        <v>105</v>
      </c>
      <c r="E120" s="6">
        <v>38.07</v>
      </c>
      <c r="F120" s="6">
        <v>2.74</v>
      </c>
      <c r="G120" s="6">
        <v>104.31</v>
      </c>
      <c r="H120" s="6">
        <v>0</v>
      </c>
      <c r="I120" s="6">
        <v>0</v>
      </c>
    </row>
    <row r="121" spans="2:9" ht="15.75" customHeight="1" x14ac:dyDescent="0.25">
      <c r="B121" s="6" t="s">
        <v>297</v>
      </c>
      <c r="C121" s="6" t="s">
        <v>213</v>
      </c>
      <c r="D121" s="6" t="s">
        <v>105</v>
      </c>
      <c r="E121" s="6">
        <v>38.07</v>
      </c>
      <c r="F121" s="6">
        <v>7.75</v>
      </c>
      <c r="G121" s="6">
        <v>295.04000000000002</v>
      </c>
      <c r="H121" s="6">
        <v>0</v>
      </c>
      <c r="I121" s="6">
        <v>0</v>
      </c>
    </row>
    <row r="122" spans="2:9" ht="15.75" customHeight="1" x14ac:dyDescent="0.25">
      <c r="B122" s="7" t="s">
        <v>61</v>
      </c>
      <c r="C122" s="7" t="s">
        <v>298</v>
      </c>
      <c r="D122" s="1"/>
      <c r="E122" s="1"/>
      <c r="F122" s="1"/>
      <c r="G122" s="7">
        <v>13594.08</v>
      </c>
      <c r="H122" s="1"/>
      <c r="I122" s="7">
        <v>1212.3</v>
      </c>
    </row>
    <row r="123" spans="2:9" ht="15.75" customHeight="1" x14ac:dyDescent="0.25">
      <c r="B123" s="6" t="s">
        <v>299</v>
      </c>
      <c r="C123" s="6" t="s">
        <v>300</v>
      </c>
      <c r="D123" s="6" t="s">
        <v>102</v>
      </c>
      <c r="E123" s="6">
        <v>11.55</v>
      </c>
      <c r="F123" s="6">
        <v>387.65</v>
      </c>
      <c r="G123" s="6">
        <v>4477.3599999999997</v>
      </c>
      <c r="H123" s="6">
        <v>0</v>
      </c>
      <c r="I123" s="6">
        <v>0</v>
      </c>
    </row>
    <row r="124" spans="2:9" ht="15.75" customHeight="1" x14ac:dyDescent="0.25">
      <c r="B124" s="6" t="s">
        <v>301</v>
      </c>
      <c r="C124" s="6" t="s">
        <v>302</v>
      </c>
      <c r="D124" s="6" t="s">
        <v>105</v>
      </c>
      <c r="E124" s="6">
        <v>103.55</v>
      </c>
      <c r="F124" s="6">
        <v>72.66</v>
      </c>
      <c r="G124" s="6">
        <v>7523.94</v>
      </c>
      <c r="H124" s="6">
        <v>0.52</v>
      </c>
      <c r="I124" s="6">
        <v>53.85</v>
      </c>
    </row>
    <row r="125" spans="2:9" ht="15.75" customHeight="1" x14ac:dyDescent="0.25">
      <c r="B125" s="6" t="s">
        <v>303</v>
      </c>
      <c r="C125" s="6" t="s">
        <v>154</v>
      </c>
      <c r="D125" s="6" t="s">
        <v>155</v>
      </c>
      <c r="E125" s="6">
        <v>1158.45</v>
      </c>
      <c r="F125" s="6">
        <v>1.1299999999999999</v>
      </c>
      <c r="G125" s="6">
        <v>1309.05</v>
      </c>
      <c r="H125" s="6">
        <v>1</v>
      </c>
      <c r="I125" s="6">
        <v>1158.45</v>
      </c>
    </row>
    <row r="126" spans="2:9" ht="15.75" customHeight="1" x14ac:dyDescent="0.25">
      <c r="B126" s="6" t="s">
        <v>304</v>
      </c>
      <c r="C126" s="6" t="s">
        <v>157</v>
      </c>
      <c r="D126" s="6" t="s">
        <v>105</v>
      </c>
      <c r="E126" s="6">
        <v>103.55</v>
      </c>
      <c r="F126" s="6">
        <v>2.74</v>
      </c>
      <c r="G126" s="6">
        <v>283.73</v>
      </c>
      <c r="H126" s="6">
        <v>0</v>
      </c>
      <c r="I126" s="6">
        <v>0</v>
      </c>
    </row>
    <row r="127" spans="2:9" ht="15.75" customHeight="1" x14ac:dyDescent="0.25">
      <c r="B127" s="7" t="s">
        <v>63</v>
      </c>
      <c r="C127" s="7" t="s">
        <v>305</v>
      </c>
      <c r="D127" s="1"/>
      <c r="E127" s="1"/>
      <c r="F127" s="1"/>
      <c r="G127" s="7">
        <v>2151496.39</v>
      </c>
      <c r="H127" s="1"/>
      <c r="I127" s="7">
        <v>267044.40000000002</v>
      </c>
    </row>
    <row r="128" spans="2:9" ht="15.75" customHeight="1" x14ac:dyDescent="0.25">
      <c r="B128" s="8" t="s">
        <v>306</v>
      </c>
      <c r="C128" s="8" t="s">
        <v>307</v>
      </c>
      <c r="D128" s="1"/>
      <c r="E128" s="1"/>
      <c r="F128" s="1"/>
      <c r="G128" s="8">
        <v>93514.3</v>
      </c>
      <c r="H128" s="1"/>
      <c r="I128" s="8">
        <v>21081.22</v>
      </c>
    </row>
    <row r="129" spans="2:9" ht="15.75" customHeight="1" x14ac:dyDescent="0.25">
      <c r="B129" s="6" t="s">
        <v>308</v>
      </c>
      <c r="C129" s="6" t="s">
        <v>309</v>
      </c>
      <c r="D129" s="6" t="s">
        <v>102</v>
      </c>
      <c r="E129" s="6">
        <v>97.35</v>
      </c>
      <c r="F129" s="6">
        <v>380.07</v>
      </c>
      <c r="G129" s="6">
        <v>36999.81</v>
      </c>
      <c r="H129" s="6">
        <v>0</v>
      </c>
      <c r="I129" s="6">
        <v>0</v>
      </c>
    </row>
    <row r="130" spans="2:9" ht="15.75" customHeight="1" x14ac:dyDescent="0.25">
      <c r="B130" s="6" t="s">
        <v>310</v>
      </c>
      <c r="C130" s="6" t="s">
        <v>311</v>
      </c>
      <c r="D130" s="6" t="s">
        <v>105</v>
      </c>
      <c r="E130" s="6">
        <v>774.54</v>
      </c>
      <c r="F130" s="6">
        <v>39.65</v>
      </c>
      <c r="G130" s="6">
        <v>30710.51</v>
      </c>
      <c r="H130" s="6">
        <v>0.16</v>
      </c>
      <c r="I130" s="6">
        <v>123.93</v>
      </c>
    </row>
    <row r="131" spans="2:9" ht="15.75" customHeight="1" x14ac:dyDescent="0.25">
      <c r="B131" s="6" t="s">
        <v>312</v>
      </c>
      <c r="C131" s="6" t="s">
        <v>313</v>
      </c>
      <c r="D131" s="6" t="s">
        <v>155</v>
      </c>
      <c r="E131" s="6">
        <v>20957.29</v>
      </c>
      <c r="F131" s="6">
        <v>1.1299999999999999</v>
      </c>
      <c r="G131" s="6">
        <v>23681.74</v>
      </c>
      <c r="H131" s="6">
        <v>1</v>
      </c>
      <c r="I131" s="6">
        <v>20957.29</v>
      </c>
    </row>
    <row r="132" spans="2:9" ht="15.75" customHeight="1" x14ac:dyDescent="0.25">
      <c r="B132" s="6" t="s">
        <v>314</v>
      </c>
      <c r="C132" s="6" t="s">
        <v>315</v>
      </c>
      <c r="D132" s="6" t="s">
        <v>105</v>
      </c>
      <c r="E132" s="6">
        <v>774.54</v>
      </c>
      <c r="F132" s="6">
        <v>2.74</v>
      </c>
      <c r="G132" s="6">
        <v>2122.2399999999998</v>
      </c>
      <c r="H132" s="6">
        <v>0</v>
      </c>
      <c r="I132" s="6">
        <v>0</v>
      </c>
    </row>
    <row r="133" spans="2:9" ht="15.75" customHeight="1" x14ac:dyDescent="0.25">
      <c r="B133" s="8" t="s">
        <v>316</v>
      </c>
      <c r="C133" s="8" t="s">
        <v>317</v>
      </c>
      <c r="D133" s="1"/>
      <c r="E133" s="1"/>
      <c r="F133" s="1"/>
      <c r="G133" s="8">
        <v>406820.57</v>
      </c>
      <c r="H133" s="1"/>
      <c r="I133" s="8">
        <v>50704.59</v>
      </c>
    </row>
    <row r="134" spans="2:9" ht="15.75" customHeight="1" x14ac:dyDescent="0.25">
      <c r="B134" s="6" t="s">
        <v>318</v>
      </c>
      <c r="C134" s="6" t="s">
        <v>309</v>
      </c>
      <c r="D134" s="6" t="s">
        <v>102</v>
      </c>
      <c r="E134" s="6">
        <v>487.9</v>
      </c>
      <c r="F134" s="6">
        <v>380.07</v>
      </c>
      <c r="G134" s="6">
        <v>185436.15</v>
      </c>
      <c r="H134" s="6">
        <v>0</v>
      </c>
      <c r="I134" s="6">
        <v>0</v>
      </c>
    </row>
    <row r="135" spans="2:9" ht="15.75" customHeight="1" x14ac:dyDescent="0.25">
      <c r="B135" s="6" t="s">
        <v>319</v>
      </c>
      <c r="C135" s="6" t="s">
        <v>320</v>
      </c>
      <c r="D135" s="6" t="s">
        <v>105</v>
      </c>
      <c r="E135" s="6">
        <v>3783.52</v>
      </c>
      <c r="F135" s="6">
        <v>40.81</v>
      </c>
      <c r="G135" s="6">
        <v>154405.45000000001</v>
      </c>
      <c r="H135" s="6">
        <v>0.16</v>
      </c>
      <c r="I135" s="6">
        <v>605.36</v>
      </c>
    </row>
    <row r="136" spans="2:9" ht="15.75" customHeight="1" x14ac:dyDescent="0.25">
      <c r="B136" s="6" t="s">
        <v>321</v>
      </c>
      <c r="C136" s="6" t="s">
        <v>313</v>
      </c>
      <c r="D136" s="6" t="s">
        <v>155</v>
      </c>
      <c r="E136" s="6">
        <v>50099.23</v>
      </c>
      <c r="F136" s="6">
        <v>1.1299999999999999</v>
      </c>
      <c r="G136" s="6">
        <v>56612.13</v>
      </c>
      <c r="H136" s="6">
        <v>1</v>
      </c>
      <c r="I136" s="6">
        <v>50099.23</v>
      </c>
    </row>
    <row r="137" spans="2:9" ht="15.75" customHeight="1" x14ac:dyDescent="0.25">
      <c r="B137" s="6" t="s">
        <v>322</v>
      </c>
      <c r="C137" s="6" t="s">
        <v>315</v>
      </c>
      <c r="D137" s="6" t="s">
        <v>105</v>
      </c>
      <c r="E137" s="6">
        <v>3783.52</v>
      </c>
      <c r="F137" s="6">
        <v>2.74</v>
      </c>
      <c r="G137" s="6">
        <v>10366.84</v>
      </c>
      <c r="H137" s="6">
        <v>0</v>
      </c>
      <c r="I137" s="6">
        <v>0</v>
      </c>
    </row>
    <row r="138" spans="2:9" ht="15.75" customHeight="1" x14ac:dyDescent="0.25">
      <c r="B138" s="8" t="s">
        <v>323</v>
      </c>
      <c r="C138" s="8" t="s">
        <v>324</v>
      </c>
      <c r="D138" s="1"/>
      <c r="E138" s="1"/>
      <c r="F138" s="1"/>
      <c r="G138" s="8">
        <v>427735.62</v>
      </c>
      <c r="H138" s="1"/>
      <c r="I138" s="8">
        <v>98209.61</v>
      </c>
    </row>
    <row r="139" spans="2:9" ht="15.75" customHeight="1" x14ac:dyDescent="0.25">
      <c r="B139" s="6" t="s">
        <v>325</v>
      </c>
      <c r="C139" s="6" t="s">
        <v>326</v>
      </c>
      <c r="D139" s="6" t="s">
        <v>102</v>
      </c>
      <c r="E139" s="6">
        <v>483.01</v>
      </c>
      <c r="F139" s="6">
        <v>384.46</v>
      </c>
      <c r="G139" s="6">
        <v>185698.02</v>
      </c>
      <c r="H139" s="6">
        <v>0</v>
      </c>
      <c r="I139" s="6">
        <v>0</v>
      </c>
    </row>
    <row r="140" spans="2:9" ht="15.75" customHeight="1" x14ac:dyDescent="0.25">
      <c r="B140" s="6" t="s">
        <v>327</v>
      </c>
      <c r="C140" s="6" t="s">
        <v>328</v>
      </c>
      <c r="D140" s="6" t="s">
        <v>105</v>
      </c>
      <c r="E140" s="6">
        <v>1590.35</v>
      </c>
      <c r="F140" s="6">
        <v>79.67</v>
      </c>
      <c r="G140" s="6">
        <v>126703.18</v>
      </c>
      <c r="H140" s="6">
        <v>0</v>
      </c>
      <c r="I140" s="6">
        <v>0</v>
      </c>
    </row>
    <row r="141" spans="2:9" ht="15.75" customHeight="1" x14ac:dyDescent="0.25">
      <c r="B141" s="6" t="s">
        <v>329</v>
      </c>
      <c r="C141" s="6" t="s">
        <v>313</v>
      </c>
      <c r="D141" s="6" t="s">
        <v>155</v>
      </c>
      <c r="E141" s="6">
        <v>98209.61</v>
      </c>
      <c r="F141" s="6">
        <v>1.1299999999999999</v>
      </c>
      <c r="G141" s="6">
        <v>110976.86</v>
      </c>
      <c r="H141" s="6">
        <v>1</v>
      </c>
      <c r="I141" s="6">
        <v>98209.61</v>
      </c>
    </row>
    <row r="142" spans="2:9" ht="15.75" customHeight="1" x14ac:dyDescent="0.25">
      <c r="B142" s="6" t="s">
        <v>330</v>
      </c>
      <c r="C142" s="6" t="s">
        <v>315</v>
      </c>
      <c r="D142" s="6" t="s">
        <v>105</v>
      </c>
      <c r="E142" s="6">
        <v>1590.35</v>
      </c>
      <c r="F142" s="6">
        <v>2.74</v>
      </c>
      <c r="G142" s="6">
        <v>4357.5600000000004</v>
      </c>
      <c r="H142" s="6">
        <v>0</v>
      </c>
      <c r="I142" s="6">
        <v>0</v>
      </c>
    </row>
    <row r="143" spans="2:9" ht="15.75" customHeight="1" x14ac:dyDescent="0.25">
      <c r="B143" s="8" t="s">
        <v>331</v>
      </c>
      <c r="C143" s="8" t="s">
        <v>332</v>
      </c>
      <c r="D143" s="1"/>
      <c r="E143" s="1"/>
      <c r="F143" s="1"/>
      <c r="G143" s="8">
        <v>22878.95</v>
      </c>
      <c r="H143" s="1"/>
      <c r="I143" s="8">
        <v>2853.72</v>
      </c>
    </row>
    <row r="144" spans="2:9" ht="15.75" customHeight="1" x14ac:dyDescent="0.25">
      <c r="B144" s="6" t="s">
        <v>333</v>
      </c>
      <c r="C144" s="6" t="s">
        <v>334</v>
      </c>
      <c r="D144" s="6" t="s">
        <v>102</v>
      </c>
      <c r="E144" s="6">
        <v>26.82</v>
      </c>
      <c r="F144" s="6">
        <v>384.46</v>
      </c>
      <c r="G144" s="6">
        <v>10311.219999999999</v>
      </c>
      <c r="H144" s="6">
        <v>0</v>
      </c>
      <c r="I144" s="6">
        <v>0</v>
      </c>
    </row>
    <row r="145" spans="2:9" ht="15.75" customHeight="1" x14ac:dyDescent="0.25">
      <c r="B145" s="6" t="s">
        <v>335</v>
      </c>
      <c r="C145" s="6" t="s">
        <v>336</v>
      </c>
      <c r="D145" s="6" t="s">
        <v>105</v>
      </c>
      <c r="E145" s="6">
        <v>251.16</v>
      </c>
      <c r="F145" s="6">
        <v>33.03</v>
      </c>
      <c r="G145" s="6">
        <v>8295.81</v>
      </c>
      <c r="H145" s="6">
        <v>0.46</v>
      </c>
      <c r="I145" s="6">
        <v>115.53</v>
      </c>
    </row>
    <row r="146" spans="2:9" ht="15.75" customHeight="1" x14ac:dyDescent="0.25">
      <c r="B146" s="6" t="s">
        <v>337</v>
      </c>
      <c r="C146" s="6" t="s">
        <v>338</v>
      </c>
      <c r="D146" s="6" t="s">
        <v>155</v>
      </c>
      <c r="E146" s="6">
        <v>855.16</v>
      </c>
      <c r="F146" s="6">
        <v>1.1299999999999999</v>
      </c>
      <c r="G146" s="6">
        <v>966.33</v>
      </c>
      <c r="H146" s="6">
        <v>1</v>
      </c>
      <c r="I146" s="6">
        <v>855.16</v>
      </c>
    </row>
    <row r="147" spans="2:9" ht="15.75" customHeight="1" x14ac:dyDescent="0.25">
      <c r="B147" s="6" t="s">
        <v>339</v>
      </c>
      <c r="C147" s="6" t="s">
        <v>340</v>
      </c>
      <c r="D147" s="6" t="s">
        <v>155</v>
      </c>
      <c r="E147" s="6">
        <v>1883.03</v>
      </c>
      <c r="F147" s="6">
        <v>1.39</v>
      </c>
      <c r="G147" s="6">
        <v>2617.41</v>
      </c>
      <c r="H147" s="6">
        <v>1</v>
      </c>
      <c r="I147" s="6">
        <v>1883.03</v>
      </c>
    </row>
    <row r="148" spans="2:9" ht="15.75" customHeight="1" x14ac:dyDescent="0.25">
      <c r="B148" s="6" t="s">
        <v>341</v>
      </c>
      <c r="C148" s="6" t="s">
        <v>315</v>
      </c>
      <c r="D148" s="6" t="s">
        <v>105</v>
      </c>
      <c r="E148" s="6">
        <v>251.16</v>
      </c>
      <c r="F148" s="6">
        <v>2.74</v>
      </c>
      <c r="G148" s="6">
        <v>688.18</v>
      </c>
      <c r="H148" s="6">
        <v>0</v>
      </c>
      <c r="I148" s="6">
        <v>0</v>
      </c>
    </row>
    <row r="149" spans="2:9" ht="15.75" customHeight="1" x14ac:dyDescent="0.25">
      <c r="B149" s="8" t="s">
        <v>342</v>
      </c>
      <c r="C149" s="8" t="s">
        <v>343</v>
      </c>
      <c r="D149" s="1"/>
      <c r="E149" s="1"/>
      <c r="F149" s="1"/>
      <c r="G149" s="8">
        <v>422097.79</v>
      </c>
      <c r="H149" s="1"/>
      <c r="I149" s="8">
        <v>51262.73</v>
      </c>
    </row>
    <row r="150" spans="2:9" ht="15.75" customHeight="1" x14ac:dyDescent="0.25">
      <c r="B150" s="6" t="s">
        <v>344</v>
      </c>
      <c r="C150" s="6" t="s">
        <v>345</v>
      </c>
      <c r="D150" s="6" t="s">
        <v>102</v>
      </c>
      <c r="E150" s="6">
        <v>460.09</v>
      </c>
      <c r="F150" s="6">
        <v>384.46</v>
      </c>
      <c r="G150" s="6">
        <v>176886.2</v>
      </c>
      <c r="H150" s="6">
        <v>0</v>
      </c>
      <c r="I150" s="6">
        <v>0</v>
      </c>
    </row>
    <row r="151" spans="2:9" ht="15.75" customHeight="1" x14ac:dyDescent="0.25">
      <c r="B151" s="6" t="s">
        <v>346</v>
      </c>
      <c r="C151" s="6" t="s">
        <v>347</v>
      </c>
      <c r="D151" s="6" t="s">
        <v>105</v>
      </c>
      <c r="E151" s="6">
        <v>2193.39</v>
      </c>
      <c r="F151" s="6">
        <v>33.03</v>
      </c>
      <c r="G151" s="6">
        <v>72447.67</v>
      </c>
      <c r="H151" s="6">
        <v>0.46</v>
      </c>
      <c r="I151" s="6">
        <v>1008.96</v>
      </c>
    </row>
    <row r="152" spans="2:9" ht="15.75" customHeight="1" x14ac:dyDescent="0.25">
      <c r="B152" s="6" t="s">
        <v>348</v>
      </c>
      <c r="C152" s="6" t="s">
        <v>338</v>
      </c>
      <c r="D152" s="6" t="s">
        <v>155</v>
      </c>
      <c r="E152" s="6">
        <v>32077.27</v>
      </c>
      <c r="F152" s="6">
        <v>1.1299999999999999</v>
      </c>
      <c r="G152" s="6">
        <v>36247.32</v>
      </c>
      <c r="H152" s="6">
        <v>1</v>
      </c>
      <c r="I152" s="6">
        <v>32077.27</v>
      </c>
    </row>
    <row r="153" spans="2:9" ht="15.75" customHeight="1" x14ac:dyDescent="0.25">
      <c r="B153" s="6" t="s">
        <v>349</v>
      </c>
      <c r="C153" s="6" t="s">
        <v>350</v>
      </c>
      <c r="D153" s="6" t="s">
        <v>155</v>
      </c>
      <c r="E153" s="6">
        <v>4386.78</v>
      </c>
      <c r="F153" s="6">
        <v>1.1299999999999999</v>
      </c>
      <c r="G153" s="6">
        <v>4957.0600000000004</v>
      </c>
      <c r="H153" s="6">
        <v>1</v>
      </c>
      <c r="I153" s="6">
        <v>4386.78</v>
      </c>
    </row>
    <row r="154" spans="2:9" ht="15.75" customHeight="1" x14ac:dyDescent="0.25">
      <c r="B154" s="6" t="s">
        <v>351</v>
      </c>
      <c r="C154" s="6" t="s">
        <v>352</v>
      </c>
      <c r="D154" s="6" t="s">
        <v>155</v>
      </c>
      <c r="E154" s="6">
        <v>12218.44</v>
      </c>
      <c r="F154" s="6">
        <v>0</v>
      </c>
      <c r="G154" s="6">
        <v>0</v>
      </c>
      <c r="H154" s="6">
        <v>1</v>
      </c>
      <c r="I154" s="6">
        <v>12218.44</v>
      </c>
    </row>
    <row r="155" spans="2:9" ht="15.75" customHeight="1" x14ac:dyDescent="0.25">
      <c r="B155" s="6" t="s">
        <v>353</v>
      </c>
      <c r="C155" s="6" t="s">
        <v>354</v>
      </c>
      <c r="D155" s="6" t="s">
        <v>155</v>
      </c>
      <c r="E155" s="6">
        <v>1571.28</v>
      </c>
      <c r="F155" s="6">
        <v>0</v>
      </c>
      <c r="G155" s="6">
        <v>0</v>
      </c>
      <c r="H155" s="6">
        <v>1</v>
      </c>
      <c r="I155" s="6">
        <v>1571.28</v>
      </c>
    </row>
    <row r="156" spans="2:9" ht="15.75" customHeight="1" x14ac:dyDescent="0.25">
      <c r="B156" s="6" t="s">
        <v>355</v>
      </c>
      <c r="C156" s="6" t="s">
        <v>356</v>
      </c>
      <c r="D156" s="6" t="s">
        <v>105</v>
      </c>
      <c r="E156" s="6">
        <v>2193.39</v>
      </c>
      <c r="F156" s="6">
        <v>50.4</v>
      </c>
      <c r="G156" s="6">
        <v>110546.86</v>
      </c>
      <c r="H156" s="6">
        <v>0</v>
      </c>
      <c r="I156" s="6">
        <v>0</v>
      </c>
    </row>
    <row r="157" spans="2:9" ht="15.75" customHeight="1" x14ac:dyDescent="0.25">
      <c r="B157" s="6" t="s">
        <v>357</v>
      </c>
      <c r="C157" s="6" t="s">
        <v>358</v>
      </c>
      <c r="D157" s="6" t="s">
        <v>105</v>
      </c>
      <c r="E157" s="6">
        <v>2193.39</v>
      </c>
      <c r="F157" s="6">
        <v>3.34</v>
      </c>
      <c r="G157" s="6">
        <v>7325.92</v>
      </c>
      <c r="H157" s="6">
        <v>0</v>
      </c>
      <c r="I157" s="6">
        <v>0</v>
      </c>
    </row>
    <row r="158" spans="2:9" ht="15.75" customHeight="1" x14ac:dyDescent="0.25">
      <c r="B158" s="6" t="s">
        <v>359</v>
      </c>
      <c r="C158" s="6" t="s">
        <v>360</v>
      </c>
      <c r="D158" s="6" t="s">
        <v>105</v>
      </c>
      <c r="E158" s="6">
        <v>2193.39</v>
      </c>
      <c r="F158" s="6">
        <v>3.5</v>
      </c>
      <c r="G158" s="6">
        <v>7676.87</v>
      </c>
      <c r="H158" s="6">
        <v>0</v>
      </c>
      <c r="I158" s="6">
        <v>0</v>
      </c>
    </row>
    <row r="159" spans="2:9" ht="15.75" customHeight="1" x14ac:dyDescent="0.25">
      <c r="B159" s="6" t="s">
        <v>361</v>
      </c>
      <c r="C159" s="6" t="s">
        <v>315</v>
      </c>
      <c r="D159" s="6" t="s">
        <v>105</v>
      </c>
      <c r="E159" s="6">
        <v>2193.39</v>
      </c>
      <c r="F159" s="6">
        <v>2.74</v>
      </c>
      <c r="G159" s="6">
        <v>6009.89</v>
      </c>
      <c r="H159" s="6">
        <v>0</v>
      </c>
      <c r="I159" s="6">
        <v>0</v>
      </c>
    </row>
    <row r="160" spans="2:9" ht="15.75" customHeight="1" x14ac:dyDescent="0.25">
      <c r="B160" s="8" t="s">
        <v>362</v>
      </c>
      <c r="C160" s="8" t="s">
        <v>267</v>
      </c>
      <c r="D160" s="1"/>
      <c r="E160" s="1"/>
      <c r="F160" s="1"/>
      <c r="G160" s="8">
        <v>478027.32</v>
      </c>
      <c r="H160" s="1"/>
      <c r="I160" s="8">
        <v>32097.95</v>
      </c>
    </row>
    <row r="161" spans="2:9" ht="15.75" customHeight="1" x14ac:dyDescent="0.25">
      <c r="B161" s="6" t="s">
        <v>363</v>
      </c>
      <c r="C161" s="6" t="s">
        <v>345</v>
      </c>
      <c r="D161" s="6" t="s">
        <v>102</v>
      </c>
      <c r="E161" s="6">
        <v>244.98</v>
      </c>
      <c r="F161" s="6">
        <v>384.46</v>
      </c>
      <c r="G161" s="6">
        <v>94185.01</v>
      </c>
      <c r="H161" s="6">
        <v>0</v>
      </c>
      <c r="I161" s="6">
        <v>0</v>
      </c>
    </row>
    <row r="162" spans="2:9" ht="15.75" customHeight="1" x14ac:dyDescent="0.25">
      <c r="B162" s="6" t="s">
        <v>364</v>
      </c>
      <c r="C162" s="6" t="s">
        <v>347</v>
      </c>
      <c r="D162" s="6" t="s">
        <v>105</v>
      </c>
      <c r="E162" s="6">
        <v>3181.55</v>
      </c>
      <c r="F162" s="6">
        <v>33.03</v>
      </c>
      <c r="G162" s="6">
        <v>105086.6</v>
      </c>
      <c r="H162" s="6">
        <v>0.46</v>
      </c>
      <c r="I162" s="6">
        <v>1463.51</v>
      </c>
    </row>
    <row r="163" spans="2:9" ht="15.75" customHeight="1" x14ac:dyDescent="0.25">
      <c r="B163" s="6" t="s">
        <v>365</v>
      </c>
      <c r="C163" s="6" t="s">
        <v>338</v>
      </c>
      <c r="D163" s="6" t="s">
        <v>155</v>
      </c>
      <c r="E163" s="6">
        <v>14475.54</v>
      </c>
      <c r="F163" s="6">
        <v>1.1299999999999999</v>
      </c>
      <c r="G163" s="6">
        <v>16357.36</v>
      </c>
      <c r="H163" s="6">
        <v>1</v>
      </c>
      <c r="I163" s="6">
        <v>14475.54</v>
      </c>
    </row>
    <row r="164" spans="2:9" ht="15.75" customHeight="1" x14ac:dyDescent="0.25">
      <c r="B164" s="6" t="s">
        <v>366</v>
      </c>
      <c r="C164" s="6" t="s">
        <v>350</v>
      </c>
      <c r="D164" s="6" t="s">
        <v>155</v>
      </c>
      <c r="E164" s="6">
        <v>1590.78</v>
      </c>
      <c r="F164" s="6">
        <v>1.1299999999999999</v>
      </c>
      <c r="G164" s="6">
        <v>1797.58</v>
      </c>
      <c r="H164" s="6">
        <v>1</v>
      </c>
      <c r="I164" s="6">
        <v>1590.78</v>
      </c>
    </row>
    <row r="165" spans="2:9" ht="15.75" customHeight="1" x14ac:dyDescent="0.25">
      <c r="B165" s="6" t="s">
        <v>367</v>
      </c>
      <c r="C165" s="6" t="s">
        <v>352</v>
      </c>
      <c r="D165" s="6" t="s">
        <v>155</v>
      </c>
      <c r="E165" s="6">
        <v>14568.12</v>
      </c>
      <c r="F165" s="6">
        <v>0</v>
      </c>
      <c r="G165" s="6">
        <v>0</v>
      </c>
      <c r="H165" s="6">
        <v>1</v>
      </c>
      <c r="I165" s="6">
        <v>14568.12</v>
      </c>
    </row>
    <row r="166" spans="2:9" ht="15.75" customHeight="1" x14ac:dyDescent="0.25">
      <c r="B166" s="6" t="s">
        <v>368</v>
      </c>
      <c r="C166" s="6" t="s">
        <v>369</v>
      </c>
      <c r="D166" s="6" t="s">
        <v>105</v>
      </c>
      <c r="E166" s="6">
        <v>3181.55</v>
      </c>
      <c r="F166" s="6">
        <v>64.58</v>
      </c>
      <c r="G166" s="6">
        <v>205464.5</v>
      </c>
      <c r="H166" s="6">
        <v>0</v>
      </c>
      <c r="I166" s="6">
        <v>0</v>
      </c>
    </row>
    <row r="167" spans="2:9" ht="15.75" customHeight="1" x14ac:dyDescent="0.25">
      <c r="B167" s="6" t="s">
        <v>370</v>
      </c>
      <c r="C167" s="6" t="s">
        <v>358</v>
      </c>
      <c r="D167" s="6" t="s">
        <v>105</v>
      </c>
      <c r="E167" s="6">
        <v>3181.55</v>
      </c>
      <c r="F167" s="6">
        <v>3.34</v>
      </c>
      <c r="G167" s="6">
        <v>10626.38</v>
      </c>
      <c r="H167" s="6">
        <v>0</v>
      </c>
      <c r="I167" s="6">
        <v>0</v>
      </c>
    </row>
    <row r="168" spans="2:9" ht="15.75" customHeight="1" x14ac:dyDescent="0.25">
      <c r="B168" s="6" t="s">
        <v>371</v>
      </c>
      <c r="C168" s="6" t="s">
        <v>360</v>
      </c>
      <c r="D168" s="6" t="s">
        <v>105</v>
      </c>
      <c r="E168" s="6">
        <v>3181.55</v>
      </c>
      <c r="F168" s="6">
        <v>3.5</v>
      </c>
      <c r="G168" s="6">
        <v>11135.43</v>
      </c>
      <c r="H168" s="6">
        <v>0</v>
      </c>
      <c r="I168" s="6">
        <v>0</v>
      </c>
    </row>
    <row r="169" spans="2:9" ht="15.75" customHeight="1" x14ac:dyDescent="0.25">
      <c r="B169" s="6" t="s">
        <v>372</v>
      </c>
      <c r="C169" s="6" t="s">
        <v>315</v>
      </c>
      <c r="D169" s="6" t="s">
        <v>105</v>
      </c>
      <c r="E169" s="6">
        <v>3181.55</v>
      </c>
      <c r="F169" s="6">
        <v>2.74</v>
      </c>
      <c r="G169" s="6">
        <v>8717.4500000000007</v>
      </c>
      <c r="H169" s="6">
        <v>0</v>
      </c>
      <c r="I169" s="6">
        <v>0</v>
      </c>
    </row>
    <row r="170" spans="2:9" ht="15.75" customHeight="1" x14ac:dyDescent="0.25">
      <c r="B170" s="6" t="s">
        <v>373</v>
      </c>
      <c r="C170" s="6" t="s">
        <v>374</v>
      </c>
      <c r="D170" s="6" t="s">
        <v>105</v>
      </c>
      <c r="E170" s="6">
        <v>3181.55</v>
      </c>
      <c r="F170" s="6">
        <v>7.75</v>
      </c>
      <c r="G170" s="6">
        <v>24657.01</v>
      </c>
      <c r="H170" s="6">
        <v>0</v>
      </c>
      <c r="I170" s="6">
        <v>0</v>
      </c>
    </row>
    <row r="171" spans="2:9" ht="15.75" customHeight="1" x14ac:dyDescent="0.25">
      <c r="B171" s="8" t="s">
        <v>375</v>
      </c>
      <c r="C171" s="8" t="s">
        <v>376</v>
      </c>
      <c r="D171" s="1"/>
      <c r="E171" s="1"/>
      <c r="F171" s="1"/>
      <c r="G171" s="8">
        <v>15623.29</v>
      </c>
      <c r="H171" s="1"/>
      <c r="I171" s="8">
        <v>2274.3000000000002</v>
      </c>
    </row>
    <row r="172" spans="2:9" ht="15.75" customHeight="1" x14ac:dyDescent="0.25">
      <c r="B172" s="6" t="s">
        <v>377</v>
      </c>
      <c r="C172" s="6" t="s">
        <v>378</v>
      </c>
      <c r="D172" s="6" t="s">
        <v>102</v>
      </c>
      <c r="E172" s="6">
        <v>23.68</v>
      </c>
      <c r="F172" s="6">
        <v>387.65</v>
      </c>
      <c r="G172" s="6">
        <v>9179.5499999999993</v>
      </c>
      <c r="H172" s="6">
        <v>0</v>
      </c>
      <c r="I172" s="6">
        <v>0</v>
      </c>
    </row>
    <row r="173" spans="2:9" ht="15.75" customHeight="1" x14ac:dyDescent="0.25">
      <c r="B173" s="6" t="s">
        <v>379</v>
      </c>
      <c r="C173" s="6" t="s">
        <v>380</v>
      </c>
      <c r="D173" s="6" t="s">
        <v>105</v>
      </c>
      <c r="E173" s="6">
        <v>51.78</v>
      </c>
      <c r="F173" s="6">
        <v>72.66</v>
      </c>
      <c r="G173" s="6">
        <v>3762.33</v>
      </c>
      <c r="H173" s="6">
        <v>0.52</v>
      </c>
      <c r="I173" s="6">
        <v>26.93</v>
      </c>
    </row>
    <row r="174" spans="2:9" ht="15.75" customHeight="1" x14ac:dyDescent="0.25">
      <c r="B174" s="6" t="s">
        <v>381</v>
      </c>
      <c r="C174" s="6" t="s">
        <v>313</v>
      </c>
      <c r="D174" s="6" t="s">
        <v>155</v>
      </c>
      <c r="E174" s="6">
        <v>2247.37</v>
      </c>
      <c r="F174" s="6">
        <v>1.1299999999999999</v>
      </c>
      <c r="G174" s="6">
        <v>2539.5300000000002</v>
      </c>
      <c r="H174" s="6">
        <v>1</v>
      </c>
      <c r="I174" s="6">
        <v>2247.37</v>
      </c>
    </row>
    <row r="175" spans="2:9" ht="15.75" customHeight="1" x14ac:dyDescent="0.25">
      <c r="B175" s="6" t="s">
        <v>382</v>
      </c>
      <c r="C175" s="6" t="s">
        <v>315</v>
      </c>
      <c r="D175" s="6" t="s">
        <v>105</v>
      </c>
      <c r="E175" s="6">
        <v>51.78</v>
      </c>
      <c r="F175" s="6">
        <v>2.74</v>
      </c>
      <c r="G175" s="6">
        <v>141.88</v>
      </c>
      <c r="H175" s="6">
        <v>0</v>
      </c>
      <c r="I175" s="6">
        <v>0</v>
      </c>
    </row>
    <row r="176" spans="2:9" ht="15.75" customHeight="1" x14ac:dyDescent="0.25">
      <c r="B176" s="8" t="s">
        <v>383</v>
      </c>
      <c r="C176" s="8" t="s">
        <v>384</v>
      </c>
      <c r="D176" s="1"/>
      <c r="E176" s="1"/>
      <c r="F176" s="1"/>
      <c r="G176" s="8">
        <v>70492.990000000005</v>
      </c>
      <c r="H176" s="1"/>
      <c r="I176" s="8">
        <v>438.82</v>
      </c>
    </row>
    <row r="177" spans="2:9" ht="15.75" customHeight="1" x14ac:dyDescent="0.25">
      <c r="B177" s="6" t="s">
        <v>385</v>
      </c>
      <c r="C177" s="6" t="s">
        <v>386</v>
      </c>
      <c r="D177" s="6" t="s">
        <v>102</v>
      </c>
      <c r="E177" s="6">
        <v>130.69</v>
      </c>
      <c r="F177" s="6">
        <v>382.05</v>
      </c>
      <c r="G177" s="6">
        <v>49930.11</v>
      </c>
      <c r="H177" s="6">
        <v>0</v>
      </c>
      <c r="I177" s="6">
        <v>0</v>
      </c>
    </row>
    <row r="178" spans="2:9" ht="15.75" customHeight="1" x14ac:dyDescent="0.25">
      <c r="B178" s="6" t="s">
        <v>387</v>
      </c>
      <c r="C178" s="6" t="s">
        <v>388</v>
      </c>
      <c r="D178" s="6" t="s">
        <v>34</v>
      </c>
      <c r="E178" s="6">
        <v>91.37</v>
      </c>
      <c r="F178" s="6">
        <v>68.5</v>
      </c>
      <c r="G178" s="6">
        <v>6258.85</v>
      </c>
      <c r="H178" s="6">
        <v>3</v>
      </c>
      <c r="I178" s="6">
        <v>274.11</v>
      </c>
    </row>
    <row r="179" spans="2:9" ht="15.75" customHeight="1" x14ac:dyDescent="0.25">
      <c r="B179" s="6" t="s">
        <v>389</v>
      </c>
      <c r="C179" s="6" t="s">
        <v>338</v>
      </c>
      <c r="D179" s="6" t="s">
        <v>155</v>
      </c>
      <c r="E179" s="6">
        <v>164.71</v>
      </c>
      <c r="F179" s="6">
        <v>1.1299999999999999</v>
      </c>
      <c r="G179" s="6">
        <v>186.12</v>
      </c>
      <c r="H179" s="6">
        <v>1</v>
      </c>
      <c r="I179" s="6">
        <v>164.71</v>
      </c>
    </row>
    <row r="180" spans="2:9" ht="15.75" customHeight="1" x14ac:dyDescent="0.25">
      <c r="B180" s="6" t="s">
        <v>390</v>
      </c>
      <c r="C180" s="6" t="s">
        <v>391</v>
      </c>
      <c r="D180" s="6" t="s">
        <v>34</v>
      </c>
      <c r="E180" s="6">
        <v>135.65</v>
      </c>
      <c r="F180" s="6">
        <v>23.59</v>
      </c>
      <c r="G180" s="6">
        <v>3199.98</v>
      </c>
      <c r="H180" s="6">
        <v>0</v>
      </c>
      <c r="I180" s="6">
        <v>0</v>
      </c>
    </row>
    <row r="181" spans="2:9" ht="15.75" customHeight="1" x14ac:dyDescent="0.25">
      <c r="B181" s="6" t="s">
        <v>392</v>
      </c>
      <c r="C181" s="6" t="s">
        <v>393</v>
      </c>
      <c r="D181" s="6" t="s">
        <v>34</v>
      </c>
      <c r="E181" s="6">
        <v>180.93</v>
      </c>
      <c r="F181" s="6">
        <v>22.38</v>
      </c>
      <c r="G181" s="6">
        <v>4049.21</v>
      </c>
      <c r="H181" s="6">
        <v>0</v>
      </c>
      <c r="I181" s="6">
        <v>0</v>
      </c>
    </row>
    <row r="182" spans="2:9" ht="15.75" customHeight="1" x14ac:dyDescent="0.25">
      <c r="B182" s="6" t="s">
        <v>394</v>
      </c>
      <c r="C182" s="6" t="s">
        <v>395</v>
      </c>
      <c r="D182" s="6" t="s">
        <v>34</v>
      </c>
      <c r="E182" s="6">
        <v>91.37</v>
      </c>
      <c r="F182" s="6">
        <v>25.21</v>
      </c>
      <c r="G182" s="6">
        <v>2303.44</v>
      </c>
      <c r="H182" s="6">
        <v>0</v>
      </c>
      <c r="I182" s="6">
        <v>0</v>
      </c>
    </row>
    <row r="183" spans="2:9" ht="15.75" customHeight="1" x14ac:dyDescent="0.25">
      <c r="B183" s="6" t="s">
        <v>396</v>
      </c>
      <c r="C183" s="6" t="s">
        <v>397</v>
      </c>
      <c r="D183" s="6" t="s">
        <v>34</v>
      </c>
      <c r="E183" s="6">
        <v>92.96</v>
      </c>
      <c r="F183" s="6">
        <v>23.43</v>
      </c>
      <c r="G183" s="6">
        <v>2178.0500000000002</v>
      </c>
      <c r="H183" s="6">
        <v>0</v>
      </c>
      <c r="I183" s="6">
        <v>0</v>
      </c>
    </row>
    <row r="184" spans="2:9" ht="15.75" customHeight="1" x14ac:dyDescent="0.25">
      <c r="B184" s="6" t="s">
        <v>398</v>
      </c>
      <c r="C184" s="6" t="s">
        <v>315</v>
      </c>
      <c r="D184" s="6" t="s">
        <v>105</v>
      </c>
      <c r="E184" s="6">
        <v>871.25</v>
      </c>
      <c r="F184" s="6">
        <v>2.74</v>
      </c>
      <c r="G184" s="6">
        <v>2387.23</v>
      </c>
      <c r="H184" s="6">
        <v>0</v>
      </c>
      <c r="I184" s="6">
        <v>0</v>
      </c>
    </row>
    <row r="185" spans="2:9" ht="15.75" customHeight="1" x14ac:dyDescent="0.25">
      <c r="B185" s="8" t="s">
        <v>399</v>
      </c>
      <c r="C185" s="8" t="s">
        <v>400</v>
      </c>
      <c r="D185" s="1"/>
      <c r="E185" s="1"/>
      <c r="F185" s="1"/>
      <c r="G185" s="8">
        <v>73897.009999999995</v>
      </c>
      <c r="H185" s="1"/>
      <c r="I185" s="8">
        <v>2415.7800000000002</v>
      </c>
    </row>
    <row r="186" spans="2:9" ht="15.75" customHeight="1" x14ac:dyDescent="0.25">
      <c r="B186" s="6" t="s">
        <v>401</v>
      </c>
      <c r="C186" s="6" t="s">
        <v>402</v>
      </c>
      <c r="D186" s="6" t="s">
        <v>102</v>
      </c>
      <c r="E186" s="6">
        <v>55.09</v>
      </c>
      <c r="F186" s="6">
        <v>373.66</v>
      </c>
      <c r="G186" s="6">
        <v>20584.93</v>
      </c>
      <c r="H186" s="6">
        <v>0</v>
      </c>
      <c r="I186" s="6">
        <v>0</v>
      </c>
    </row>
    <row r="187" spans="2:9" ht="15.75" customHeight="1" x14ac:dyDescent="0.25">
      <c r="B187" s="6" t="s">
        <v>403</v>
      </c>
      <c r="C187" s="6" t="s">
        <v>404</v>
      </c>
      <c r="D187" s="6" t="s">
        <v>105</v>
      </c>
      <c r="E187" s="6">
        <v>874.23</v>
      </c>
      <c r="F187" s="6">
        <v>55.3</v>
      </c>
      <c r="G187" s="6">
        <v>48344.92</v>
      </c>
      <c r="H187" s="6">
        <v>0.16</v>
      </c>
      <c r="I187" s="6">
        <v>139.88</v>
      </c>
    </row>
    <row r="188" spans="2:9" ht="15.75" customHeight="1" x14ac:dyDescent="0.25">
      <c r="B188" s="6" t="s">
        <v>405</v>
      </c>
      <c r="C188" s="6" t="s">
        <v>313</v>
      </c>
      <c r="D188" s="6" t="s">
        <v>155</v>
      </c>
      <c r="E188" s="6">
        <v>2275.9</v>
      </c>
      <c r="F188" s="6">
        <v>1.1299999999999999</v>
      </c>
      <c r="G188" s="6">
        <v>2571.77</v>
      </c>
      <c r="H188" s="6">
        <v>1</v>
      </c>
      <c r="I188" s="6">
        <v>2275.9</v>
      </c>
    </row>
    <row r="189" spans="2:9" ht="15.75" customHeight="1" x14ac:dyDescent="0.25">
      <c r="B189" s="6" t="s">
        <v>406</v>
      </c>
      <c r="C189" s="6" t="s">
        <v>315</v>
      </c>
      <c r="D189" s="6" t="s">
        <v>105</v>
      </c>
      <c r="E189" s="6">
        <v>874.23</v>
      </c>
      <c r="F189" s="6">
        <v>2.74</v>
      </c>
      <c r="G189" s="6">
        <v>2395.39</v>
      </c>
      <c r="H189" s="6">
        <v>0</v>
      </c>
      <c r="I189" s="6">
        <v>0</v>
      </c>
    </row>
    <row r="190" spans="2:9" ht="15.75" customHeight="1" x14ac:dyDescent="0.25">
      <c r="B190" s="8" t="s">
        <v>407</v>
      </c>
      <c r="C190" s="8" t="s">
        <v>408</v>
      </c>
      <c r="D190" s="1"/>
      <c r="E190" s="1"/>
      <c r="F190" s="1"/>
      <c r="G190" s="8">
        <v>40248.050000000003</v>
      </c>
      <c r="H190" s="1"/>
      <c r="I190" s="8">
        <v>1173.6300000000001</v>
      </c>
    </row>
    <row r="191" spans="2:9" ht="15.75" customHeight="1" x14ac:dyDescent="0.25">
      <c r="B191" s="6" t="s">
        <v>409</v>
      </c>
      <c r="C191" s="6" t="s">
        <v>345</v>
      </c>
      <c r="D191" s="6" t="s">
        <v>102</v>
      </c>
      <c r="E191" s="6">
        <v>27.96</v>
      </c>
      <c r="F191" s="6">
        <v>384.46</v>
      </c>
      <c r="G191" s="6">
        <v>10749.5</v>
      </c>
      <c r="H191" s="6">
        <v>0</v>
      </c>
      <c r="I191" s="6">
        <v>0</v>
      </c>
    </row>
    <row r="192" spans="2:9" ht="15.75" customHeight="1" x14ac:dyDescent="0.25">
      <c r="B192" s="6" t="s">
        <v>410</v>
      </c>
      <c r="C192" s="6" t="s">
        <v>411</v>
      </c>
      <c r="D192" s="6" t="s">
        <v>105</v>
      </c>
      <c r="E192" s="6">
        <v>445.7</v>
      </c>
      <c r="F192" s="6">
        <v>52.9</v>
      </c>
      <c r="G192" s="6">
        <v>23577.53</v>
      </c>
      <c r="H192" s="6">
        <v>0.16</v>
      </c>
      <c r="I192" s="6">
        <v>71.31</v>
      </c>
    </row>
    <row r="193" spans="2:9" ht="15.75" customHeight="1" x14ac:dyDescent="0.25">
      <c r="B193" s="6" t="s">
        <v>412</v>
      </c>
      <c r="C193" s="6" t="s">
        <v>338</v>
      </c>
      <c r="D193" s="6" t="s">
        <v>155</v>
      </c>
      <c r="E193" s="6">
        <v>1102.32</v>
      </c>
      <c r="F193" s="6">
        <v>1.1299999999999999</v>
      </c>
      <c r="G193" s="6">
        <v>1245.6199999999999</v>
      </c>
      <c r="H193" s="6">
        <v>1</v>
      </c>
      <c r="I193" s="6">
        <v>1102.32</v>
      </c>
    </row>
    <row r="194" spans="2:9" ht="15.75" customHeight="1" x14ac:dyDescent="0.25">
      <c r="B194" s="6" t="s">
        <v>413</v>
      </c>
      <c r="C194" s="6" t="s">
        <v>315</v>
      </c>
      <c r="D194" s="6" t="s">
        <v>105</v>
      </c>
      <c r="E194" s="6">
        <v>445.7</v>
      </c>
      <c r="F194" s="6">
        <v>2.74</v>
      </c>
      <c r="G194" s="6">
        <v>1221.22</v>
      </c>
      <c r="H194" s="6">
        <v>0</v>
      </c>
      <c r="I194" s="6">
        <v>0</v>
      </c>
    </row>
    <row r="195" spans="2:9" ht="15.75" customHeight="1" x14ac:dyDescent="0.25">
      <c r="B195" s="6" t="s">
        <v>414</v>
      </c>
      <c r="C195" s="6" t="s">
        <v>374</v>
      </c>
      <c r="D195" s="6" t="s">
        <v>105</v>
      </c>
      <c r="E195" s="6">
        <v>445.7</v>
      </c>
      <c r="F195" s="6">
        <v>7.75</v>
      </c>
      <c r="G195" s="6">
        <v>3454.18</v>
      </c>
      <c r="H195" s="6">
        <v>0</v>
      </c>
      <c r="I195" s="6">
        <v>0</v>
      </c>
    </row>
    <row r="196" spans="2:9" ht="15.75" customHeight="1" x14ac:dyDescent="0.25">
      <c r="B196" s="8" t="s">
        <v>415</v>
      </c>
      <c r="C196" s="8" t="s">
        <v>416</v>
      </c>
      <c r="D196" s="1"/>
      <c r="E196" s="1"/>
      <c r="F196" s="1"/>
      <c r="G196" s="8">
        <v>2612.33</v>
      </c>
      <c r="H196" s="1"/>
      <c r="I196" s="8">
        <v>551.87</v>
      </c>
    </row>
    <row r="197" spans="2:9" ht="15.75" customHeight="1" x14ac:dyDescent="0.25">
      <c r="B197" s="6" t="s">
        <v>417</v>
      </c>
      <c r="C197" s="6" t="s">
        <v>418</v>
      </c>
      <c r="D197" s="6" t="s">
        <v>102</v>
      </c>
      <c r="E197" s="6">
        <v>2.2000000000000002</v>
      </c>
      <c r="F197" s="6">
        <v>373.66</v>
      </c>
      <c r="G197" s="6">
        <v>822.05</v>
      </c>
      <c r="H197" s="6">
        <v>0</v>
      </c>
      <c r="I197" s="6">
        <v>0</v>
      </c>
    </row>
    <row r="198" spans="2:9" ht="15.75" customHeight="1" x14ac:dyDescent="0.25">
      <c r="B198" s="6" t="s">
        <v>419</v>
      </c>
      <c r="C198" s="6" t="s">
        <v>420</v>
      </c>
      <c r="D198" s="6" t="s">
        <v>105</v>
      </c>
      <c r="E198" s="6">
        <v>27.64</v>
      </c>
      <c r="F198" s="6">
        <v>39.65</v>
      </c>
      <c r="G198" s="6">
        <v>1095.93</v>
      </c>
      <c r="H198" s="6">
        <v>0.16</v>
      </c>
      <c r="I198" s="6">
        <v>4.42</v>
      </c>
    </row>
    <row r="199" spans="2:9" ht="15.75" customHeight="1" x14ac:dyDescent="0.25">
      <c r="B199" s="6" t="s">
        <v>421</v>
      </c>
      <c r="C199" s="6" t="s">
        <v>313</v>
      </c>
      <c r="D199" s="6" t="s">
        <v>155</v>
      </c>
      <c r="E199" s="6">
        <v>547.45000000000005</v>
      </c>
      <c r="F199" s="6">
        <v>1.1299999999999999</v>
      </c>
      <c r="G199" s="6">
        <v>618.62</v>
      </c>
      <c r="H199" s="6">
        <v>1</v>
      </c>
      <c r="I199" s="6">
        <v>547.45000000000005</v>
      </c>
    </row>
    <row r="200" spans="2:9" ht="15.75" customHeight="1" x14ac:dyDescent="0.25">
      <c r="B200" s="6" t="s">
        <v>422</v>
      </c>
      <c r="C200" s="6" t="s">
        <v>315</v>
      </c>
      <c r="D200" s="6" t="s">
        <v>105</v>
      </c>
      <c r="E200" s="6">
        <v>27.64</v>
      </c>
      <c r="F200" s="6">
        <v>2.74</v>
      </c>
      <c r="G200" s="6">
        <v>75.73</v>
      </c>
      <c r="H200" s="6">
        <v>0</v>
      </c>
      <c r="I200" s="6">
        <v>0</v>
      </c>
    </row>
    <row r="201" spans="2:9" ht="15.75" customHeight="1" x14ac:dyDescent="0.25">
      <c r="B201" s="8" t="s">
        <v>423</v>
      </c>
      <c r="C201" s="8" t="s">
        <v>424</v>
      </c>
      <c r="D201" s="1"/>
      <c r="E201" s="1"/>
      <c r="F201" s="1"/>
      <c r="G201" s="8">
        <v>12573.84</v>
      </c>
      <c r="H201" s="1"/>
      <c r="I201" s="8">
        <v>2728.92</v>
      </c>
    </row>
    <row r="202" spans="2:9" ht="15.75" customHeight="1" x14ac:dyDescent="0.25">
      <c r="B202" s="6" t="s">
        <v>425</v>
      </c>
      <c r="C202" s="6" t="s">
        <v>309</v>
      </c>
      <c r="D202" s="6" t="s">
        <v>102</v>
      </c>
      <c r="E202" s="6">
        <v>10.42</v>
      </c>
      <c r="F202" s="6">
        <v>380.07</v>
      </c>
      <c r="G202" s="6">
        <v>3960.33</v>
      </c>
      <c r="H202" s="6">
        <v>0</v>
      </c>
      <c r="I202" s="6">
        <v>0</v>
      </c>
    </row>
    <row r="203" spans="2:9" ht="15.75" customHeight="1" x14ac:dyDescent="0.25">
      <c r="B203" s="6" t="s">
        <v>426</v>
      </c>
      <c r="C203" s="6" t="s">
        <v>311</v>
      </c>
      <c r="D203" s="6" t="s">
        <v>105</v>
      </c>
      <c r="E203" s="6">
        <v>131.01</v>
      </c>
      <c r="F203" s="6">
        <v>39.65</v>
      </c>
      <c r="G203" s="6">
        <v>5194.55</v>
      </c>
      <c r="H203" s="6">
        <v>0.16</v>
      </c>
      <c r="I203" s="6">
        <v>20.96</v>
      </c>
    </row>
    <row r="204" spans="2:9" ht="15.75" customHeight="1" x14ac:dyDescent="0.25">
      <c r="B204" s="6" t="s">
        <v>427</v>
      </c>
      <c r="C204" s="6" t="s">
        <v>313</v>
      </c>
      <c r="D204" s="6" t="s">
        <v>155</v>
      </c>
      <c r="E204" s="6">
        <v>2707.96</v>
      </c>
      <c r="F204" s="6">
        <v>1.1299999999999999</v>
      </c>
      <c r="G204" s="6">
        <v>3059.99</v>
      </c>
      <c r="H204" s="6">
        <v>1</v>
      </c>
      <c r="I204" s="6">
        <v>2707.96</v>
      </c>
    </row>
    <row r="205" spans="2:9" ht="15.75" customHeight="1" x14ac:dyDescent="0.25">
      <c r="B205" s="6" t="s">
        <v>428</v>
      </c>
      <c r="C205" s="6" t="s">
        <v>315</v>
      </c>
      <c r="D205" s="6" t="s">
        <v>105</v>
      </c>
      <c r="E205" s="6">
        <v>131.01</v>
      </c>
      <c r="F205" s="6">
        <v>2.74</v>
      </c>
      <c r="G205" s="6">
        <v>358.97</v>
      </c>
      <c r="H205" s="6">
        <v>0</v>
      </c>
      <c r="I205" s="6">
        <v>0</v>
      </c>
    </row>
    <row r="206" spans="2:9" ht="15.75" customHeight="1" x14ac:dyDescent="0.25">
      <c r="B206" s="8" t="s">
        <v>429</v>
      </c>
      <c r="C206" s="8" t="s">
        <v>430</v>
      </c>
      <c r="D206" s="1"/>
      <c r="E206" s="1"/>
      <c r="F206" s="1"/>
      <c r="G206" s="8">
        <v>40747.9</v>
      </c>
      <c r="H206" s="1"/>
      <c r="I206" s="8">
        <v>1251.26</v>
      </c>
    </row>
    <row r="207" spans="2:9" ht="15.75" customHeight="1" x14ac:dyDescent="0.25">
      <c r="B207" s="6" t="s">
        <v>431</v>
      </c>
      <c r="C207" s="6" t="s">
        <v>432</v>
      </c>
      <c r="D207" s="6" t="s">
        <v>102</v>
      </c>
      <c r="E207" s="6">
        <v>15.53</v>
      </c>
      <c r="F207" s="6">
        <v>384.46</v>
      </c>
      <c r="G207" s="6">
        <v>5970.66</v>
      </c>
      <c r="H207" s="6">
        <v>0</v>
      </c>
      <c r="I207" s="6">
        <v>0</v>
      </c>
    </row>
    <row r="208" spans="2:9" ht="15.75" customHeight="1" x14ac:dyDescent="0.25">
      <c r="B208" s="6" t="s">
        <v>433</v>
      </c>
      <c r="C208" s="6" t="s">
        <v>434</v>
      </c>
      <c r="D208" s="6" t="s">
        <v>105</v>
      </c>
      <c r="E208" s="6">
        <v>453.56</v>
      </c>
      <c r="F208" s="6">
        <v>33.03</v>
      </c>
      <c r="G208" s="6">
        <v>14981.09</v>
      </c>
      <c r="H208" s="6">
        <v>0.46</v>
      </c>
      <c r="I208" s="6">
        <v>208.64</v>
      </c>
    </row>
    <row r="209" spans="2:9" ht="15.75" customHeight="1" x14ac:dyDescent="0.25">
      <c r="B209" s="6" t="s">
        <v>435</v>
      </c>
      <c r="C209" s="6" t="s">
        <v>338</v>
      </c>
      <c r="D209" s="6" t="s">
        <v>155</v>
      </c>
      <c r="E209" s="6">
        <v>1042.6199999999999</v>
      </c>
      <c r="F209" s="6">
        <v>1.1299999999999999</v>
      </c>
      <c r="G209" s="6">
        <v>1178.1600000000001</v>
      </c>
      <c r="H209" s="6">
        <v>1</v>
      </c>
      <c r="I209" s="6">
        <v>1042.6199999999999</v>
      </c>
    </row>
    <row r="210" spans="2:9" ht="15.75" customHeight="1" x14ac:dyDescent="0.25">
      <c r="B210" s="6" t="s">
        <v>436</v>
      </c>
      <c r="C210" s="6" t="s">
        <v>315</v>
      </c>
      <c r="D210" s="6" t="s">
        <v>105</v>
      </c>
      <c r="E210" s="6">
        <v>453.56</v>
      </c>
      <c r="F210" s="6">
        <v>2.74</v>
      </c>
      <c r="G210" s="6">
        <v>1242.75</v>
      </c>
      <c r="H210" s="6">
        <v>0</v>
      </c>
      <c r="I210" s="6">
        <v>0</v>
      </c>
    </row>
    <row r="211" spans="2:9" ht="15.75" customHeight="1" x14ac:dyDescent="0.25">
      <c r="B211" s="6" t="s">
        <v>437</v>
      </c>
      <c r="C211" s="6" t="s">
        <v>438</v>
      </c>
      <c r="D211" s="6" t="s">
        <v>34</v>
      </c>
      <c r="E211" s="6">
        <v>9.57</v>
      </c>
      <c r="F211" s="6">
        <v>115.5</v>
      </c>
      <c r="G211" s="6">
        <v>1105.3399999999999</v>
      </c>
      <c r="H211" s="6">
        <v>0</v>
      </c>
      <c r="I211" s="6">
        <v>0</v>
      </c>
    </row>
    <row r="212" spans="2:9" ht="15.75" customHeight="1" x14ac:dyDescent="0.25">
      <c r="B212" s="6" t="s">
        <v>439</v>
      </c>
      <c r="C212" s="6" t="s">
        <v>440</v>
      </c>
      <c r="D212" s="6" t="s">
        <v>34</v>
      </c>
      <c r="E212" s="6">
        <v>84.04</v>
      </c>
      <c r="F212" s="6">
        <v>148.05000000000001</v>
      </c>
      <c r="G212" s="6">
        <v>12442.12</v>
      </c>
      <c r="H212" s="6">
        <v>0</v>
      </c>
      <c r="I212" s="6">
        <v>0</v>
      </c>
    </row>
    <row r="213" spans="2:9" ht="15.75" customHeight="1" x14ac:dyDescent="0.25">
      <c r="B213" s="6" t="s">
        <v>441</v>
      </c>
      <c r="C213" s="6" t="s">
        <v>442</v>
      </c>
      <c r="D213" s="6" t="s">
        <v>34</v>
      </c>
      <c r="E213" s="6">
        <v>93.62</v>
      </c>
      <c r="F213" s="6">
        <v>3.34</v>
      </c>
      <c r="G213" s="6">
        <v>312.69</v>
      </c>
      <c r="H213" s="6">
        <v>0</v>
      </c>
      <c r="I213" s="6">
        <v>0</v>
      </c>
    </row>
    <row r="214" spans="2:9" ht="15.75" customHeight="1" x14ac:dyDescent="0.25">
      <c r="B214" s="6" t="s">
        <v>443</v>
      </c>
      <c r="C214" s="6" t="s">
        <v>374</v>
      </c>
      <c r="D214" s="6" t="s">
        <v>105</v>
      </c>
      <c r="E214" s="6">
        <v>453.56</v>
      </c>
      <c r="F214" s="6">
        <v>7.75</v>
      </c>
      <c r="G214" s="6">
        <v>3515.09</v>
      </c>
      <c r="H214" s="6">
        <v>0</v>
      </c>
      <c r="I214" s="6">
        <v>0</v>
      </c>
    </row>
    <row r="215" spans="2:9" ht="15.75" customHeight="1" x14ac:dyDescent="0.25">
      <c r="B215" s="8" t="s">
        <v>444</v>
      </c>
      <c r="C215" s="8" t="s">
        <v>445</v>
      </c>
      <c r="D215" s="1"/>
      <c r="E215" s="1"/>
      <c r="F215" s="1"/>
      <c r="G215" s="1"/>
      <c r="H215" s="1"/>
      <c r="I215" s="1"/>
    </row>
    <row r="216" spans="2:9" ht="15.75" customHeight="1" x14ac:dyDescent="0.25">
      <c r="B216" s="6" t="s">
        <v>446</v>
      </c>
      <c r="C216" s="6" t="s">
        <v>447</v>
      </c>
      <c r="D216" s="6" t="s">
        <v>20</v>
      </c>
      <c r="E216" s="6">
        <v>1</v>
      </c>
      <c r="F216" s="6">
        <v>23579.56</v>
      </c>
      <c r="G216" s="6">
        <v>23579.56</v>
      </c>
      <c r="H216" s="6">
        <v>0</v>
      </c>
      <c r="I216" s="6">
        <v>0</v>
      </c>
    </row>
    <row r="217" spans="2:9" ht="15.75" customHeight="1" x14ac:dyDescent="0.25">
      <c r="B217" s="6" t="s">
        <v>448</v>
      </c>
      <c r="C217" s="6" t="s">
        <v>449</v>
      </c>
      <c r="D217" s="6" t="s">
        <v>112</v>
      </c>
      <c r="E217" s="6">
        <v>83</v>
      </c>
      <c r="F217" s="6">
        <v>67.25</v>
      </c>
      <c r="G217" s="6">
        <v>5581.75</v>
      </c>
      <c r="H217" s="6">
        <v>0</v>
      </c>
      <c r="I217" s="6">
        <v>0</v>
      </c>
    </row>
    <row r="218" spans="2:9" ht="15.75" customHeight="1" x14ac:dyDescent="0.25">
      <c r="B218" s="6" t="s">
        <v>450</v>
      </c>
      <c r="C218" s="6" t="s">
        <v>451</v>
      </c>
      <c r="D218" s="6" t="s">
        <v>34</v>
      </c>
      <c r="E218" s="6">
        <v>533.09</v>
      </c>
      <c r="F218" s="6">
        <v>28.26</v>
      </c>
      <c r="G218" s="6">
        <v>15065.12</v>
      </c>
      <c r="H218" s="6">
        <v>0</v>
      </c>
      <c r="I218" s="6">
        <v>0</v>
      </c>
    </row>
    <row r="219" spans="2:9" ht="15.75" customHeight="1" x14ac:dyDescent="0.25">
      <c r="B219" s="1"/>
      <c r="C219" s="1"/>
      <c r="D219" s="1"/>
      <c r="E219" s="1"/>
      <c r="F219" s="1"/>
      <c r="G219" s="1"/>
      <c r="H219" s="1"/>
      <c r="I219" s="1"/>
    </row>
    <row r="220" spans="2:9" ht="15.75" customHeight="1" x14ac:dyDescent="0.25">
      <c r="B220" s="1"/>
      <c r="C220" s="1"/>
      <c r="D220" s="1"/>
      <c r="E220" s="1"/>
      <c r="F220" s="1"/>
      <c r="G220" s="1"/>
      <c r="H220" s="1"/>
      <c r="I220" s="1"/>
    </row>
    <row r="221" spans="2:9" ht="15.75" customHeight="1" x14ac:dyDescent="0.25">
      <c r="B221" s="1"/>
      <c r="C221" s="1"/>
      <c r="D221" s="1"/>
      <c r="E221" s="1"/>
      <c r="F221" s="1"/>
      <c r="G221" s="1"/>
      <c r="H221" s="1"/>
      <c r="I221" s="1"/>
    </row>
    <row r="222" spans="2:9" ht="15.75" customHeight="1" x14ac:dyDescent="0.25">
      <c r="B222" s="1"/>
      <c r="C222" s="1"/>
      <c r="D222" s="1"/>
      <c r="E222" s="1"/>
      <c r="F222" s="1"/>
      <c r="G222" s="1"/>
      <c r="H222" s="1"/>
      <c r="I222" s="1"/>
    </row>
    <row r="223" spans="2:9" ht="15.75" customHeight="1" x14ac:dyDescent="0.25">
      <c r="B223" s="1"/>
      <c r="C223" s="1"/>
      <c r="D223" s="1"/>
      <c r="E223" s="1"/>
      <c r="F223" s="1"/>
      <c r="G223" s="1"/>
      <c r="H223" s="1"/>
      <c r="I223" s="1"/>
    </row>
    <row r="224" spans="2:9" ht="15.75" customHeight="1" x14ac:dyDescent="0.25">
      <c r="B224" s="1"/>
      <c r="C224" s="1"/>
      <c r="D224" s="1"/>
      <c r="E224" s="1"/>
      <c r="F224" s="1"/>
      <c r="G224" s="1"/>
      <c r="H224" s="1"/>
      <c r="I224" s="1"/>
    </row>
    <row r="225" spans="2:9" ht="15.75" customHeight="1" x14ac:dyDescent="0.25">
      <c r="B225" s="1"/>
      <c r="C225" s="1"/>
      <c r="D225" s="1"/>
      <c r="E225" s="1"/>
      <c r="F225" s="1"/>
      <c r="G225" s="1"/>
      <c r="H225" s="1"/>
      <c r="I225" s="1"/>
    </row>
    <row r="226" spans="2:9" ht="15.75" customHeight="1" x14ac:dyDescent="0.25">
      <c r="B226" s="1"/>
      <c r="C226" s="1"/>
      <c r="D226" s="1"/>
      <c r="E226" s="1"/>
      <c r="F226" s="1"/>
      <c r="G226" s="1"/>
      <c r="H226" s="1"/>
      <c r="I226" s="1"/>
    </row>
    <row r="227" spans="2:9" ht="15.75" customHeight="1" x14ac:dyDescent="0.25">
      <c r="B227" s="1"/>
      <c r="C227" s="1"/>
      <c r="D227" s="1"/>
      <c r="E227" s="1"/>
      <c r="F227" s="1"/>
      <c r="G227" s="1"/>
      <c r="H227" s="1"/>
      <c r="I227" s="1"/>
    </row>
    <row r="228" spans="2:9" ht="15.75" customHeight="1" x14ac:dyDescent="0.25">
      <c r="B228" s="1"/>
      <c r="C228" s="1"/>
      <c r="D228" s="1"/>
      <c r="E228" s="1"/>
      <c r="F228" s="1"/>
      <c r="G228" s="1"/>
      <c r="H228" s="1"/>
      <c r="I228" s="1"/>
    </row>
    <row r="229" spans="2:9" ht="15.75" customHeight="1" x14ac:dyDescent="0.25">
      <c r="B229" s="1"/>
      <c r="C229" s="1"/>
      <c r="D229" s="1"/>
      <c r="E229" s="1"/>
      <c r="F229" s="1"/>
      <c r="G229" s="1"/>
      <c r="H229" s="1"/>
      <c r="I229" s="1"/>
    </row>
    <row r="230" spans="2:9" ht="15.75" customHeight="1" x14ac:dyDescent="0.25">
      <c r="B230" s="1"/>
      <c r="C230" s="1"/>
      <c r="D230" s="1"/>
      <c r="E230" s="1"/>
      <c r="F230" s="1"/>
      <c r="G230" s="1"/>
      <c r="H230" s="1"/>
      <c r="I230" s="1"/>
    </row>
    <row r="231" spans="2:9" ht="15.75" customHeight="1" x14ac:dyDescent="0.25">
      <c r="B231" s="1"/>
      <c r="C231" s="1"/>
      <c r="D231" s="1"/>
      <c r="E231" s="1"/>
      <c r="F231" s="1"/>
      <c r="G231" s="1"/>
      <c r="H231" s="1"/>
      <c r="I231" s="1"/>
    </row>
    <row r="232" spans="2:9" ht="15.75" customHeight="1" x14ac:dyDescent="0.25">
      <c r="B232" s="1"/>
      <c r="C232" s="1"/>
      <c r="D232" s="1"/>
      <c r="E232" s="1"/>
      <c r="F232" s="1"/>
      <c r="G232" s="1"/>
      <c r="H232" s="1"/>
      <c r="I232" s="1"/>
    </row>
    <row r="233" spans="2:9" ht="15.75" customHeight="1" x14ac:dyDescent="0.25">
      <c r="B233" s="1"/>
      <c r="C233" s="1"/>
      <c r="D233" s="1"/>
      <c r="E233" s="1"/>
      <c r="F233" s="1"/>
      <c r="G233" s="1"/>
      <c r="H233" s="1"/>
      <c r="I233" s="1"/>
    </row>
    <row r="234" spans="2:9" ht="15.75" customHeight="1" x14ac:dyDescent="0.25">
      <c r="B234" s="1"/>
      <c r="C234" s="1"/>
      <c r="D234" s="1"/>
      <c r="E234" s="1"/>
      <c r="F234" s="1"/>
      <c r="G234" s="1"/>
      <c r="H234" s="1"/>
      <c r="I234" s="1"/>
    </row>
    <row r="235" spans="2:9" ht="15.75" customHeight="1" x14ac:dyDescent="0.25">
      <c r="B235" s="1"/>
      <c r="C235" s="1"/>
      <c r="D235" s="1"/>
      <c r="E235" s="1"/>
      <c r="F235" s="1"/>
      <c r="G235" s="1"/>
      <c r="H235" s="1"/>
      <c r="I235" s="1"/>
    </row>
    <row r="236" spans="2:9" ht="15.75" customHeight="1" x14ac:dyDescent="0.25">
      <c r="B236" s="1"/>
      <c r="C236" s="1"/>
      <c r="D236" s="1"/>
      <c r="E236" s="1"/>
      <c r="F236" s="1"/>
      <c r="G236" s="1"/>
      <c r="H236" s="1"/>
      <c r="I236" s="1"/>
    </row>
    <row r="237" spans="2:9" ht="15.75" customHeight="1" x14ac:dyDescent="0.25">
      <c r="B237" s="1"/>
      <c r="C237" s="1"/>
      <c r="D237" s="1"/>
      <c r="E237" s="1"/>
      <c r="F237" s="1"/>
      <c r="G237" s="1"/>
      <c r="H237" s="1"/>
      <c r="I237" s="1"/>
    </row>
    <row r="238" spans="2:9" ht="15.75" customHeight="1" x14ac:dyDescent="0.25">
      <c r="B238" s="1"/>
      <c r="C238" s="1"/>
      <c r="D238" s="1"/>
      <c r="E238" s="1"/>
      <c r="F238" s="1"/>
      <c r="G238" s="1"/>
      <c r="H238" s="1"/>
      <c r="I238" s="1"/>
    </row>
    <row r="239" spans="2:9" ht="15.75" customHeight="1" x14ac:dyDescent="0.25">
      <c r="B239" s="1"/>
      <c r="C239" s="1"/>
      <c r="D239" s="1"/>
      <c r="E239" s="1"/>
      <c r="F239" s="1"/>
      <c r="G239" s="1"/>
      <c r="H239" s="1"/>
      <c r="I239" s="1"/>
    </row>
    <row r="240" spans="2:9" ht="15.75" customHeight="1" x14ac:dyDescent="0.25">
      <c r="B240" s="1"/>
      <c r="C240" s="1"/>
      <c r="D240" s="1"/>
      <c r="E240" s="1"/>
      <c r="F240" s="1"/>
      <c r="G240" s="1"/>
      <c r="H240" s="1"/>
      <c r="I240" s="1"/>
    </row>
    <row r="241" spans="2:9" ht="15.75" customHeight="1" x14ac:dyDescent="0.25">
      <c r="B241" s="1"/>
      <c r="C241" s="1"/>
      <c r="D241" s="1"/>
      <c r="E241" s="1"/>
      <c r="F241" s="1"/>
      <c r="G241" s="1"/>
      <c r="H241" s="1"/>
      <c r="I241" s="1"/>
    </row>
    <row r="242" spans="2:9" ht="15.75" customHeight="1" x14ac:dyDescent="0.25">
      <c r="B242" s="1"/>
      <c r="C242" s="1"/>
      <c r="D242" s="1"/>
      <c r="E242" s="1"/>
      <c r="F242" s="1"/>
      <c r="G242" s="1"/>
      <c r="H242" s="1"/>
      <c r="I242" s="1"/>
    </row>
    <row r="243" spans="2:9" ht="15.75" customHeight="1" x14ac:dyDescent="0.25">
      <c r="B243" s="1"/>
      <c r="C243" s="1"/>
      <c r="D243" s="1"/>
      <c r="E243" s="1"/>
      <c r="F243" s="1"/>
      <c r="G243" s="1"/>
      <c r="H243" s="1"/>
      <c r="I243" s="1"/>
    </row>
    <row r="244" spans="2:9" ht="15.75" customHeight="1" x14ac:dyDescent="0.25">
      <c r="B244" s="1"/>
      <c r="C244" s="1"/>
      <c r="D244" s="1"/>
      <c r="E244" s="1"/>
      <c r="F244" s="1"/>
      <c r="G244" s="1"/>
      <c r="H244" s="1"/>
      <c r="I244" s="1"/>
    </row>
    <row r="245" spans="2:9" ht="15.75" customHeight="1" x14ac:dyDescent="0.25">
      <c r="B245" s="1"/>
      <c r="C245" s="1"/>
      <c r="D245" s="1"/>
      <c r="E245" s="1"/>
      <c r="F245" s="1"/>
      <c r="G245" s="1"/>
      <c r="H245" s="1"/>
      <c r="I245" s="1"/>
    </row>
    <row r="246" spans="2:9" ht="15.75" customHeight="1" x14ac:dyDescent="0.25">
      <c r="B246" s="1"/>
      <c r="C246" s="1"/>
      <c r="D246" s="1"/>
      <c r="E246" s="1"/>
      <c r="F246" s="1"/>
      <c r="G246" s="1"/>
      <c r="H246" s="1"/>
      <c r="I246" s="1"/>
    </row>
    <row r="247" spans="2:9" ht="15.75" customHeight="1" x14ac:dyDescent="0.25">
      <c r="B247" s="1"/>
      <c r="C247" s="1"/>
      <c r="D247" s="1"/>
      <c r="E247" s="1"/>
      <c r="F247" s="1"/>
      <c r="G247" s="1"/>
      <c r="H247" s="1"/>
      <c r="I247" s="1"/>
    </row>
    <row r="248" spans="2:9" ht="15.75" customHeight="1" x14ac:dyDescent="0.25">
      <c r="B248" s="1"/>
      <c r="C248" s="1"/>
      <c r="D248" s="1"/>
      <c r="E248" s="1"/>
      <c r="F248" s="1"/>
      <c r="G248" s="1"/>
      <c r="H248" s="1"/>
      <c r="I248" s="1"/>
    </row>
    <row r="249" spans="2:9" ht="15.75" customHeight="1" x14ac:dyDescent="0.25">
      <c r="B249" s="1"/>
      <c r="C249" s="1"/>
      <c r="D249" s="1"/>
      <c r="E249" s="1"/>
      <c r="F249" s="1"/>
      <c r="G249" s="1"/>
      <c r="H249" s="1"/>
      <c r="I249" s="1"/>
    </row>
    <row r="250" spans="2:9" ht="15.75" customHeight="1" x14ac:dyDescent="0.25">
      <c r="B250" s="1"/>
      <c r="C250" s="1"/>
      <c r="D250" s="1"/>
      <c r="E250" s="1"/>
      <c r="F250" s="1"/>
      <c r="G250" s="1"/>
      <c r="H250" s="1"/>
      <c r="I250" s="1"/>
    </row>
    <row r="251" spans="2:9" ht="15.75" customHeight="1" x14ac:dyDescent="0.25">
      <c r="B251" s="1"/>
      <c r="C251" s="1"/>
      <c r="D251" s="1"/>
      <c r="E251" s="1"/>
      <c r="F251" s="1"/>
      <c r="G251" s="1"/>
      <c r="H251" s="1"/>
      <c r="I251" s="1"/>
    </row>
    <row r="252" spans="2:9" ht="15.75" customHeight="1" x14ac:dyDescent="0.25">
      <c r="B252" s="1"/>
      <c r="C252" s="1"/>
      <c r="D252" s="1"/>
      <c r="E252" s="1"/>
      <c r="F252" s="1"/>
      <c r="G252" s="1"/>
      <c r="H252" s="1"/>
      <c r="I252" s="1"/>
    </row>
    <row r="253" spans="2:9" ht="15.75" customHeight="1" x14ac:dyDescent="0.25">
      <c r="B253" s="1"/>
      <c r="C253" s="1"/>
      <c r="D253" s="1"/>
      <c r="E253" s="1"/>
      <c r="F253" s="1"/>
      <c r="G253" s="1"/>
      <c r="H253" s="1"/>
      <c r="I253" s="1"/>
    </row>
    <row r="254" spans="2:9" ht="15.75" customHeight="1" x14ac:dyDescent="0.25">
      <c r="B254" s="1"/>
      <c r="C254" s="1"/>
      <c r="D254" s="1"/>
      <c r="E254" s="1"/>
      <c r="F254" s="1"/>
      <c r="G254" s="1"/>
      <c r="H254" s="1"/>
      <c r="I254" s="1"/>
    </row>
    <row r="255" spans="2:9" ht="15.75" customHeight="1" x14ac:dyDescent="0.25">
      <c r="B255" s="1"/>
      <c r="C255" s="1"/>
      <c r="D255" s="1"/>
      <c r="E255" s="1"/>
      <c r="F255" s="1"/>
      <c r="G255" s="1"/>
      <c r="H255" s="1"/>
      <c r="I255" s="1"/>
    </row>
    <row r="256" spans="2:9" ht="15.75" customHeight="1" x14ac:dyDescent="0.25">
      <c r="B256" s="1"/>
      <c r="C256" s="1"/>
      <c r="D256" s="1"/>
      <c r="E256" s="1"/>
      <c r="F256" s="1"/>
      <c r="G256" s="1"/>
      <c r="H256" s="1"/>
      <c r="I256" s="1"/>
    </row>
    <row r="257" spans="2:9" ht="15.75" customHeight="1" x14ac:dyDescent="0.25">
      <c r="B257" s="1"/>
      <c r="C257" s="1"/>
      <c r="D257" s="1"/>
      <c r="E257" s="1"/>
      <c r="F257" s="1"/>
      <c r="G257" s="1"/>
      <c r="H257" s="1"/>
      <c r="I257" s="1"/>
    </row>
    <row r="258" spans="2:9" ht="15.75" customHeight="1" x14ac:dyDescent="0.25">
      <c r="B258" s="1"/>
      <c r="C258" s="1"/>
      <c r="D258" s="1"/>
      <c r="E258" s="1"/>
      <c r="F258" s="1"/>
      <c r="G258" s="1"/>
      <c r="H258" s="1"/>
      <c r="I258" s="1"/>
    </row>
    <row r="259" spans="2:9" ht="15.75" customHeight="1" x14ac:dyDescent="0.25">
      <c r="B259" s="1"/>
      <c r="C259" s="1"/>
      <c r="D259" s="1"/>
      <c r="E259" s="1"/>
      <c r="F259" s="1"/>
      <c r="G259" s="1"/>
      <c r="H259" s="1"/>
      <c r="I259" s="1"/>
    </row>
    <row r="260" spans="2:9" ht="15.75" customHeight="1" x14ac:dyDescent="0.25">
      <c r="B260" s="1"/>
      <c r="C260" s="1"/>
      <c r="D260" s="1"/>
      <c r="E260" s="1"/>
      <c r="F260" s="1"/>
      <c r="G260" s="1"/>
      <c r="H260" s="1"/>
      <c r="I260" s="1"/>
    </row>
    <row r="261" spans="2:9" ht="15.75" customHeight="1" x14ac:dyDescent="0.25">
      <c r="B261" s="1"/>
      <c r="C261" s="1"/>
      <c r="D261" s="1"/>
      <c r="E261" s="1"/>
      <c r="F261" s="1"/>
      <c r="G261" s="1"/>
      <c r="H261" s="1"/>
      <c r="I261" s="1"/>
    </row>
    <row r="262" spans="2:9" ht="15.75" customHeight="1" x14ac:dyDescent="0.25">
      <c r="B262" s="1"/>
      <c r="C262" s="1"/>
      <c r="D262" s="1"/>
      <c r="E262" s="1"/>
      <c r="F262" s="1"/>
      <c r="G262" s="1"/>
      <c r="H262" s="1"/>
      <c r="I262" s="1"/>
    </row>
    <row r="263" spans="2:9" ht="15.75" customHeight="1" x14ac:dyDescent="0.25">
      <c r="B263" s="1"/>
      <c r="C263" s="1"/>
      <c r="D263" s="1"/>
      <c r="E263" s="1"/>
      <c r="F263" s="1"/>
      <c r="G263" s="1"/>
      <c r="H263" s="1"/>
      <c r="I263" s="1"/>
    </row>
    <row r="264" spans="2:9" ht="15.75" customHeight="1" x14ac:dyDescent="0.25">
      <c r="B264" s="1"/>
      <c r="C264" s="1"/>
      <c r="D264" s="1"/>
      <c r="E264" s="1"/>
      <c r="F264" s="1"/>
      <c r="G264" s="1"/>
      <c r="H264" s="1"/>
      <c r="I264" s="1"/>
    </row>
    <row r="265" spans="2:9" ht="15.75" customHeight="1" x14ac:dyDescent="0.25">
      <c r="B265" s="1"/>
      <c r="C265" s="1"/>
      <c r="D265" s="1"/>
      <c r="E265" s="1"/>
      <c r="F265" s="1"/>
      <c r="G265" s="1"/>
      <c r="H265" s="1"/>
      <c r="I265" s="1"/>
    </row>
    <row r="266" spans="2:9" ht="15.75" customHeight="1" x14ac:dyDescent="0.25">
      <c r="B266" s="1"/>
      <c r="C266" s="1"/>
      <c r="D266" s="1"/>
      <c r="E266" s="1"/>
      <c r="F266" s="1"/>
      <c r="G266" s="1"/>
      <c r="H266" s="1"/>
      <c r="I266" s="1"/>
    </row>
    <row r="267" spans="2:9" ht="15.75" customHeight="1" x14ac:dyDescent="0.25">
      <c r="B267" s="1"/>
      <c r="C267" s="1"/>
      <c r="D267" s="1"/>
      <c r="E267" s="1"/>
      <c r="F267" s="1"/>
      <c r="G267" s="1"/>
      <c r="H267" s="1"/>
      <c r="I267" s="1"/>
    </row>
    <row r="268" spans="2:9" ht="15.75" customHeight="1" x14ac:dyDescent="0.25">
      <c r="B268" s="1"/>
      <c r="C268" s="1"/>
      <c r="D268" s="1"/>
      <c r="E268" s="1"/>
      <c r="F268" s="1"/>
      <c r="G268" s="1"/>
      <c r="H268" s="1"/>
      <c r="I268" s="1"/>
    </row>
    <row r="269" spans="2:9" ht="15.75" customHeight="1" x14ac:dyDescent="0.25">
      <c r="B269" s="1"/>
      <c r="C269" s="1"/>
      <c r="D269" s="1"/>
      <c r="E269" s="1"/>
      <c r="F269" s="1"/>
      <c r="G269" s="1"/>
      <c r="H269" s="1"/>
      <c r="I269" s="1"/>
    </row>
    <row r="270" spans="2:9" ht="15.75" customHeight="1" x14ac:dyDescent="0.25">
      <c r="B270" s="1"/>
      <c r="C270" s="1"/>
      <c r="D270" s="1"/>
      <c r="E270" s="1"/>
      <c r="F270" s="1"/>
      <c r="G270" s="1"/>
      <c r="H270" s="1"/>
      <c r="I270" s="1"/>
    </row>
    <row r="271" spans="2:9" ht="15.75" customHeight="1" x14ac:dyDescent="0.25">
      <c r="B271" s="1"/>
      <c r="C271" s="1"/>
      <c r="D271" s="1"/>
      <c r="E271" s="1"/>
      <c r="F271" s="1"/>
      <c r="G271" s="1"/>
      <c r="H271" s="1"/>
      <c r="I271" s="1"/>
    </row>
    <row r="272" spans="2:9" ht="15.75" customHeight="1" x14ac:dyDescent="0.25">
      <c r="B272" s="1"/>
      <c r="C272" s="1"/>
      <c r="D272" s="1"/>
      <c r="E272" s="1"/>
      <c r="F272" s="1"/>
      <c r="G272" s="1"/>
      <c r="H272" s="1"/>
      <c r="I272" s="1"/>
    </row>
    <row r="273" spans="2:9" ht="15.75" customHeight="1" x14ac:dyDescent="0.25">
      <c r="B273" s="1"/>
      <c r="C273" s="1"/>
      <c r="D273" s="1"/>
      <c r="E273" s="1"/>
      <c r="F273" s="1"/>
      <c r="G273" s="1"/>
      <c r="H273" s="1"/>
      <c r="I273" s="1"/>
    </row>
    <row r="274" spans="2:9" ht="15.75" customHeight="1" x14ac:dyDescent="0.25">
      <c r="B274" s="1"/>
      <c r="C274" s="1"/>
      <c r="D274" s="1"/>
      <c r="E274" s="1"/>
      <c r="F274" s="1"/>
      <c r="G274" s="1"/>
      <c r="H274" s="1"/>
      <c r="I274" s="1"/>
    </row>
    <row r="275" spans="2:9" ht="15.75" customHeight="1" x14ac:dyDescent="0.25">
      <c r="B275" s="1"/>
      <c r="C275" s="1"/>
      <c r="D275" s="1"/>
      <c r="E275" s="1"/>
      <c r="F275" s="1"/>
      <c r="G275" s="1"/>
      <c r="H275" s="1"/>
      <c r="I275" s="1"/>
    </row>
    <row r="276" spans="2:9" ht="15.75" customHeight="1" x14ac:dyDescent="0.25">
      <c r="B276" s="1"/>
      <c r="C276" s="1"/>
      <c r="D276" s="1"/>
      <c r="E276" s="1"/>
      <c r="F276" s="1"/>
      <c r="G276" s="1"/>
      <c r="H276" s="1"/>
      <c r="I276" s="1"/>
    </row>
    <row r="277" spans="2:9" ht="15.75" customHeight="1" x14ac:dyDescent="0.25">
      <c r="B277" s="1"/>
      <c r="C277" s="1"/>
      <c r="D277" s="1"/>
      <c r="E277" s="1"/>
      <c r="F277" s="1"/>
      <c r="G277" s="1"/>
      <c r="H277" s="1"/>
      <c r="I277" s="1"/>
    </row>
    <row r="278" spans="2:9" ht="15.75" customHeight="1" x14ac:dyDescent="0.25">
      <c r="B278" s="1"/>
      <c r="C278" s="1"/>
      <c r="D278" s="1"/>
      <c r="E278" s="1"/>
      <c r="F278" s="1"/>
      <c r="G278" s="1"/>
      <c r="H278" s="1"/>
      <c r="I278" s="1"/>
    </row>
    <row r="279" spans="2:9" ht="15.75" customHeight="1" x14ac:dyDescent="0.25">
      <c r="B279" s="1"/>
      <c r="C279" s="1"/>
      <c r="D279" s="1"/>
      <c r="E279" s="1"/>
      <c r="F279" s="1"/>
      <c r="G279" s="1"/>
      <c r="H279" s="1"/>
      <c r="I279" s="1"/>
    </row>
    <row r="280" spans="2:9" ht="15.75" customHeight="1" x14ac:dyDescent="0.25">
      <c r="B280" s="1"/>
      <c r="C280" s="1"/>
      <c r="D280" s="1"/>
      <c r="E280" s="1"/>
      <c r="F280" s="1"/>
      <c r="G280" s="1"/>
      <c r="H280" s="1"/>
      <c r="I280" s="1"/>
    </row>
    <row r="281" spans="2:9" ht="15.75" customHeight="1" x14ac:dyDescent="0.25">
      <c r="B281" s="1"/>
      <c r="C281" s="1"/>
      <c r="D281" s="1"/>
      <c r="E281" s="1"/>
      <c r="F281" s="1"/>
      <c r="G281" s="1"/>
      <c r="H281" s="1"/>
      <c r="I281" s="1"/>
    </row>
    <row r="282" spans="2:9" ht="15.75" customHeight="1" x14ac:dyDescent="0.25">
      <c r="B282" s="1"/>
      <c r="C282" s="1"/>
      <c r="D282" s="1"/>
      <c r="E282" s="1"/>
      <c r="F282" s="1"/>
      <c r="G282" s="1"/>
      <c r="H282" s="1"/>
      <c r="I282" s="1"/>
    </row>
    <row r="283" spans="2:9" ht="15.75" customHeight="1" x14ac:dyDescent="0.25">
      <c r="B283" s="1"/>
      <c r="C283" s="1"/>
      <c r="D283" s="1"/>
      <c r="E283" s="1"/>
      <c r="F283" s="1"/>
      <c r="G283" s="1"/>
      <c r="H283" s="1"/>
      <c r="I283" s="1"/>
    </row>
    <row r="284" spans="2:9" ht="15.75" customHeight="1" x14ac:dyDescent="0.25">
      <c r="B284" s="1"/>
      <c r="C284" s="1"/>
      <c r="D284" s="1"/>
      <c r="E284" s="1"/>
      <c r="F284" s="1"/>
      <c r="G284" s="1"/>
      <c r="H284" s="1"/>
      <c r="I284" s="1"/>
    </row>
    <row r="285" spans="2:9" ht="15.75" customHeight="1" x14ac:dyDescent="0.25">
      <c r="B285" s="1"/>
      <c r="C285" s="1"/>
      <c r="D285" s="1"/>
      <c r="E285" s="1"/>
      <c r="F285" s="1"/>
      <c r="G285" s="1"/>
      <c r="H285" s="1"/>
      <c r="I285" s="1"/>
    </row>
    <row r="286" spans="2:9" ht="15.75" customHeight="1" x14ac:dyDescent="0.25">
      <c r="B286" s="1"/>
      <c r="C286" s="1"/>
      <c r="D286" s="1"/>
      <c r="E286" s="1"/>
      <c r="F286" s="1"/>
      <c r="G286" s="1"/>
      <c r="H286" s="1"/>
      <c r="I286" s="1"/>
    </row>
    <row r="287" spans="2:9" ht="15.75" customHeight="1" x14ac:dyDescent="0.25">
      <c r="B287" s="1"/>
      <c r="C287" s="1"/>
      <c r="D287" s="1"/>
      <c r="E287" s="1"/>
      <c r="F287" s="1"/>
      <c r="G287" s="1"/>
      <c r="H287" s="1"/>
      <c r="I287" s="1"/>
    </row>
    <row r="288" spans="2:9" ht="15.75" customHeight="1" x14ac:dyDescent="0.25">
      <c r="B288" s="1"/>
      <c r="C288" s="1"/>
      <c r="D288" s="1"/>
      <c r="E288" s="1"/>
      <c r="F288" s="1"/>
      <c r="G288" s="1"/>
      <c r="H288" s="1"/>
      <c r="I288" s="1"/>
    </row>
    <row r="289" spans="2:9" ht="15.75" customHeight="1" x14ac:dyDescent="0.25">
      <c r="B289" s="1"/>
      <c r="C289" s="1"/>
      <c r="D289" s="1"/>
      <c r="E289" s="1"/>
      <c r="F289" s="1"/>
      <c r="G289" s="1"/>
      <c r="H289" s="1"/>
      <c r="I289" s="1"/>
    </row>
    <row r="290" spans="2:9" ht="15.75" customHeight="1" x14ac:dyDescent="0.25">
      <c r="B290" s="1"/>
      <c r="C290" s="1"/>
      <c r="D290" s="1"/>
      <c r="E290" s="1"/>
      <c r="F290" s="1"/>
      <c r="G290" s="1"/>
      <c r="H290" s="1"/>
      <c r="I290" s="1"/>
    </row>
    <row r="291" spans="2:9" ht="15.75" customHeight="1" x14ac:dyDescent="0.25">
      <c r="B291" s="1"/>
      <c r="C291" s="1"/>
      <c r="D291" s="1"/>
      <c r="E291" s="1"/>
      <c r="F291" s="1"/>
      <c r="G291" s="1"/>
      <c r="H291" s="1"/>
      <c r="I291" s="1"/>
    </row>
    <row r="292" spans="2:9" ht="15.75" customHeight="1" x14ac:dyDescent="0.25">
      <c r="B292" s="1"/>
      <c r="C292" s="1"/>
      <c r="D292" s="1"/>
      <c r="E292" s="1"/>
      <c r="F292" s="1"/>
      <c r="G292" s="1"/>
      <c r="H292" s="1"/>
      <c r="I292" s="1"/>
    </row>
    <row r="293" spans="2:9" ht="15.75" customHeight="1" x14ac:dyDescent="0.25">
      <c r="B293" s="1"/>
      <c r="C293" s="1"/>
      <c r="D293" s="1"/>
      <c r="E293" s="1"/>
      <c r="F293" s="1"/>
      <c r="G293" s="1"/>
      <c r="H293" s="1"/>
      <c r="I293" s="1"/>
    </row>
    <row r="294" spans="2:9" ht="15.75" customHeight="1" x14ac:dyDescent="0.25">
      <c r="B294" s="1"/>
      <c r="C294" s="1"/>
      <c r="D294" s="1"/>
      <c r="E294" s="1"/>
      <c r="F294" s="1"/>
      <c r="G294" s="1"/>
      <c r="H294" s="1"/>
      <c r="I294" s="1"/>
    </row>
    <row r="295" spans="2:9" ht="15.75" customHeight="1" x14ac:dyDescent="0.25">
      <c r="B295" s="1"/>
      <c r="C295" s="1"/>
      <c r="D295" s="1"/>
      <c r="E295" s="1"/>
      <c r="F295" s="1"/>
      <c r="G295" s="1"/>
      <c r="H295" s="1"/>
      <c r="I295" s="1"/>
    </row>
    <row r="296" spans="2:9" ht="15.75" customHeight="1" x14ac:dyDescent="0.25">
      <c r="B296" s="1"/>
      <c r="C296" s="1"/>
      <c r="D296" s="1"/>
      <c r="E296" s="1"/>
      <c r="F296" s="1"/>
      <c r="G296" s="1"/>
      <c r="H296" s="1"/>
      <c r="I296" s="1"/>
    </row>
    <row r="297" spans="2:9" ht="15.75" customHeight="1" x14ac:dyDescent="0.25">
      <c r="B297" s="1"/>
      <c r="C297" s="1"/>
      <c r="D297" s="1"/>
      <c r="E297" s="1"/>
      <c r="F297" s="1"/>
      <c r="G297" s="1"/>
      <c r="H297" s="1"/>
      <c r="I297" s="1"/>
    </row>
    <row r="298" spans="2:9" ht="15.75" customHeight="1" x14ac:dyDescent="0.25">
      <c r="B298" s="1"/>
      <c r="C298" s="1"/>
      <c r="D298" s="1"/>
      <c r="E298" s="1"/>
      <c r="F298" s="1"/>
      <c r="G298" s="1"/>
      <c r="H298" s="1"/>
      <c r="I298" s="1"/>
    </row>
    <row r="299" spans="2:9" ht="15.75" customHeight="1" x14ac:dyDescent="0.25">
      <c r="B299" s="1"/>
      <c r="C299" s="1"/>
      <c r="D299" s="1"/>
      <c r="E299" s="1"/>
      <c r="F299" s="1"/>
      <c r="G299" s="1"/>
      <c r="H299" s="1"/>
      <c r="I299" s="1"/>
    </row>
    <row r="300" spans="2:9" ht="15.75" customHeight="1" x14ac:dyDescent="0.25">
      <c r="B300" s="1"/>
      <c r="C300" s="1"/>
      <c r="D300" s="1"/>
      <c r="E300" s="1"/>
      <c r="F300" s="1"/>
      <c r="G300" s="1"/>
      <c r="H300" s="1"/>
      <c r="I300" s="1"/>
    </row>
    <row r="301" spans="2:9" ht="15.75" customHeight="1" x14ac:dyDescent="0.25">
      <c r="B301" s="1"/>
      <c r="C301" s="1"/>
      <c r="D301" s="1"/>
      <c r="E301" s="1"/>
      <c r="F301" s="1"/>
      <c r="G301" s="1"/>
      <c r="H301" s="1"/>
      <c r="I301" s="1"/>
    </row>
    <row r="302" spans="2:9" ht="15.75" customHeight="1" x14ac:dyDescent="0.25">
      <c r="B302" s="1"/>
      <c r="C302" s="1"/>
      <c r="D302" s="1"/>
      <c r="E302" s="1"/>
      <c r="F302" s="1"/>
      <c r="G302" s="1"/>
      <c r="H302" s="1"/>
      <c r="I302" s="1"/>
    </row>
    <row r="303" spans="2:9" ht="15.75" customHeight="1" x14ac:dyDescent="0.25">
      <c r="B303" s="1"/>
      <c r="C303" s="1"/>
      <c r="D303" s="1"/>
      <c r="E303" s="1"/>
      <c r="F303" s="1"/>
      <c r="G303" s="1"/>
      <c r="H303" s="1"/>
      <c r="I303" s="1"/>
    </row>
    <row r="304" spans="2:9" ht="15.75" customHeight="1" x14ac:dyDescent="0.25">
      <c r="B304" s="1"/>
      <c r="C304" s="1"/>
      <c r="D304" s="1"/>
      <c r="E304" s="1"/>
      <c r="F304" s="1"/>
      <c r="G304" s="1"/>
      <c r="H304" s="1"/>
      <c r="I304" s="1"/>
    </row>
    <row r="305" spans="2:9" ht="15.75" customHeight="1" x14ac:dyDescent="0.25">
      <c r="B305" s="1"/>
      <c r="C305" s="1"/>
      <c r="D305" s="1"/>
      <c r="E305" s="1"/>
      <c r="F305" s="1"/>
      <c r="G305" s="1"/>
      <c r="H305" s="1"/>
      <c r="I305" s="1"/>
    </row>
    <row r="306" spans="2:9" ht="15.75" customHeight="1" x14ac:dyDescent="0.25">
      <c r="B306" s="1"/>
      <c r="C306" s="1"/>
      <c r="D306" s="1"/>
      <c r="E306" s="1"/>
      <c r="F306" s="1"/>
      <c r="G306" s="1"/>
      <c r="H306" s="1"/>
      <c r="I306" s="1"/>
    </row>
    <row r="307" spans="2:9" ht="15.75" customHeight="1" x14ac:dyDescent="0.25">
      <c r="B307" s="1"/>
      <c r="C307" s="1"/>
      <c r="D307" s="1"/>
      <c r="E307" s="1"/>
      <c r="F307" s="1"/>
      <c r="G307" s="1"/>
      <c r="H307" s="1"/>
      <c r="I307" s="1"/>
    </row>
    <row r="308" spans="2:9" ht="15.75" customHeight="1" x14ac:dyDescent="0.25">
      <c r="B308" s="1"/>
      <c r="C308" s="1"/>
      <c r="D308" s="1"/>
      <c r="E308" s="1"/>
      <c r="F308" s="1"/>
      <c r="G308" s="1"/>
      <c r="H308" s="1"/>
      <c r="I308" s="1"/>
    </row>
    <row r="309" spans="2:9" ht="15.75" customHeight="1" x14ac:dyDescent="0.25">
      <c r="B309" s="1"/>
      <c r="C309" s="1"/>
      <c r="D309" s="1"/>
      <c r="E309" s="1"/>
      <c r="F309" s="1"/>
      <c r="G309" s="1"/>
      <c r="H309" s="1"/>
      <c r="I309" s="1"/>
    </row>
    <row r="310" spans="2:9" ht="15.75" customHeight="1" x14ac:dyDescent="0.25">
      <c r="B310" s="1"/>
      <c r="C310" s="1"/>
      <c r="D310" s="1"/>
      <c r="E310" s="1"/>
      <c r="F310" s="1"/>
      <c r="G310" s="1"/>
      <c r="H310" s="1"/>
      <c r="I310" s="1"/>
    </row>
    <row r="311" spans="2:9" ht="15.75" customHeight="1" x14ac:dyDescent="0.25">
      <c r="B311" s="1"/>
      <c r="C311" s="1"/>
      <c r="D311" s="1"/>
      <c r="E311" s="1"/>
      <c r="F311" s="1"/>
      <c r="G311" s="1"/>
      <c r="H311" s="1"/>
      <c r="I311" s="1"/>
    </row>
    <row r="312" spans="2:9" ht="15.75" customHeight="1" x14ac:dyDescent="0.25">
      <c r="B312" s="1"/>
      <c r="C312" s="1"/>
      <c r="D312" s="1"/>
      <c r="E312" s="1"/>
      <c r="F312" s="1"/>
      <c r="G312" s="1"/>
      <c r="H312" s="1"/>
      <c r="I312" s="1"/>
    </row>
    <row r="313" spans="2:9" ht="15.75" customHeight="1" x14ac:dyDescent="0.25">
      <c r="B313" s="1"/>
      <c r="C313" s="1"/>
      <c r="D313" s="1"/>
      <c r="E313" s="1"/>
      <c r="F313" s="1"/>
      <c r="G313" s="1"/>
      <c r="H313" s="1"/>
      <c r="I313" s="1"/>
    </row>
    <row r="314" spans="2:9" ht="15.75" customHeight="1" x14ac:dyDescent="0.25">
      <c r="B314" s="1"/>
      <c r="C314" s="1"/>
      <c r="D314" s="1"/>
      <c r="E314" s="1"/>
      <c r="F314" s="1"/>
      <c r="G314" s="1"/>
      <c r="H314" s="1"/>
      <c r="I314" s="1"/>
    </row>
    <row r="315" spans="2:9" ht="15.75" customHeight="1" x14ac:dyDescent="0.25">
      <c r="B315" s="1"/>
      <c r="C315" s="1"/>
      <c r="D315" s="1"/>
      <c r="E315" s="1"/>
      <c r="F315" s="1"/>
      <c r="G315" s="1"/>
      <c r="H315" s="1"/>
      <c r="I315" s="1"/>
    </row>
    <row r="316" spans="2:9" ht="15.75" customHeight="1" x14ac:dyDescent="0.25">
      <c r="B316" s="1"/>
      <c r="C316" s="1"/>
      <c r="D316" s="1"/>
      <c r="E316" s="1"/>
      <c r="F316" s="1"/>
      <c r="G316" s="1"/>
      <c r="H316" s="1"/>
      <c r="I316" s="1"/>
    </row>
    <row r="317" spans="2:9" ht="15.75" customHeight="1" x14ac:dyDescent="0.25">
      <c r="B317" s="1"/>
      <c r="C317" s="1"/>
      <c r="D317" s="1"/>
      <c r="E317" s="1"/>
      <c r="F317" s="1"/>
      <c r="G317" s="1"/>
      <c r="H317" s="1"/>
      <c r="I317" s="1"/>
    </row>
    <row r="318" spans="2:9" ht="15.75" customHeight="1" x14ac:dyDescent="0.25">
      <c r="B318" s="1"/>
      <c r="C318" s="1"/>
      <c r="D318" s="1"/>
      <c r="E318" s="1"/>
      <c r="F318" s="1"/>
      <c r="G318" s="1"/>
      <c r="H318" s="1"/>
      <c r="I318" s="1"/>
    </row>
    <row r="319" spans="2:9" ht="15.75" customHeight="1" x14ac:dyDescent="0.25">
      <c r="B319" s="1"/>
      <c r="C319" s="1"/>
      <c r="D319" s="1"/>
      <c r="E319" s="1"/>
      <c r="F319" s="1"/>
      <c r="G319" s="1"/>
      <c r="H319" s="1"/>
      <c r="I319" s="1"/>
    </row>
    <row r="320" spans="2:9" ht="15.75" customHeight="1" x14ac:dyDescent="0.25">
      <c r="B320" s="1"/>
      <c r="C320" s="1"/>
      <c r="D320" s="1"/>
      <c r="E320" s="1"/>
      <c r="F320" s="1"/>
      <c r="G320" s="1"/>
      <c r="H320" s="1"/>
      <c r="I320" s="1"/>
    </row>
    <row r="321" spans="2:9" ht="15.75" customHeight="1" x14ac:dyDescent="0.25">
      <c r="B321" s="1"/>
      <c r="C321" s="1"/>
      <c r="D321" s="1"/>
      <c r="E321" s="1"/>
      <c r="F321" s="1"/>
      <c r="G321" s="1"/>
      <c r="H321" s="1"/>
      <c r="I321" s="1"/>
    </row>
    <row r="322" spans="2:9" ht="15.75" customHeight="1" x14ac:dyDescent="0.25">
      <c r="B322" s="1"/>
      <c r="C322" s="1"/>
      <c r="D322" s="1"/>
      <c r="E322" s="1"/>
      <c r="F322" s="1"/>
      <c r="G322" s="1"/>
      <c r="H322" s="1"/>
      <c r="I322" s="1"/>
    </row>
    <row r="323" spans="2:9" ht="15.75" customHeight="1" x14ac:dyDescent="0.25">
      <c r="B323" s="1"/>
      <c r="C323" s="1"/>
      <c r="D323" s="1"/>
      <c r="E323" s="1"/>
      <c r="F323" s="1"/>
      <c r="G323" s="1"/>
      <c r="H323" s="1"/>
      <c r="I323" s="1"/>
    </row>
    <row r="324" spans="2:9" ht="15.75" customHeight="1" x14ac:dyDescent="0.25">
      <c r="B324" s="1"/>
      <c r="C324" s="1"/>
      <c r="D324" s="1"/>
      <c r="E324" s="1"/>
      <c r="F324" s="1"/>
      <c r="G324" s="1"/>
      <c r="H324" s="1"/>
      <c r="I324" s="1"/>
    </row>
    <row r="325" spans="2:9" ht="15.75" customHeight="1" x14ac:dyDescent="0.25">
      <c r="B325" s="1"/>
      <c r="C325" s="1"/>
      <c r="D325" s="1"/>
      <c r="E325" s="1"/>
      <c r="F325" s="1"/>
      <c r="G325" s="1"/>
      <c r="H325" s="1"/>
      <c r="I325" s="1"/>
    </row>
    <row r="326" spans="2:9" ht="15.75" customHeight="1" x14ac:dyDescent="0.25">
      <c r="B326" s="1"/>
      <c r="C326" s="1"/>
      <c r="D326" s="1"/>
      <c r="E326" s="1"/>
      <c r="F326" s="1"/>
      <c r="G326" s="1"/>
      <c r="H326" s="1"/>
      <c r="I326" s="1"/>
    </row>
    <row r="327" spans="2:9" ht="15.75" customHeight="1" x14ac:dyDescent="0.25">
      <c r="B327" s="1"/>
      <c r="C327" s="1"/>
      <c r="D327" s="1"/>
      <c r="E327" s="1"/>
      <c r="F327" s="1"/>
      <c r="G327" s="1"/>
      <c r="H327" s="1"/>
      <c r="I327" s="1"/>
    </row>
    <row r="328" spans="2:9" ht="15.75" customHeight="1" x14ac:dyDescent="0.25">
      <c r="B328" s="1"/>
      <c r="C328" s="1"/>
      <c r="D328" s="1"/>
      <c r="E328" s="1"/>
      <c r="F328" s="1"/>
      <c r="G328" s="1"/>
      <c r="H328" s="1"/>
      <c r="I328" s="1"/>
    </row>
    <row r="329" spans="2:9" ht="15.75" customHeight="1" x14ac:dyDescent="0.25">
      <c r="B329" s="1"/>
      <c r="C329" s="1"/>
      <c r="D329" s="1"/>
      <c r="E329" s="1"/>
      <c r="F329" s="1"/>
      <c r="G329" s="1"/>
      <c r="H329" s="1"/>
      <c r="I329" s="1"/>
    </row>
    <row r="330" spans="2:9" ht="15.75" customHeight="1" x14ac:dyDescent="0.25">
      <c r="B330" s="1"/>
      <c r="C330" s="1"/>
      <c r="D330" s="1"/>
      <c r="E330" s="1"/>
      <c r="F330" s="1"/>
      <c r="G330" s="1"/>
      <c r="H330" s="1"/>
      <c r="I330" s="1"/>
    </row>
    <row r="331" spans="2:9" ht="15.75" customHeight="1" x14ac:dyDescent="0.25">
      <c r="B331" s="1"/>
      <c r="C331" s="1"/>
      <c r="D331" s="1"/>
      <c r="E331" s="1"/>
      <c r="F331" s="1"/>
      <c r="G331" s="1"/>
      <c r="H331" s="1"/>
      <c r="I331" s="1"/>
    </row>
    <row r="332" spans="2:9" ht="15.75" customHeight="1" x14ac:dyDescent="0.25">
      <c r="B332" s="1"/>
      <c r="C332" s="1"/>
      <c r="D332" s="1"/>
      <c r="E332" s="1"/>
      <c r="F332" s="1"/>
      <c r="G332" s="1"/>
      <c r="H332" s="1"/>
      <c r="I332" s="1"/>
    </row>
    <row r="333" spans="2:9" ht="15.75" customHeight="1" x14ac:dyDescent="0.25">
      <c r="B333" s="1"/>
      <c r="C333" s="1"/>
      <c r="D333" s="1"/>
      <c r="E333" s="1"/>
      <c r="F333" s="1"/>
      <c r="G333" s="1"/>
      <c r="H333" s="1"/>
      <c r="I333" s="1"/>
    </row>
    <row r="334" spans="2:9" ht="15.75" customHeight="1" x14ac:dyDescent="0.25">
      <c r="B334" s="1"/>
      <c r="C334" s="1"/>
      <c r="D334" s="1"/>
      <c r="E334" s="1"/>
      <c r="F334" s="1"/>
      <c r="G334" s="1"/>
      <c r="H334" s="1"/>
      <c r="I334" s="1"/>
    </row>
    <row r="335" spans="2:9" ht="15.75" customHeight="1" x14ac:dyDescent="0.25">
      <c r="B335" s="1"/>
      <c r="C335" s="1"/>
      <c r="D335" s="1"/>
      <c r="E335" s="1"/>
      <c r="F335" s="1"/>
      <c r="G335" s="1"/>
      <c r="H335" s="1"/>
      <c r="I335" s="1"/>
    </row>
    <row r="336" spans="2:9" ht="15.75" customHeight="1" x14ac:dyDescent="0.25">
      <c r="B336" s="1"/>
      <c r="C336" s="1"/>
      <c r="D336" s="1"/>
      <c r="E336" s="1"/>
      <c r="F336" s="1"/>
      <c r="G336" s="1"/>
      <c r="H336" s="1"/>
      <c r="I336" s="1"/>
    </row>
    <row r="337" spans="2:9" ht="15.75" customHeight="1" x14ac:dyDescent="0.25">
      <c r="B337" s="1"/>
      <c r="C337" s="1"/>
      <c r="D337" s="1"/>
      <c r="E337" s="1"/>
      <c r="F337" s="1"/>
      <c r="G337" s="1"/>
      <c r="H337" s="1"/>
      <c r="I337" s="1"/>
    </row>
    <row r="338" spans="2:9" ht="15.75" customHeight="1" x14ac:dyDescent="0.25">
      <c r="B338" s="1"/>
      <c r="C338" s="1"/>
      <c r="D338" s="1"/>
      <c r="E338" s="1"/>
      <c r="F338" s="1"/>
      <c r="G338" s="1"/>
      <c r="H338" s="1"/>
      <c r="I338" s="1"/>
    </row>
    <row r="339" spans="2:9" ht="15.75" customHeight="1" x14ac:dyDescent="0.25">
      <c r="B339" s="1"/>
      <c r="C339" s="1"/>
      <c r="D339" s="1"/>
      <c r="E339" s="1"/>
      <c r="F339" s="1"/>
      <c r="G339" s="1"/>
      <c r="H339" s="1"/>
      <c r="I339" s="1"/>
    </row>
    <row r="340" spans="2:9" ht="15.75" customHeight="1" x14ac:dyDescent="0.25">
      <c r="B340" s="1"/>
      <c r="C340" s="1"/>
      <c r="D340" s="1"/>
      <c r="E340" s="1"/>
      <c r="F340" s="1"/>
      <c r="G340" s="1"/>
      <c r="H340" s="1"/>
      <c r="I340" s="1"/>
    </row>
    <row r="341" spans="2:9" ht="15.75" customHeight="1" x14ac:dyDescent="0.25">
      <c r="B341" s="1"/>
      <c r="C341" s="1"/>
      <c r="D341" s="1"/>
      <c r="E341" s="1"/>
      <c r="F341" s="1"/>
      <c r="G341" s="1"/>
      <c r="H341" s="1"/>
      <c r="I341" s="1"/>
    </row>
    <row r="342" spans="2:9" ht="15.75" customHeight="1" x14ac:dyDescent="0.25">
      <c r="B342" s="1"/>
      <c r="C342" s="1"/>
      <c r="D342" s="1"/>
      <c r="E342" s="1"/>
      <c r="F342" s="1"/>
      <c r="G342" s="1"/>
      <c r="H342" s="1"/>
      <c r="I342" s="1"/>
    </row>
    <row r="343" spans="2:9" ht="15.75" customHeight="1" x14ac:dyDescent="0.25">
      <c r="B343" s="1"/>
      <c r="C343" s="1"/>
      <c r="D343" s="1"/>
      <c r="E343" s="1"/>
      <c r="F343" s="1"/>
      <c r="G343" s="1"/>
      <c r="H343" s="1"/>
      <c r="I343" s="1"/>
    </row>
    <row r="344" spans="2:9" ht="15.75" customHeight="1" x14ac:dyDescent="0.25">
      <c r="B344" s="1"/>
      <c r="C344" s="1"/>
      <c r="D344" s="1"/>
      <c r="E344" s="1"/>
      <c r="F344" s="1"/>
      <c r="G344" s="1"/>
      <c r="H344" s="1"/>
      <c r="I344" s="1"/>
    </row>
    <row r="345" spans="2:9" ht="15.75" customHeight="1" x14ac:dyDescent="0.25">
      <c r="B345" s="1"/>
      <c r="C345" s="1"/>
      <c r="D345" s="1"/>
      <c r="E345" s="1"/>
      <c r="F345" s="1"/>
      <c r="G345" s="1"/>
      <c r="H345" s="1"/>
      <c r="I345" s="1"/>
    </row>
    <row r="346" spans="2:9" ht="15.75" customHeight="1" x14ac:dyDescent="0.25">
      <c r="B346" s="1"/>
      <c r="C346" s="1"/>
      <c r="D346" s="1"/>
      <c r="E346" s="1"/>
      <c r="F346" s="1"/>
      <c r="G346" s="1"/>
      <c r="H346" s="1"/>
      <c r="I346" s="1"/>
    </row>
    <row r="347" spans="2:9" ht="15.75" customHeight="1" x14ac:dyDescent="0.25">
      <c r="B347" s="1"/>
      <c r="C347" s="1"/>
      <c r="D347" s="1"/>
      <c r="E347" s="1"/>
      <c r="F347" s="1"/>
      <c r="G347" s="1"/>
      <c r="H347" s="1"/>
      <c r="I347" s="1"/>
    </row>
    <row r="348" spans="2:9" ht="15.75" customHeight="1" x14ac:dyDescent="0.25">
      <c r="B348" s="1"/>
      <c r="C348" s="1"/>
      <c r="D348" s="1"/>
      <c r="E348" s="1"/>
      <c r="F348" s="1"/>
      <c r="G348" s="1"/>
      <c r="H348" s="1"/>
      <c r="I348" s="1"/>
    </row>
    <row r="349" spans="2:9" ht="15.75" customHeight="1" x14ac:dyDescent="0.25">
      <c r="B349" s="1"/>
      <c r="C349" s="1"/>
      <c r="D349" s="1"/>
      <c r="E349" s="1"/>
      <c r="F349" s="1"/>
      <c r="G349" s="1"/>
      <c r="H349" s="1"/>
      <c r="I349" s="1"/>
    </row>
    <row r="350" spans="2:9" ht="15.75" customHeight="1" x14ac:dyDescent="0.25">
      <c r="B350" s="1"/>
      <c r="C350" s="1"/>
      <c r="D350" s="1"/>
      <c r="E350" s="1"/>
      <c r="F350" s="1"/>
      <c r="G350" s="1"/>
      <c r="H350" s="1"/>
      <c r="I350" s="1"/>
    </row>
    <row r="351" spans="2:9" ht="15.75" customHeight="1" x14ac:dyDescent="0.25">
      <c r="B351" s="1"/>
      <c r="C351" s="1"/>
      <c r="D351" s="1"/>
      <c r="E351" s="1"/>
      <c r="F351" s="1"/>
      <c r="G351" s="1"/>
      <c r="H351" s="1"/>
      <c r="I351" s="1"/>
    </row>
    <row r="352" spans="2:9" ht="15.75" customHeight="1" x14ac:dyDescent="0.25">
      <c r="B352" s="1"/>
      <c r="C352" s="1"/>
      <c r="D352" s="1"/>
      <c r="E352" s="1"/>
      <c r="F352" s="1"/>
      <c r="G352" s="1"/>
      <c r="H352" s="1"/>
      <c r="I352" s="1"/>
    </row>
    <row r="353" spans="2:9" ht="15.75" customHeight="1" x14ac:dyDescent="0.25">
      <c r="B353" s="1"/>
      <c r="C353" s="1"/>
      <c r="D353" s="1"/>
      <c r="E353" s="1"/>
      <c r="F353" s="1"/>
      <c r="G353" s="1"/>
      <c r="H353" s="1"/>
      <c r="I353" s="1"/>
    </row>
    <row r="354" spans="2:9" ht="15.75" customHeight="1" x14ac:dyDescent="0.25">
      <c r="B354" s="1"/>
      <c r="C354" s="1"/>
      <c r="D354" s="1"/>
      <c r="E354" s="1"/>
      <c r="F354" s="1"/>
      <c r="G354" s="1"/>
      <c r="H354" s="1"/>
      <c r="I354" s="1"/>
    </row>
    <row r="355" spans="2:9" ht="15.75" customHeight="1" x14ac:dyDescent="0.25">
      <c r="B355" s="1"/>
      <c r="C355" s="1"/>
      <c r="D355" s="1"/>
      <c r="E355" s="1"/>
      <c r="F355" s="1"/>
      <c r="G355" s="1"/>
      <c r="H355" s="1"/>
      <c r="I355" s="1"/>
    </row>
    <row r="356" spans="2:9" ht="15.75" customHeight="1" x14ac:dyDescent="0.25">
      <c r="B356" s="1"/>
      <c r="C356" s="1"/>
      <c r="D356" s="1"/>
      <c r="E356" s="1"/>
      <c r="F356" s="1"/>
      <c r="G356" s="1"/>
      <c r="H356" s="1"/>
      <c r="I356" s="1"/>
    </row>
    <row r="357" spans="2:9" ht="15.75" customHeight="1" x14ac:dyDescent="0.25">
      <c r="B357" s="1"/>
      <c r="C357" s="1"/>
      <c r="D357" s="1"/>
      <c r="E357" s="1"/>
      <c r="F357" s="1"/>
      <c r="G357" s="1"/>
      <c r="H357" s="1"/>
      <c r="I357" s="1"/>
    </row>
    <row r="358" spans="2:9" ht="15.75" customHeight="1" x14ac:dyDescent="0.25">
      <c r="B358" s="1"/>
      <c r="C358" s="1"/>
      <c r="D358" s="1"/>
      <c r="E358" s="1"/>
      <c r="F358" s="1"/>
      <c r="G358" s="1"/>
      <c r="H358" s="1"/>
      <c r="I358" s="1"/>
    </row>
    <row r="359" spans="2:9" ht="15.75" customHeight="1" x14ac:dyDescent="0.25">
      <c r="B359" s="1"/>
      <c r="C359" s="1"/>
      <c r="D359" s="1"/>
      <c r="E359" s="1"/>
      <c r="F359" s="1"/>
      <c r="G359" s="1"/>
      <c r="H359" s="1"/>
      <c r="I359" s="1"/>
    </row>
    <row r="360" spans="2:9" ht="15.75" customHeight="1" x14ac:dyDescent="0.25">
      <c r="B360" s="1"/>
      <c r="C360" s="1"/>
      <c r="D360" s="1"/>
      <c r="E360" s="1"/>
      <c r="F360" s="1"/>
      <c r="G360" s="1"/>
      <c r="H360" s="1"/>
      <c r="I360" s="1"/>
    </row>
    <row r="361" spans="2:9" ht="15.75" customHeight="1" x14ac:dyDescent="0.25">
      <c r="B361" s="1"/>
      <c r="C361" s="1"/>
      <c r="D361" s="1"/>
      <c r="E361" s="1"/>
      <c r="F361" s="1"/>
      <c r="G361" s="1"/>
      <c r="H361" s="1"/>
      <c r="I361" s="1"/>
    </row>
    <row r="362" spans="2:9" ht="15.75" customHeight="1" x14ac:dyDescent="0.25">
      <c r="B362" s="1"/>
      <c r="C362" s="1"/>
      <c r="D362" s="1"/>
      <c r="E362" s="1"/>
      <c r="F362" s="1"/>
      <c r="G362" s="1"/>
      <c r="H362" s="1"/>
      <c r="I362" s="1"/>
    </row>
    <row r="363" spans="2:9" ht="15.75" customHeight="1" x14ac:dyDescent="0.25">
      <c r="B363" s="1"/>
      <c r="C363" s="1"/>
      <c r="D363" s="1"/>
      <c r="E363" s="1"/>
      <c r="F363" s="1"/>
      <c r="G363" s="1"/>
      <c r="H363" s="1"/>
      <c r="I363" s="1"/>
    </row>
    <row r="364" spans="2:9" ht="15.75" customHeight="1" x14ac:dyDescent="0.25">
      <c r="B364" s="1"/>
      <c r="C364" s="1"/>
      <c r="D364" s="1"/>
      <c r="E364" s="1"/>
      <c r="F364" s="1"/>
      <c r="G364" s="1"/>
      <c r="H364" s="1"/>
      <c r="I364" s="1"/>
    </row>
    <row r="365" spans="2:9" ht="15.75" customHeight="1" x14ac:dyDescent="0.25">
      <c r="B365" s="1"/>
      <c r="C365" s="1"/>
      <c r="D365" s="1"/>
      <c r="E365" s="1"/>
      <c r="F365" s="1"/>
      <c r="G365" s="1"/>
      <c r="H365" s="1"/>
      <c r="I365" s="1"/>
    </row>
    <row r="366" spans="2:9" ht="15.75" customHeight="1" x14ac:dyDescent="0.25">
      <c r="B366" s="1"/>
      <c r="C366" s="1"/>
      <c r="D366" s="1"/>
      <c r="E366" s="1"/>
      <c r="F366" s="1"/>
      <c r="G366" s="1"/>
      <c r="H366" s="1"/>
      <c r="I366" s="1"/>
    </row>
    <row r="367" spans="2:9" ht="15.75" customHeight="1" x14ac:dyDescent="0.25">
      <c r="B367" s="1"/>
      <c r="C367" s="1"/>
      <c r="D367" s="1"/>
      <c r="E367" s="1"/>
      <c r="F367" s="1"/>
      <c r="G367" s="1"/>
      <c r="H367" s="1"/>
      <c r="I367" s="1"/>
    </row>
    <row r="368" spans="2:9" ht="15.75" customHeight="1" x14ac:dyDescent="0.25">
      <c r="B368" s="1"/>
      <c r="C368" s="1"/>
      <c r="D368" s="1"/>
      <c r="E368" s="1"/>
      <c r="F368" s="1"/>
      <c r="G368" s="1"/>
      <c r="H368" s="1"/>
      <c r="I368" s="1"/>
    </row>
    <row r="369" spans="2:9" ht="15.75" customHeight="1" x14ac:dyDescent="0.25">
      <c r="B369" s="1"/>
      <c r="C369" s="1"/>
      <c r="D369" s="1"/>
      <c r="E369" s="1"/>
      <c r="F369" s="1"/>
      <c r="G369" s="1"/>
      <c r="H369" s="1"/>
      <c r="I369" s="1"/>
    </row>
    <row r="370" spans="2:9" ht="15.75" customHeight="1" x14ac:dyDescent="0.25">
      <c r="B370" s="1"/>
      <c r="C370" s="1"/>
      <c r="D370" s="1"/>
      <c r="E370" s="1"/>
      <c r="F370" s="1"/>
      <c r="G370" s="1"/>
      <c r="H370" s="1"/>
      <c r="I370" s="1"/>
    </row>
    <row r="371" spans="2:9" ht="15.75" customHeight="1" x14ac:dyDescent="0.25">
      <c r="B371" s="1"/>
      <c r="C371" s="1"/>
      <c r="D371" s="1"/>
      <c r="E371" s="1"/>
      <c r="F371" s="1"/>
      <c r="G371" s="1"/>
      <c r="H371" s="1"/>
      <c r="I371" s="1"/>
    </row>
    <row r="372" spans="2:9" ht="15.75" customHeight="1" x14ac:dyDescent="0.25">
      <c r="B372" s="1"/>
      <c r="C372" s="1"/>
      <c r="D372" s="1"/>
      <c r="E372" s="1"/>
      <c r="F372" s="1"/>
      <c r="G372" s="1"/>
      <c r="H372" s="1"/>
      <c r="I372" s="1"/>
    </row>
    <row r="373" spans="2:9" ht="15.75" customHeight="1" x14ac:dyDescent="0.25">
      <c r="B373" s="1"/>
      <c r="C373" s="1"/>
      <c r="D373" s="1"/>
      <c r="E373" s="1"/>
      <c r="F373" s="1"/>
      <c r="G373" s="1"/>
      <c r="H373" s="1"/>
      <c r="I373" s="1"/>
    </row>
    <row r="374" spans="2:9" ht="15.75" customHeight="1" x14ac:dyDescent="0.25">
      <c r="B374" s="1"/>
      <c r="C374" s="1"/>
      <c r="D374" s="1"/>
      <c r="E374" s="1"/>
      <c r="F374" s="1"/>
      <c r="G374" s="1"/>
      <c r="H374" s="1"/>
      <c r="I374" s="1"/>
    </row>
    <row r="375" spans="2:9" ht="15.75" customHeight="1" x14ac:dyDescent="0.25">
      <c r="B375" s="1"/>
      <c r="C375" s="1"/>
      <c r="D375" s="1"/>
      <c r="E375" s="1"/>
      <c r="F375" s="1"/>
      <c r="G375" s="1"/>
      <c r="H375" s="1"/>
      <c r="I375" s="1"/>
    </row>
    <row r="376" spans="2:9" ht="15.75" customHeight="1" x14ac:dyDescent="0.25">
      <c r="B376" s="1"/>
      <c r="C376" s="1"/>
      <c r="D376" s="1"/>
      <c r="E376" s="1"/>
      <c r="F376" s="1"/>
      <c r="G376" s="1"/>
      <c r="H376" s="1"/>
      <c r="I376" s="1"/>
    </row>
    <row r="377" spans="2:9" ht="15.75" customHeight="1" x14ac:dyDescent="0.25">
      <c r="B377" s="1"/>
      <c r="C377" s="1"/>
      <c r="D377" s="1"/>
      <c r="E377" s="1"/>
      <c r="F377" s="1"/>
      <c r="G377" s="1"/>
      <c r="H377" s="1"/>
      <c r="I377" s="1"/>
    </row>
    <row r="378" spans="2:9" ht="15.75" customHeight="1" x14ac:dyDescent="0.25">
      <c r="B378" s="1"/>
      <c r="C378" s="1"/>
      <c r="D378" s="1"/>
      <c r="E378" s="1"/>
      <c r="F378" s="1"/>
      <c r="G378" s="1"/>
      <c r="H378" s="1"/>
      <c r="I378" s="1"/>
    </row>
    <row r="379" spans="2:9" ht="15.75" customHeight="1" x14ac:dyDescent="0.25">
      <c r="B379" s="1"/>
      <c r="C379" s="1"/>
      <c r="D379" s="1"/>
      <c r="E379" s="1"/>
      <c r="F379" s="1"/>
      <c r="G379" s="1"/>
      <c r="H379" s="1"/>
      <c r="I379" s="1"/>
    </row>
    <row r="380" spans="2:9" ht="15.75" customHeight="1" x14ac:dyDescent="0.25">
      <c r="B380" s="1"/>
      <c r="C380" s="1"/>
      <c r="D380" s="1"/>
      <c r="E380" s="1"/>
      <c r="F380" s="1"/>
      <c r="G380" s="1"/>
      <c r="H380" s="1"/>
      <c r="I380" s="1"/>
    </row>
    <row r="381" spans="2:9" ht="15.75" customHeight="1" x14ac:dyDescent="0.25">
      <c r="B381" s="1"/>
      <c r="C381" s="1"/>
      <c r="D381" s="1"/>
      <c r="E381" s="1"/>
      <c r="F381" s="1"/>
      <c r="G381" s="1"/>
      <c r="H381" s="1"/>
      <c r="I381" s="1"/>
    </row>
    <row r="382" spans="2:9" ht="15.75" customHeight="1" x14ac:dyDescent="0.25">
      <c r="B382" s="1"/>
      <c r="C382" s="1"/>
      <c r="D382" s="1"/>
      <c r="E382" s="1"/>
      <c r="F382" s="1"/>
      <c r="G382" s="1"/>
      <c r="H382" s="1"/>
      <c r="I382" s="1"/>
    </row>
    <row r="383" spans="2:9" ht="15.75" customHeight="1" x14ac:dyDescent="0.25">
      <c r="B383" s="1"/>
      <c r="C383" s="1"/>
      <c r="D383" s="1"/>
      <c r="E383" s="1"/>
      <c r="F383" s="1"/>
      <c r="G383" s="1"/>
      <c r="H383" s="1"/>
      <c r="I383" s="1"/>
    </row>
    <row r="384" spans="2:9" ht="15.75" customHeight="1" x14ac:dyDescent="0.25">
      <c r="B384" s="1"/>
      <c r="C384" s="1"/>
      <c r="D384" s="1"/>
      <c r="E384" s="1"/>
      <c r="F384" s="1"/>
      <c r="G384" s="1"/>
      <c r="H384" s="1"/>
      <c r="I384" s="1"/>
    </row>
    <row r="385" spans="2:9" ht="15.75" customHeight="1" x14ac:dyDescent="0.25">
      <c r="B385" s="1"/>
      <c r="C385" s="1"/>
      <c r="D385" s="1"/>
      <c r="E385" s="1"/>
      <c r="F385" s="1"/>
      <c r="G385" s="1"/>
      <c r="H385" s="1"/>
      <c r="I385" s="1"/>
    </row>
    <row r="386" spans="2:9" ht="15.75" customHeight="1" x14ac:dyDescent="0.25">
      <c r="B386" s="1"/>
      <c r="C386" s="1"/>
      <c r="D386" s="1"/>
      <c r="E386" s="1"/>
      <c r="F386" s="1"/>
      <c r="G386" s="1"/>
      <c r="H386" s="1"/>
      <c r="I386" s="1"/>
    </row>
    <row r="387" spans="2:9" ht="15.75" customHeight="1" x14ac:dyDescent="0.25">
      <c r="B387" s="1"/>
      <c r="C387" s="1"/>
      <c r="D387" s="1"/>
      <c r="E387" s="1"/>
      <c r="F387" s="1"/>
      <c r="G387" s="1"/>
      <c r="H387" s="1"/>
      <c r="I387" s="1"/>
    </row>
    <row r="388" spans="2:9" ht="15.75" customHeight="1" x14ac:dyDescent="0.25">
      <c r="B388" s="1"/>
      <c r="C388" s="1"/>
      <c r="D388" s="1"/>
      <c r="E388" s="1"/>
      <c r="F388" s="1"/>
      <c r="G388" s="1"/>
      <c r="H388" s="1"/>
      <c r="I388" s="1"/>
    </row>
    <row r="389" spans="2:9" ht="15.75" customHeight="1" x14ac:dyDescent="0.25">
      <c r="B389" s="1"/>
      <c r="C389" s="1"/>
      <c r="D389" s="1"/>
      <c r="E389" s="1"/>
      <c r="F389" s="1"/>
      <c r="G389" s="1"/>
      <c r="H389" s="1"/>
      <c r="I389" s="1"/>
    </row>
    <row r="390" spans="2:9" ht="15.75" customHeight="1" x14ac:dyDescent="0.25">
      <c r="B390" s="1"/>
      <c r="C390" s="1"/>
      <c r="D390" s="1"/>
      <c r="E390" s="1"/>
      <c r="F390" s="1"/>
      <c r="G390" s="1"/>
      <c r="H390" s="1"/>
      <c r="I390" s="1"/>
    </row>
    <row r="391" spans="2:9" ht="15.75" customHeight="1" x14ac:dyDescent="0.25">
      <c r="B391" s="1"/>
      <c r="C391" s="1"/>
      <c r="D391" s="1"/>
      <c r="E391" s="1"/>
      <c r="F391" s="1"/>
      <c r="G391" s="1"/>
      <c r="H391" s="1"/>
      <c r="I391" s="1"/>
    </row>
    <row r="392" spans="2:9" ht="15.75" customHeight="1" x14ac:dyDescent="0.25">
      <c r="B392" s="1"/>
      <c r="C392" s="1"/>
      <c r="D392" s="1"/>
      <c r="E392" s="1"/>
      <c r="F392" s="1"/>
      <c r="G392" s="1"/>
      <c r="H392" s="1"/>
      <c r="I392" s="1"/>
    </row>
    <row r="393" spans="2:9" ht="15.75" customHeight="1" x14ac:dyDescent="0.25">
      <c r="B393" s="1"/>
      <c r="C393" s="1"/>
      <c r="D393" s="1"/>
      <c r="E393" s="1"/>
      <c r="F393" s="1"/>
      <c r="G393" s="1"/>
      <c r="H393" s="1"/>
      <c r="I393" s="1"/>
    </row>
    <row r="394" spans="2:9" ht="15.75" customHeight="1" x14ac:dyDescent="0.25">
      <c r="B394" s="1"/>
      <c r="C394" s="1"/>
      <c r="D394" s="1"/>
      <c r="E394" s="1"/>
      <c r="F394" s="1"/>
      <c r="G394" s="1"/>
      <c r="H394" s="1"/>
      <c r="I394" s="1"/>
    </row>
    <row r="395" spans="2:9" ht="15.75" customHeight="1" x14ac:dyDescent="0.25">
      <c r="B395" s="1"/>
      <c r="C395" s="1"/>
      <c r="D395" s="1"/>
      <c r="E395" s="1"/>
      <c r="F395" s="1"/>
      <c r="G395" s="1"/>
      <c r="H395" s="1"/>
      <c r="I395" s="1"/>
    </row>
    <row r="396" spans="2:9" ht="15.75" customHeight="1" x14ac:dyDescent="0.25">
      <c r="B396" s="1"/>
      <c r="C396" s="1"/>
      <c r="D396" s="1"/>
      <c r="E396" s="1"/>
      <c r="F396" s="1"/>
      <c r="G396" s="1"/>
      <c r="H396" s="1"/>
      <c r="I396" s="1"/>
    </row>
    <row r="397" spans="2:9" ht="15.75" customHeight="1" x14ac:dyDescent="0.25">
      <c r="B397" s="1"/>
      <c r="C397" s="1"/>
      <c r="D397" s="1"/>
      <c r="E397" s="1"/>
      <c r="F397" s="1"/>
      <c r="G397" s="1"/>
      <c r="H397" s="1"/>
      <c r="I397" s="1"/>
    </row>
    <row r="398" spans="2:9" ht="15.75" customHeight="1" x14ac:dyDescent="0.25">
      <c r="B398" s="1"/>
      <c r="C398" s="1"/>
      <c r="D398" s="1"/>
      <c r="E398" s="1"/>
      <c r="F398" s="1"/>
      <c r="G398" s="1"/>
      <c r="H398" s="1"/>
      <c r="I398" s="1"/>
    </row>
    <row r="399" spans="2:9" ht="15.75" customHeight="1" x14ac:dyDescent="0.25">
      <c r="B399" s="1"/>
      <c r="C399" s="1"/>
      <c r="D399" s="1"/>
      <c r="E399" s="1"/>
      <c r="F399" s="1"/>
      <c r="G399" s="1"/>
      <c r="H399" s="1"/>
      <c r="I399" s="1"/>
    </row>
    <row r="400" spans="2:9" ht="15.75" customHeight="1" x14ac:dyDescent="0.25">
      <c r="B400" s="1"/>
      <c r="C400" s="1"/>
      <c r="D400" s="1"/>
      <c r="E400" s="1"/>
      <c r="F400" s="1"/>
      <c r="G400" s="1"/>
      <c r="H400" s="1"/>
      <c r="I400" s="1"/>
    </row>
    <row r="401" spans="2:9" ht="15.75" customHeight="1" x14ac:dyDescent="0.25">
      <c r="B401" s="1"/>
      <c r="C401" s="1"/>
      <c r="D401" s="1"/>
      <c r="E401" s="1"/>
      <c r="F401" s="1"/>
      <c r="G401" s="1"/>
      <c r="H401" s="1"/>
      <c r="I401" s="1"/>
    </row>
    <row r="402" spans="2:9" ht="15.75" customHeight="1" x14ac:dyDescent="0.25">
      <c r="B402" s="1"/>
      <c r="C402" s="1"/>
      <c r="D402" s="1"/>
      <c r="E402" s="1"/>
      <c r="F402" s="1"/>
      <c r="G402" s="1"/>
      <c r="H402" s="1"/>
      <c r="I402" s="1"/>
    </row>
    <row r="403" spans="2:9" ht="15.75" customHeight="1" x14ac:dyDescent="0.25">
      <c r="B403" s="1"/>
      <c r="C403" s="1"/>
      <c r="D403" s="1"/>
      <c r="E403" s="1"/>
      <c r="F403" s="1"/>
      <c r="G403" s="1"/>
      <c r="H403" s="1"/>
      <c r="I403" s="1"/>
    </row>
    <row r="404" spans="2:9" ht="15.75" customHeight="1" x14ac:dyDescent="0.25">
      <c r="B404" s="1"/>
      <c r="C404" s="1"/>
      <c r="D404" s="1"/>
      <c r="E404" s="1"/>
      <c r="F404" s="1"/>
      <c r="G404" s="1"/>
      <c r="H404" s="1"/>
      <c r="I404" s="1"/>
    </row>
    <row r="405" spans="2:9" ht="15.75" customHeight="1" x14ac:dyDescent="0.25">
      <c r="B405" s="1"/>
      <c r="C405" s="1"/>
      <c r="D405" s="1"/>
      <c r="E405" s="1"/>
      <c r="F405" s="1"/>
      <c r="G405" s="1"/>
      <c r="H405" s="1"/>
      <c r="I405" s="1"/>
    </row>
    <row r="406" spans="2:9" ht="15.75" customHeight="1" x14ac:dyDescent="0.25">
      <c r="B406" s="1"/>
      <c r="C406" s="1"/>
      <c r="D406" s="1"/>
      <c r="E406" s="1"/>
      <c r="F406" s="1"/>
      <c r="G406" s="1"/>
      <c r="H406" s="1"/>
      <c r="I406" s="1"/>
    </row>
    <row r="407" spans="2:9" ht="15.75" customHeight="1" x14ac:dyDescent="0.25">
      <c r="B407" s="1"/>
      <c r="C407" s="1"/>
      <c r="D407" s="1"/>
      <c r="E407" s="1"/>
      <c r="F407" s="1"/>
      <c r="G407" s="1"/>
      <c r="H407" s="1"/>
      <c r="I407" s="1"/>
    </row>
    <row r="408" spans="2:9" ht="15.75" customHeight="1" x14ac:dyDescent="0.25">
      <c r="B408" s="1"/>
      <c r="C408" s="1"/>
      <c r="D408" s="1"/>
      <c r="E408" s="1"/>
      <c r="F408" s="1"/>
      <c r="G408" s="1"/>
      <c r="H408" s="1"/>
      <c r="I408" s="1"/>
    </row>
    <row r="409" spans="2:9" ht="15.75" customHeight="1" x14ac:dyDescent="0.25">
      <c r="B409" s="1"/>
      <c r="C409" s="1"/>
      <c r="D409" s="1"/>
      <c r="E409" s="1"/>
      <c r="F409" s="1"/>
      <c r="G409" s="1"/>
      <c r="H409" s="1"/>
      <c r="I409" s="1"/>
    </row>
    <row r="410" spans="2:9" ht="15.75" customHeight="1" x14ac:dyDescent="0.25">
      <c r="B410" s="1"/>
      <c r="C410" s="1"/>
      <c r="D410" s="1"/>
      <c r="E410" s="1"/>
      <c r="F410" s="1"/>
      <c r="G410" s="1"/>
      <c r="H410" s="1"/>
      <c r="I410" s="1"/>
    </row>
    <row r="411" spans="2:9" ht="15.75" customHeight="1" x14ac:dyDescent="0.25">
      <c r="B411" s="1"/>
      <c r="C411" s="1"/>
      <c r="D411" s="1"/>
      <c r="E411" s="1"/>
      <c r="F411" s="1"/>
      <c r="G411" s="1"/>
      <c r="H411" s="1"/>
      <c r="I411" s="1"/>
    </row>
    <row r="412" spans="2:9" ht="15.75" customHeight="1" x14ac:dyDescent="0.25">
      <c r="B412" s="1"/>
      <c r="C412" s="1"/>
      <c r="D412" s="1"/>
      <c r="E412" s="1"/>
      <c r="F412" s="1"/>
      <c r="G412" s="1"/>
      <c r="H412" s="1"/>
      <c r="I412" s="1"/>
    </row>
    <row r="413" spans="2:9" ht="15.75" customHeight="1" x14ac:dyDescent="0.25">
      <c r="B413" s="1"/>
      <c r="C413" s="1"/>
      <c r="D413" s="1"/>
      <c r="E413" s="1"/>
      <c r="F413" s="1"/>
      <c r="G413" s="1"/>
      <c r="H413" s="1"/>
      <c r="I413" s="1"/>
    </row>
    <row r="414" spans="2:9" ht="15.75" customHeight="1" x14ac:dyDescent="0.25">
      <c r="B414" s="1"/>
      <c r="C414" s="1"/>
      <c r="D414" s="1"/>
      <c r="E414" s="1"/>
      <c r="F414" s="1"/>
      <c r="G414" s="1"/>
      <c r="H414" s="1"/>
      <c r="I414" s="1"/>
    </row>
    <row r="415" spans="2:9" ht="15.75" customHeight="1" x14ac:dyDescent="0.25">
      <c r="B415" s="1"/>
      <c r="C415" s="1"/>
      <c r="D415" s="1"/>
      <c r="E415" s="1"/>
      <c r="F415" s="1"/>
      <c r="G415" s="1"/>
      <c r="H415" s="1"/>
      <c r="I415" s="1"/>
    </row>
    <row r="416" spans="2:9" ht="15.75" customHeight="1" x14ac:dyDescent="0.25">
      <c r="B416" s="1"/>
      <c r="C416" s="1"/>
      <c r="D416" s="1"/>
      <c r="E416" s="1"/>
      <c r="F416" s="1"/>
      <c r="G416" s="1"/>
      <c r="H416" s="1"/>
      <c r="I416" s="1"/>
    </row>
    <row r="417" spans="2:9" ht="15.75" customHeight="1" x14ac:dyDescent="0.25">
      <c r="B417" s="1"/>
      <c r="C417" s="1"/>
      <c r="D417" s="1"/>
      <c r="E417" s="1"/>
      <c r="F417" s="1"/>
      <c r="G417" s="1"/>
      <c r="H417" s="1"/>
      <c r="I417" s="1"/>
    </row>
    <row r="418" spans="2:9" ht="15.75" customHeight="1" x14ac:dyDescent="0.25">
      <c r="B418" s="1"/>
      <c r="C418" s="1"/>
      <c r="D418" s="1"/>
      <c r="E418" s="1"/>
      <c r="F418" s="1"/>
      <c r="G418" s="1"/>
      <c r="H418" s="1"/>
      <c r="I418" s="1"/>
    </row>
    <row r="419" spans="2:9" ht="15.75" customHeight="1" x14ac:dyDescent="0.25">
      <c r="B419" s="1"/>
      <c r="C419" s="1"/>
      <c r="D419" s="1"/>
      <c r="E419" s="1"/>
      <c r="F419" s="1"/>
      <c r="G419" s="1"/>
      <c r="H419" s="1"/>
      <c r="I419" s="1"/>
    </row>
    <row r="420" spans="2:9" ht="15.75" customHeight="1" x14ac:dyDescent="0.25">
      <c r="B420" s="1"/>
      <c r="C420" s="1"/>
      <c r="D420" s="1"/>
      <c r="E420" s="1"/>
      <c r="F420" s="1"/>
      <c r="G420" s="1"/>
      <c r="H420" s="1"/>
      <c r="I420" s="1"/>
    </row>
    <row r="421" spans="2:9" ht="15.75" customHeight="1" x14ac:dyDescent="0.25">
      <c r="B421" s="1"/>
      <c r="C421" s="1"/>
      <c r="D421" s="1"/>
      <c r="E421" s="1"/>
      <c r="F421" s="1"/>
      <c r="G421" s="1"/>
      <c r="H421" s="1"/>
      <c r="I421" s="1"/>
    </row>
    <row r="422" spans="2:9" ht="15.75" customHeight="1" x14ac:dyDescent="0.25">
      <c r="B422" s="1"/>
      <c r="C422" s="1"/>
      <c r="D422" s="1"/>
      <c r="E422" s="1"/>
      <c r="F422" s="1"/>
      <c r="G422" s="1"/>
      <c r="H422" s="1"/>
      <c r="I422" s="1"/>
    </row>
    <row r="423" spans="2:9" ht="15.75" customHeight="1" x14ac:dyDescent="0.25">
      <c r="B423" s="1"/>
      <c r="C423" s="1"/>
      <c r="D423" s="1"/>
      <c r="E423" s="1"/>
      <c r="F423" s="1"/>
      <c r="G423" s="1"/>
      <c r="H423" s="1"/>
      <c r="I423" s="1"/>
    </row>
    <row r="424" spans="2:9" ht="15.75" customHeight="1" x14ac:dyDescent="0.25">
      <c r="B424" s="1"/>
      <c r="C424" s="1"/>
      <c r="D424" s="1"/>
      <c r="E424" s="1"/>
      <c r="F424" s="1"/>
      <c r="G424" s="1"/>
      <c r="H424" s="1"/>
      <c r="I424" s="1"/>
    </row>
    <row r="425" spans="2:9" ht="15.75" customHeight="1" x14ac:dyDescent="0.25">
      <c r="B425" s="1"/>
      <c r="C425" s="1"/>
      <c r="D425" s="1"/>
      <c r="E425" s="1"/>
      <c r="F425" s="1"/>
      <c r="G425" s="1"/>
      <c r="H425" s="1"/>
      <c r="I425" s="1"/>
    </row>
    <row r="426" spans="2:9" ht="15.75" customHeight="1" x14ac:dyDescent="0.25">
      <c r="B426" s="1"/>
      <c r="C426" s="1"/>
      <c r="D426" s="1"/>
      <c r="E426" s="1"/>
      <c r="F426" s="1"/>
      <c r="G426" s="1"/>
      <c r="H426" s="1"/>
      <c r="I426" s="1"/>
    </row>
    <row r="427" spans="2:9" ht="15.75" customHeight="1" x14ac:dyDescent="0.25">
      <c r="B427" s="1"/>
      <c r="C427" s="1"/>
      <c r="D427" s="1"/>
      <c r="E427" s="1"/>
      <c r="F427" s="1"/>
      <c r="G427" s="1"/>
      <c r="H427" s="1"/>
      <c r="I427" s="1"/>
    </row>
    <row r="428" spans="2:9" ht="15.75" customHeight="1" x14ac:dyDescent="0.25">
      <c r="B428" s="1"/>
      <c r="C428" s="1"/>
      <c r="D428" s="1"/>
      <c r="E428" s="1"/>
      <c r="F428" s="1"/>
      <c r="G428" s="1"/>
      <c r="H428" s="1"/>
      <c r="I428" s="1"/>
    </row>
    <row r="429" spans="2:9" ht="15.75" customHeight="1" x14ac:dyDescent="0.25">
      <c r="B429" s="1"/>
      <c r="C429" s="1"/>
      <c r="D429" s="1"/>
      <c r="E429" s="1"/>
      <c r="F429" s="1"/>
      <c r="G429" s="1"/>
      <c r="H429" s="1"/>
      <c r="I429" s="1"/>
    </row>
    <row r="430" spans="2:9" ht="15.75" customHeight="1" x14ac:dyDescent="0.25">
      <c r="B430" s="1"/>
      <c r="C430" s="1"/>
      <c r="D430" s="1"/>
      <c r="E430" s="1"/>
      <c r="F430" s="1"/>
      <c r="G430" s="1"/>
      <c r="H430" s="1"/>
      <c r="I430" s="1"/>
    </row>
    <row r="431" spans="2:9" ht="15.75" customHeight="1" x14ac:dyDescent="0.25">
      <c r="B431" s="1"/>
      <c r="C431" s="1"/>
      <c r="D431" s="1"/>
      <c r="E431" s="1"/>
      <c r="F431" s="1"/>
      <c r="G431" s="1"/>
      <c r="H431" s="1"/>
      <c r="I431" s="1"/>
    </row>
    <row r="432" spans="2:9" ht="15.75" customHeight="1" x14ac:dyDescent="0.25">
      <c r="B432" s="1"/>
      <c r="C432" s="1"/>
      <c r="D432" s="1"/>
      <c r="E432" s="1"/>
      <c r="F432" s="1"/>
      <c r="G432" s="1"/>
      <c r="H432" s="1"/>
      <c r="I432" s="1"/>
    </row>
    <row r="433" spans="2:9" ht="15.75" customHeight="1" x14ac:dyDescent="0.25">
      <c r="B433" s="1"/>
      <c r="C433" s="1"/>
      <c r="D433" s="1"/>
      <c r="E433" s="1"/>
      <c r="F433" s="1"/>
      <c r="G433" s="1"/>
      <c r="H433" s="1"/>
      <c r="I433" s="1"/>
    </row>
    <row r="434" spans="2:9" ht="15.75" customHeight="1" x14ac:dyDescent="0.25">
      <c r="B434" s="1"/>
      <c r="C434" s="1"/>
      <c r="D434" s="1"/>
      <c r="E434" s="1"/>
      <c r="F434" s="1"/>
      <c r="G434" s="1"/>
      <c r="H434" s="1"/>
      <c r="I434" s="1"/>
    </row>
    <row r="435" spans="2:9" ht="15.75" customHeight="1" x14ac:dyDescent="0.25">
      <c r="B435" s="1"/>
      <c r="C435" s="1"/>
      <c r="D435" s="1"/>
      <c r="E435" s="1"/>
      <c r="F435" s="1"/>
      <c r="G435" s="1"/>
      <c r="H435" s="1"/>
      <c r="I435" s="1"/>
    </row>
    <row r="436" spans="2:9" ht="15.75" customHeight="1" x14ac:dyDescent="0.25">
      <c r="B436" s="1"/>
      <c r="C436" s="1"/>
      <c r="D436" s="1"/>
      <c r="E436" s="1"/>
      <c r="F436" s="1"/>
      <c r="G436" s="1"/>
      <c r="H436" s="1"/>
      <c r="I436" s="1"/>
    </row>
    <row r="437" spans="2:9" ht="15.75" customHeight="1" x14ac:dyDescent="0.25">
      <c r="B437" s="1"/>
      <c r="C437" s="1"/>
      <c r="D437" s="1"/>
      <c r="E437" s="1"/>
      <c r="F437" s="1"/>
      <c r="G437" s="1"/>
      <c r="H437" s="1"/>
      <c r="I437" s="1"/>
    </row>
    <row r="438" spans="2:9" ht="15.75" customHeight="1" x14ac:dyDescent="0.25">
      <c r="B438" s="1"/>
      <c r="C438" s="1"/>
      <c r="D438" s="1"/>
      <c r="E438" s="1"/>
      <c r="F438" s="1"/>
      <c r="G438" s="1"/>
      <c r="H438" s="1"/>
      <c r="I438" s="1"/>
    </row>
    <row r="439" spans="2:9" ht="15.75" customHeight="1" x14ac:dyDescent="0.25">
      <c r="B439" s="1"/>
      <c r="C439" s="1"/>
      <c r="D439" s="1"/>
      <c r="E439" s="1"/>
      <c r="F439" s="1"/>
      <c r="G439" s="1"/>
      <c r="H439" s="1"/>
      <c r="I439" s="1"/>
    </row>
    <row r="440" spans="2:9" ht="15.75" customHeight="1" x14ac:dyDescent="0.25">
      <c r="B440" s="1"/>
      <c r="C440" s="1"/>
      <c r="D440" s="1"/>
      <c r="E440" s="1"/>
      <c r="F440" s="1"/>
      <c r="G440" s="1"/>
      <c r="H440" s="1"/>
      <c r="I440" s="1"/>
    </row>
    <row r="441" spans="2:9" ht="15.75" customHeight="1" x14ac:dyDescent="0.25">
      <c r="B441" s="1"/>
      <c r="C441" s="1"/>
      <c r="D441" s="1"/>
      <c r="E441" s="1"/>
      <c r="F441" s="1"/>
      <c r="G441" s="1"/>
      <c r="H441" s="1"/>
      <c r="I441" s="1"/>
    </row>
    <row r="442" spans="2:9" ht="15.75" customHeight="1" x14ac:dyDescent="0.25">
      <c r="B442" s="1"/>
      <c r="C442" s="1"/>
      <c r="D442" s="1"/>
      <c r="E442" s="1"/>
      <c r="F442" s="1"/>
      <c r="G442" s="1"/>
      <c r="H442" s="1"/>
      <c r="I442" s="1"/>
    </row>
    <row r="443" spans="2:9" ht="15.75" customHeight="1" x14ac:dyDescent="0.25">
      <c r="B443" s="1"/>
      <c r="C443" s="1"/>
      <c r="D443" s="1"/>
      <c r="E443" s="1"/>
      <c r="F443" s="1"/>
      <c r="G443" s="1"/>
      <c r="H443" s="1"/>
      <c r="I443" s="1"/>
    </row>
    <row r="444" spans="2:9" ht="15.75" customHeight="1" x14ac:dyDescent="0.25">
      <c r="B444" s="1"/>
      <c r="C444" s="1"/>
      <c r="D444" s="1"/>
      <c r="E444" s="1"/>
      <c r="F444" s="1"/>
      <c r="G444" s="1"/>
      <c r="H444" s="1"/>
      <c r="I444" s="1"/>
    </row>
    <row r="445" spans="2:9" ht="15.75" customHeight="1" x14ac:dyDescent="0.25">
      <c r="B445" s="1"/>
      <c r="C445" s="1"/>
      <c r="D445" s="1"/>
      <c r="E445" s="1"/>
      <c r="F445" s="1"/>
      <c r="G445" s="1"/>
      <c r="H445" s="1"/>
      <c r="I445" s="1"/>
    </row>
    <row r="446" spans="2:9" ht="15.75" customHeight="1" x14ac:dyDescent="0.25">
      <c r="B446" s="1"/>
      <c r="C446" s="1"/>
      <c r="D446" s="1"/>
      <c r="E446" s="1"/>
      <c r="F446" s="1"/>
      <c r="G446" s="1"/>
      <c r="H446" s="1"/>
      <c r="I446" s="1"/>
    </row>
    <row r="447" spans="2:9" ht="15.75" customHeight="1" x14ac:dyDescent="0.25">
      <c r="B447" s="1"/>
      <c r="C447" s="1"/>
      <c r="D447" s="1"/>
      <c r="E447" s="1"/>
      <c r="F447" s="1"/>
      <c r="G447" s="1"/>
      <c r="H447" s="1"/>
      <c r="I447" s="1"/>
    </row>
    <row r="448" spans="2:9" ht="15.75" customHeight="1" x14ac:dyDescent="0.25">
      <c r="B448" s="1"/>
      <c r="C448" s="1"/>
      <c r="D448" s="1"/>
      <c r="E448" s="1"/>
      <c r="F448" s="1"/>
      <c r="G448" s="1"/>
      <c r="H448" s="1"/>
      <c r="I448" s="1"/>
    </row>
    <row r="449" spans="2:9" ht="15.75" customHeight="1" x14ac:dyDescent="0.25">
      <c r="B449" s="1"/>
      <c r="C449" s="1"/>
      <c r="D449" s="1"/>
      <c r="E449" s="1"/>
      <c r="F449" s="1"/>
      <c r="G449" s="1"/>
      <c r="H449" s="1"/>
      <c r="I449" s="1"/>
    </row>
    <row r="450" spans="2:9" ht="15.75" customHeight="1" x14ac:dyDescent="0.25">
      <c r="B450" s="1"/>
      <c r="C450" s="1"/>
      <c r="D450" s="1"/>
      <c r="E450" s="1"/>
      <c r="F450" s="1"/>
      <c r="G450" s="1"/>
      <c r="H450" s="1"/>
      <c r="I450" s="1"/>
    </row>
    <row r="451" spans="2:9" ht="15.75" customHeight="1" x14ac:dyDescent="0.25">
      <c r="B451" s="1"/>
      <c r="C451" s="1"/>
      <c r="D451" s="1"/>
      <c r="E451" s="1"/>
      <c r="F451" s="1"/>
      <c r="G451" s="1"/>
      <c r="H451" s="1"/>
      <c r="I451" s="1"/>
    </row>
    <row r="452" spans="2:9" ht="15.75" customHeight="1" x14ac:dyDescent="0.25">
      <c r="B452" s="1"/>
      <c r="C452" s="1"/>
      <c r="D452" s="1"/>
      <c r="E452" s="1"/>
      <c r="F452" s="1"/>
      <c r="G452" s="1"/>
      <c r="H452" s="1"/>
      <c r="I452" s="1"/>
    </row>
    <row r="453" spans="2:9" ht="15.75" customHeight="1" x14ac:dyDescent="0.25">
      <c r="B453" s="1"/>
      <c r="C453" s="1"/>
      <c r="D453" s="1"/>
      <c r="E453" s="1"/>
      <c r="F453" s="1"/>
      <c r="G453" s="1"/>
      <c r="H453" s="1"/>
      <c r="I453" s="1"/>
    </row>
    <row r="454" spans="2:9" ht="15.75" customHeight="1" x14ac:dyDescent="0.25">
      <c r="B454" s="1"/>
      <c r="C454" s="1"/>
      <c r="D454" s="1"/>
      <c r="E454" s="1"/>
      <c r="F454" s="1"/>
      <c r="G454" s="1"/>
      <c r="H454" s="1"/>
      <c r="I454" s="1"/>
    </row>
    <row r="455" spans="2:9" ht="15.75" customHeight="1" x14ac:dyDescent="0.25">
      <c r="B455" s="1"/>
      <c r="C455" s="1"/>
      <c r="D455" s="1"/>
      <c r="E455" s="1"/>
      <c r="F455" s="1"/>
      <c r="G455" s="1"/>
      <c r="H455" s="1"/>
      <c r="I455" s="1"/>
    </row>
    <row r="456" spans="2:9" ht="15.75" customHeight="1" x14ac:dyDescent="0.25">
      <c r="B456" s="1"/>
      <c r="C456" s="1"/>
      <c r="D456" s="1"/>
      <c r="E456" s="1"/>
      <c r="F456" s="1"/>
      <c r="G456" s="1"/>
      <c r="H456" s="1"/>
      <c r="I456" s="1"/>
    </row>
    <row r="457" spans="2:9" ht="15.75" customHeight="1" x14ac:dyDescent="0.25">
      <c r="B457" s="1"/>
      <c r="C457" s="1"/>
      <c r="D457" s="1"/>
      <c r="E457" s="1"/>
      <c r="F457" s="1"/>
      <c r="G457" s="1"/>
      <c r="H457" s="1"/>
      <c r="I457" s="1"/>
    </row>
    <row r="458" spans="2:9" ht="15.75" customHeight="1" x14ac:dyDescent="0.25">
      <c r="B458" s="1"/>
      <c r="C458" s="1"/>
      <c r="D458" s="1"/>
      <c r="E458" s="1"/>
      <c r="F458" s="1"/>
      <c r="G458" s="1"/>
      <c r="H458" s="1"/>
      <c r="I458" s="1"/>
    </row>
    <row r="459" spans="2:9" ht="15.75" customHeight="1" x14ac:dyDescent="0.25">
      <c r="B459" s="1"/>
      <c r="C459" s="1"/>
      <c r="D459" s="1"/>
      <c r="E459" s="1"/>
      <c r="F459" s="1"/>
      <c r="G459" s="1"/>
      <c r="H459" s="1"/>
      <c r="I459" s="1"/>
    </row>
    <row r="460" spans="2:9" ht="15.75" customHeight="1" x14ac:dyDescent="0.25">
      <c r="B460" s="1"/>
      <c r="C460" s="1"/>
      <c r="D460" s="1"/>
      <c r="E460" s="1"/>
      <c r="F460" s="1"/>
      <c r="G460" s="1"/>
      <c r="H460" s="1"/>
      <c r="I460" s="1"/>
    </row>
    <row r="461" spans="2:9" ht="15.75" customHeight="1" x14ac:dyDescent="0.25">
      <c r="B461" s="1"/>
      <c r="C461" s="1"/>
      <c r="D461" s="1"/>
      <c r="E461" s="1"/>
      <c r="F461" s="1"/>
      <c r="G461" s="1"/>
      <c r="H461" s="1"/>
      <c r="I461" s="1"/>
    </row>
    <row r="462" spans="2:9" ht="15.75" customHeight="1" x14ac:dyDescent="0.25">
      <c r="B462" s="1"/>
      <c r="C462" s="1"/>
      <c r="D462" s="1"/>
      <c r="E462" s="1"/>
      <c r="F462" s="1"/>
      <c r="G462" s="1"/>
      <c r="H462" s="1"/>
      <c r="I462" s="1"/>
    </row>
    <row r="463" spans="2:9" ht="15.75" customHeight="1" x14ac:dyDescent="0.25">
      <c r="B463" s="1"/>
      <c r="C463" s="1"/>
      <c r="D463" s="1"/>
      <c r="E463" s="1"/>
      <c r="F463" s="1"/>
      <c r="G463" s="1"/>
      <c r="H463" s="1"/>
      <c r="I463" s="1"/>
    </row>
    <row r="464" spans="2:9" ht="15.75" customHeight="1" x14ac:dyDescent="0.25">
      <c r="B464" s="1"/>
      <c r="C464" s="1"/>
      <c r="D464" s="1"/>
      <c r="E464" s="1"/>
      <c r="F464" s="1"/>
      <c r="G464" s="1"/>
      <c r="H464" s="1"/>
      <c r="I464" s="1"/>
    </row>
    <row r="465" spans="2:9" ht="15.75" customHeight="1" x14ac:dyDescent="0.25">
      <c r="B465" s="1"/>
      <c r="C465" s="1"/>
      <c r="D465" s="1"/>
      <c r="E465" s="1"/>
      <c r="F465" s="1"/>
      <c r="G465" s="1"/>
      <c r="H465" s="1"/>
      <c r="I465" s="1"/>
    </row>
    <row r="466" spans="2:9" ht="15.75" customHeight="1" x14ac:dyDescent="0.25">
      <c r="B466" s="1"/>
      <c r="C466" s="1"/>
      <c r="D466" s="1"/>
      <c r="E466" s="1"/>
      <c r="F466" s="1"/>
      <c r="G466" s="1"/>
      <c r="H466" s="1"/>
      <c r="I466" s="1"/>
    </row>
    <row r="467" spans="2:9" ht="15.75" customHeight="1" x14ac:dyDescent="0.25">
      <c r="B467" s="1"/>
      <c r="C467" s="1"/>
      <c r="D467" s="1"/>
      <c r="E467" s="1"/>
      <c r="F467" s="1"/>
      <c r="G467" s="1"/>
      <c r="H467" s="1"/>
      <c r="I467" s="1"/>
    </row>
    <row r="468" spans="2:9" ht="15.75" customHeight="1" x14ac:dyDescent="0.25">
      <c r="B468" s="1"/>
      <c r="C468" s="1"/>
      <c r="D468" s="1"/>
      <c r="E468" s="1"/>
      <c r="F468" s="1"/>
      <c r="G468" s="1"/>
      <c r="H468" s="1"/>
      <c r="I468" s="1"/>
    </row>
    <row r="469" spans="2:9" ht="15.75" customHeight="1" x14ac:dyDescent="0.25">
      <c r="B469" s="1"/>
      <c r="C469" s="1"/>
      <c r="D469" s="1"/>
      <c r="E469" s="1"/>
      <c r="F469" s="1"/>
      <c r="G469" s="1"/>
      <c r="H469" s="1"/>
      <c r="I469" s="1"/>
    </row>
    <row r="470" spans="2:9" ht="15.75" customHeight="1" x14ac:dyDescent="0.25">
      <c r="B470" s="1"/>
      <c r="C470" s="1"/>
      <c r="D470" s="1"/>
      <c r="E470" s="1"/>
      <c r="F470" s="1"/>
      <c r="G470" s="1"/>
      <c r="H470" s="1"/>
      <c r="I470" s="1"/>
    </row>
    <row r="471" spans="2:9" ht="15.75" customHeight="1" x14ac:dyDescent="0.25">
      <c r="B471" s="1"/>
      <c r="C471" s="1"/>
      <c r="D471" s="1"/>
      <c r="E471" s="1"/>
      <c r="F471" s="1"/>
      <c r="G471" s="1"/>
      <c r="H471" s="1"/>
      <c r="I471" s="1"/>
    </row>
    <row r="472" spans="2:9" ht="15.75" customHeight="1" x14ac:dyDescent="0.25">
      <c r="B472" s="1"/>
      <c r="C472" s="1"/>
      <c r="D472" s="1"/>
      <c r="E472" s="1"/>
      <c r="F472" s="1"/>
      <c r="G472" s="1"/>
      <c r="H472" s="1"/>
      <c r="I472" s="1"/>
    </row>
    <row r="473" spans="2:9" ht="15.75" customHeight="1" x14ac:dyDescent="0.25">
      <c r="B473" s="1"/>
      <c r="C473" s="1"/>
      <c r="D473" s="1"/>
      <c r="E473" s="1"/>
      <c r="F473" s="1"/>
      <c r="G473" s="1"/>
      <c r="H473" s="1"/>
      <c r="I473" s="1"/>
    </row>
    <row r="474" spans="2:9" ht="15.75" customHeight="1" x14ac:dyDescent="0.25">
      <c r="B474" s="1"/>
      <c r="C474" s="1"/>
      <c r="D474" s="1"/>
      <c r="E474" s="1"/>
      <c r="F474" s="1"/>
      <c r="G474" s="1"/>
      <c r="H474" s="1"/>
      <c r="I474" s="1"/>
    </row>
    <row r="475" spans="2:9" ht="15.75" customHeight="1" x14ac:dyDescent="0.25">
      <c r="B475" s="1"/>
      <c r="C475" s="1"/>
      <c r="D475" s="1"/>
      <c r="E475" s="1"/>
      <c r="F475" s="1"/>
      <c r="G475" s="1"/>
      <c r="H475" s="1"/>
      <c r="I475" s="1"/>
    </row>
    <row r="476" spans="2:9" ht="15.75" customHeight="1" x14ac:dyDescent="0.25">
      <c r="B476" s="1"/>
      <c r="C476" s="1"/>
      <c r="D476" s="1"/>
      <c r="E476" s="1"/>
      <c r="F476" s="1"/>
      <c r="G476" s="1"/>
      <c r="H476" s="1"/>
      <c r="I476" s="1"/>
    </row>
    <row r="477" spans="2:9" ht="15.75" customHeight="1" x14ac:dyDescent="0.25">
      <c r="B477" s="1"/>
      <c r="C477" s="1"/>
      <c r="D477" s="1"/>
      <c r="E477" s="1"/>
      <c r="F477" s="1"/>
      <c r="G477" s="1"/>
      <c r="H477" s="1"/>
      <c r="I477" s="1"/>
    </row>
    <row r="478" spans="2:9" ht="15.75" customHeight="1" x14ac:dyDescent="0.25">
      <c r="B478" s="1"/>
      <c r="C478" s="1"/>
      <c r="D478" s="1"/>
      <c r="E478" s="1"/>
      <c r="F478" s="1"/>
      <c r="G478" s="1"/>
      <c r="H478" s="1"/>
      <c r="I478" s="1"/>
    </row>
    <row r="479" spans="2:9" ht="15.75" customHeight="1" x14ac:dyDescent="0.25">
      <c r="B479" s="1"/>
      <c r="C479" s="1"/>
      <c r="D479" s="1"/>
      <c r="E479" s="1"/>
      <c r="F479" s="1"/>
      <c r="G479" s="1"/>
      <c r="H479" s="1"/>
      <c r="I479" s="1"/>
    </row>
    <row r="480" spans="2:9" ht="15.75" customHeight="1" x14ac:dyDescent="0.25">
      <c r="B480" s="1"/>
      <c r="C480" s="1"/>
      <c r="D480" s="1"/>
      <c r="E480" s="1"/>
      <c r="F480" s="1"/>
      <c r="G480" s="1"/>
      <c r="H480" s="1"/>
      <c r="I480" s="1"/>
    </row>
    <row r="481" spans="2:9" ht="15.75" customHeight="1" x14ac:dyDescent="0.25">
      <c r="B481" s="1"/>
      <c r="C481" s="1"/>
      <c r="D481" s="1"/>
      <c r="E481" s="1"/>
      <c r="F481" s="1"/>
      <c r="G481" s="1"/>
      <c r="H481" s="1"/>
      <c r="I481" s="1"/>
    </row>
    <row r="482" spans="2:9" ht="15.75" customHeight="1" x14ac:dyDescent="0.25">
      <c r="B482" s="1"/>
      <c r="C482" s="1"/>
      <c r="D482" s="1"/>
      <c r="E482" s="1"/>
      <c r="F482" s="1"/>
      <c r="G482" s="1"/>
      <c r="H482" s="1"/>
      <c r="I482" s="1"/>
    </row>
    <row r="483" spans="2:9" ht="15.75" customHeight="1" x14ac:dyDescent="0.25">
      <c r="B483" s="1"/>
      <c r="C483" s="1"/>
      <c r="D483" s="1"/>
      <c r="E483" s="1"/>
      <c r="F483" s="1"/>
      <c r="G483" s="1"/>
      <c r="H483" s="1"/>
      <c r="I483" s="1"/>
    </row>
    <row r="484" spans="2:9" ht="15.75" customHeight="1" x14ac:dyDescent="0.25">
      <c r="B484" s="1"/>
      <c r="C484" s="1"/>
      <c r="D484" s="1"/>
      <c r="E484" s="1"/>
      <c r="F484" s="1"/>
      <c r="G484" s="1"/>
      <c r="H484" s="1"/>
      <c r="I484" s="1"/>
    </row>
    <row r="485" spans="2:9" ht="15.75" customHeight="1" x14ac:dyDescent="0.25">
      <c r="B485" s="1"/>
      <c r="C485" s="1"/>
      <c r="D485" s="1"/>
      <c r="E485" s="1"/>
      <c r="F485" s="1"/>
      <c r="G485" s="1"/>
      <c r="H485" s="1"/>
      <c r="I485" s="1"/>
    </row>
    <row r="486" spans="2:9" ht="15.75" customHeight="1" x14ac:dyDescent="0.25">
      <c r="B486" s="1"/>
      <c r="C486" s="1"/>
      <c r="D486" s="1"/>
      <c r="E486" s="1"/>
      <c r="F486" s="1"/>
      <c r="G486" s="1"/>
      <c r="H486" s="1"/>
      <c r="I486" s="1"/>
    </row>
    <row r="487" spans="2:9" ht="15.75" customHeight="1" x14ac:dyDescent="0.25">
      <c r="B487" s="1"/>
      <c r="C487" s="1"/>
      <c r="D487" s="1"/>
      <c r="E487" s="1"/>
      <c r="F487" s="1"/>
      <c r="G487" s="1"/>
      <c r="H487" s="1"/>
      <c r="I487" s="1"/>
    </row>
    <row r="488" spans="2:9" ht="15.75" customHeight="1" x14ac:dyDescent="0.25">
      <c r="B488" s="1"/>
      <c r="C488" s="1"/>
      <c r="D488" s="1"/>
      <c r="E488" s="1"/>
      <c r="F488" s="1"/>
      <c r="G488" s="1"/>
      <c r="H488" s="1"/>
      <c r="I488" s="1"/>
    </row>
    <row r="489" spans="2:9" ht="15.75" customHeight="1" x14ac:dyDescent="0.25">
      <c r="B489" s="1"/>
      <c r="C489" s="1"/>
      <c r="D489" s="1"/>
      <c r="E489" s="1"/>
      <c r="F489" s="1"/>
      <c r="G489" s="1"/>
      <c r="H489" s="1"/>
      <c r="I489" s="1"/>
    </row>
    <row r="490" spans="2:9" ht="15.75" customHeight="1" x14ac:dyDescent="0.25">
      <c r="B490" s="1"/>
      <c r="C490" s="1"/>
      <c r="D490" s="1"/>
      <c r="E490" s="1"/>
      <c r="F490" s="1"/>
      <c r="G490" s="1"/>
      <c r="H490" s="1"/>
      <c r="I490" s="1"/>
    </row>
    <row r="491" spans="2:9" ht="15.75" customHeight="1" x14ac:dyDescent="0.25">
      <c r="B491" s="1"/>
      <c r="C491" s="1"/>
      <c r="D491" s="1"/>
      <c r="E491" s="1"/>
      <c r="F491" s="1"/>
      <c r="G491" s="1"/>
      <c r="H491" s="1"/>
      <c r="I491" s="1"/>
    </row>
    <row r="492" spans="2:9" ht="15.75" customHeight="1" x14ac:dyDescent="0.25">
      <c r="B492" s="1"/>
      <c r="C492" s="1"/>
      <c r="D492" s="1"/>
      <c r="E492" s="1"/>
      <c r="F492" s="1"/>
      <c r="G492" s="1"/>
      <c r="H492" s="1"/>
      <c r="I492" s="1"/>
    </row>
    <row r="493" spans="2:9" ht="15.75" customHeight="1" x14ac:dyDescent="0.25">
      <c r="B493" s="1"/>
      <c r="C493" s="1"/>
      <c r="D493" s="1"/>
      <c r="E493" s="1"/>
      <c r="F493" s="1"/>
      <c r="G493" s="1"/>
      <c r="H493" s="1"/>
      <c r="I493" s="1"/>
    </row>
    <row r="494" spans="2:9" ht="15.75" customHeight="1" x14ac:dyDescent="0.25">
      <c r="B494" s="1"/>
      <c r="C494" s="1"/>
      <c r="D494" s="1"/>
      <c r="E494" s="1"/>
      <c r="F494" s="1"/>
      <c r="G494" s="1"/>
      <c r="H494" s="1"/>
      <c r="I494" s="1"/>
    </row>
    <row r="495" spans="2:9" ht="15.75" customHeight="1" x14ac:dyDescent="0.25">
      <c r="B495" s="1"/>
      <c r="C495" s="1"/>
      <c r="D495" s="1"/>
      <c r="E495" s="1"/>
      <c r="F495" s="1"/>
      <c r="G495" s="1"/>
      <c r="H495" s="1"/>
      <c r="I495" s="1"/>
    </row>
    <row r="496" spans="2:9" ht="15.75" customHeight="1" x14ac:dyDescent="0.25">
      <c r="B496" s="1"/>
      <c r="C496" s="1"/>
      <c r="D496" s="1"/>
      <c r="E496" s="1"/>
      <c r="F496" s="1"/>
      <c r="G496" s="1"/>
      <c r="H496" s="1"/>
      <c r="I496" s="1"/>
    </row>
    <row r="497" spans="2:9" ht="15.75" customHeight="1" x14ac:dyDescent="0.25">
      <c r="B497" s="1"/>
      <c r="C497" s="1"/>
      <c r="D497" s="1"/>
      <c r="E497" s="1"/>
      <c r="F497" s="1"/>
      <c r="G497" s="1"/>
      <c r="H497" s="1"/>
      <c r="I497" s="1"/>
    </row>
    <row r="498" spans="2:9" ht="15.75" customHeight="1" x14ac:dyDescent="0.25">
      <c r="B498" s="1"/>
      <c r="C498" s="1"/>
      <c r="D498" s="1"/>
      <c r="E498" s="1"/>
      <c r="F498" s="1"/>
      <c r="G498" s="1"/>
      <c r="H498" s="1"/>
      <c r="I498" s="1"/>
    </row>
    <row r="499" spans="2:9" ht="15.75" customHeight="1" x14ac:dyDescent="0.25">
      <c r="B499" s="1"/>
      <c r="C499" s="1"/>
      <c r="D499" s="1"/>
      <c r="E499" s="1"/>
      <c r="F499" s="1"/>
      <c r="G499" s="1"/>
      <c r="H499" s="1"/>
      <c r="I499" s="1"/>
    </row>
    <row r="500" spans="2:9" ht="15.75" customHeight="1" x14ac:dyDescent="0.25">
      <c r="B500" s="1"/>
      <c r="C500" s="1"/>
      <c r="D500" s="1"/>
      <c r="E500" s="1"/>
      <c r="F500" s="1"/>
      <c r="G500" s="1"/>
      <c r="H500" s="1"/>
      <c r="I500" s="1"/>
    </row>
    <row r="501" spans="2:9" ht="15.75" customHeight="1" x14ac:dyDescent="0.25">
      <c r="B501" s="1"/>
      <c r="C501" s="1"/>
      <c r="D501" s="1"/>
      <c r="E501" s="1"/>
      <c r="F501" s="1"/>
      <c r="G501" s="1"/>
      <c r="H501" s="1"/>
      <c r="I501" s="1"/>
    </row>
    <row r="502" spans="2:9" ht="15.75" customHeight="1" x14ac:dyDescent="0.25">
      <c r="B502" s="1"/>
      <c r="C502" s="1"/>
      <c r="D502" s="1"/>
      <c r="E502" s="1"/>
      <c r="F502" s="1"/>
      <c r="G502" s="1"/>
      <c r="H502" s="1"/>
      <c r="I502" s="1"/>
    </row>
    <row r="503" spans="2:9" ht="15.75" customHeight="1" x14ac:dyDescent="0.25">
      <c r="B503" s="1"/>
      <c r="C503" s="1"/>
      <c r="D503" s="1"/>
      <c r="E503" s="1"/>
      <c r="F503" s="1"/>
      <c r="G503" s="1"/>
      <c r="H503" s="1"/>
      <c r="I503" s="1"/>
    </row>
    <row r="504" spans="2:9" ht="15.75" customHeight="1" x14ac:dyDescent="0.25">
      <c r="B504" s="1"/>
      <c r="C504" s="1"/>
      <c r="D504" s="1"/>
      <c r="E504" s="1"/>
      <c r="F504" s="1"/>
      <c r="G504" s="1"/>
      <c r="H504" s="1"/>
      <c r="I504" s="1"/>
    </row>
    <row r="505" spans="2:9" ht="15.75" customHeight="1" x14ac:dyDescent="0.25">
      <c r="B505" s="1"/>
      <c r="C505" s="1"/>
      <c r="D505" s="1"/>
      <c r="E505" s="1"/>
      <c r="F505" s="1"/>
      <c r="G505" s="1"/>
      <c r="H505" s="1"/>
      <c r="I505" s="1"/>
    </row>
    <row r="506" spans="2:9" ht="15.75" customHeight="1" x14ac:dyDescent="0.25">
      <c r="B506" s="1"/>
      <c r="C506" s="1"/>
      <c r="D506" s="1"/>
      <c r="E506" s="1"/>
      <c r="F506" s="1"/>
      <c r="G506" s="1"/>
      <c r="H506" s="1"/>
      <c r="I506" s="1"/>
    </row>
    <row r="507" spans="2:9" ht="15.75" customHeight="1" x14ac:dyDescent="0.25">
      <c r="B507" s="1"/>
      <c r="C507" s="1"/>
      <c r="D507" s="1"/>
      <c r="E507" s="1"/>
      <c r="F507" s="1"/>
      <c r="G507" s="1"/>
      <c r="H507" s="1"/>
      <c r="I507" s="1"/>
    </row>
    <row r="508" spans="2:9" ht="15.75" customHeight="1" x14ac:dyDescent="0.25">
      <c r="B508" s="1"/>
      <c r="C508" s="1"/>
      <c r="D508" s="1"/>
      <c r="E508" s="1"/>
      <c r="F508" s="1"/>
      <c r="G508" s="1"/>
      <c r="H508" s="1"/>
      <c r="I508" s="1"/>
    </row>
    <row r="509" spans="2:9" ht="15.75" customHeight="1" x14ac:dyDescent="0.25">
      <c r="B509" s="1"/>
      <c r="C509" s="1"/>
      <c r="D509" s="1"/>
      <c r="E509" s="1"/>
      <c r="F509" s="1"/>
      <c r="G509" s="1"/>
      <c r="H509" s="1"/>
      <c r="I509" s="1"/>
    </row>
    <row r="510" spans="2:9" ht="15.75" customHeight="1" x14ac:dyDescent="0.25">
      <c r="B510" s="1"/>
      <c r="C510" s="1"/>
      <c r="D510" s="1"/>
      <c r="E510" s="1"/>
      <c r="F510" s="1"/>
      <c r="G510" s="1"/>
      <c r="H510" s="1"/>
      <c r="I510" s="1"/>
    </row>
    <row r="511" spans="2:9" ht="15.75" customHeight="1" x14ac:dyDescent="0.25">
      <c r="B511" s="1"/>
      <c r="C511" s="1"/>
      <c r="D511" s="1"/>
      <c r="E511" s="1"/>
      <c r="F511" s="1"/>
      <c r="G511" s="1"/>
      <c r="H511" s="1"/>
      <c r="I511" s="1"/>
    </row>
    <row r="512" spans="2:9" ht="15.75" customHeight="1" x14ac:dyDescent="0.25">
      <c r="B512" s="1"/>
      <c r="C512" s="1"/>
      <c r="D512" s="1"/>
      <c r="E512" s="1"/>
      <c r="F512" s="1"/>
      <c r="G512" s="1"/>
      <c r="H512" s="1"/>
      <c r="I512" s="1"/>
    </row>
    <row r="513" spans="2:9" ht="15.75" customHeight="1" x14ac:dyDescent="0.25">
      <c r="B513" s="1"/>
      <c r="C513" s="1"/>
      <c r="D513" s="1"/>
      <c r="E513" s="1"/>
      <c r="F513" s="1"/>
      <c r="G513" s="1"/>
      <c r="H513" s="1"/>
      <c r="I513" s="1"/>
    </row>
    <row r="514" spans="2:9" ht="15.75" customHeight="1" x14ac:dyDescent="0.25">
      <c r="B514" s="1"/>
      <c r="C514" s="1"/>
      <c r="D514" s="1"/>
      <c r="E514" s="1"/>
      <c r="F514" s="1"/>
      <c r="G514" s="1"/>
      <c r="H514" s="1"/>
      <c r="I514" s="1"/>
    </row>
    <row r="515" spans="2:9" ht="15.75" customHeight="1" x14ac:dyDescent="0.25">
      <c r="B515" s="1"/>
      <c r="C515" s="1"/>
      <c r="D515" s="1"/>
      <c r="E515" s="1"/>
      <c r="F515" s="1"/>
      <c r="G515" s="1"/>
      <c r="H515" s="1"/>
      <c r="I515" s="1"/>
    </row>
    <row r="516" spans="2:9" ht="15.75" customHeight="1" x14ac:dyDescent="0.25">
      <c r="B516" s="1"/>
      <c r="C516" s="1"/>
      <c r="D516" s="1"/>
      <c r="E516" s="1"/>
      <c r="F516" s="1"/>
      <c r="G516" s="1"/>
      <c r="H516" s="1"/>
      <c r="I516" s="1"/>
    </row>
    <row r="517" spans="2:9" ht="15.75" customHeight="1" x14ac:dyDescent="0.25">
      <c r="B517" s="1"/>
      <c r="C517" s="1"/>
      <c r="D517" s="1"/>
      <c r="E517" s="1"/>
      <c r="F517" s="1"/>
      <c r="G517" s="1"/>
      <c r="H517" s="1"/>
      <c r="I517" s="1"/>
    </row>
    <row r="518" spans="2:9" ht="15.75" customHeight="1" x14ac:dyDescent="0.25">
      <c r="B518" s="1"/>
      <c r="C518" s="1"/>
      <c r="D518" s="1"/>
      <c r="E518" s="1"/>
      <c r="F518" s="1"/>
      <c r="G518" s="1"/>
      <c r="H518" s="1"/>
      <c r="I518" s="1"/>
    </row>
    <row r="519" spans="2:9" ht="15.75" customHeight="1" x14ac:dyDescent="0.25">
      <c r="B519" s="1"/>
      <c r="C519" s="1"/>
      <c r="D519" s="1"/>
      <c r="E519" s="1"/>
      <c r="F519" s="1"/>
      <c r="G519" s="1"/>
      <c r="H519" s="1"/>
      <c r="I519" s="1"/>
    </row>
    <row r="520" spans="2:9" ht="15.75" customHeight="1" x14ac:dyDescent="0.25">
      <c r="B520" s="1"/>
      <c r="C520" s="1"/>
      <c r="D520" s="1"/>
      <c r="E520" s="1"/>
      <c r="F520" s="1"/>
      <c r="G520" s="1"/>
      <c r="H520" s="1"/>
      <c r="I520" s="1"/>
    </row>
    <row r="521" spans="2:9" ht="15.75" customHeight="1" x14ac:dyDescent="0.25">
      <c r="B521" s="1"/>
      <c r="C521" s="1"/>
      <c r="D521" s="1"/>
      <c r="E521" s="1"/>
      <c r="F521" s="1"/>
      <c r="G521" s="1"/>
      <c r="H521" s="1"/>
      <c r="I521" s="1"/>
    </row>
    <row r="522" spans="2:9" ht="15.75" customHeight="1" x14ac:dyDescent="0.25">
      <c r="B522" s="1"/>
      <c r="C522" s="1"/>
      <c r="D522" s="1"/>
      <c r="E522" s="1"/>
      <c r="F522" s="1"/>
      <c r="G522" s="1"/>
      <c r="H522" s="1"/>
      <c r="I522" s="1"/>
    </row>
    <row r="523" spans="2:9" ht="15.75" customHeight="1" x14ac:dyDescent="0.25">
      <c r="B523" s="1"/>
      <c r="C523" s="1"/>
      <c r="D523" s="1"/>
      <c r="E523" s="1"/>
      <c r="F523" s="1"/>
      <c r="G523" s="1"/>
      <c r="H523" s="1"/>
      <c r="I523" s="1"/>
    </row>
    <row r="524" spans="2:9" ht="15.75" customHeight="1" x14ac:dyDescent="0.25">
      <c r="B524" s="1"/>
      <c r="C524" s="1"/>
      <c r="D524" s="1"/>
      <c r="E524" s="1"/>
      <c r="F524" s="1"/>
      <c r="G524" s="1"/>
      <c r="H524" s="1"/>
      <c r="I524" s="1"/>
    </row>
    <row r="525" spans="2:9" ht="15.75" customHeight="1" x14ac:dyDescent="0.25">
      <c r="B525" s="1"/>
      <c r="C525" s="1"/>
      <c r="D525" s="1"/>
      <c r="E525" s="1"/>
      <c r="F525" s="1"/>
      <c r="G525" s="1"/>
      <c r="H525" s="1"/>
      <c r="I525" s="1"/>
    </row>
    <row r="526" spans="2:9" ht="15.75" customHeight="1" x14ac:dyDescent="0.25">
      <c r="B526" s="1"/>
      <c r="C526" s="1"/>
      <c r="D526" s="1"/>
      <c r="E526" s="1"/>
      <c r="F526" s="1"/>
      <c r="G526" s="1"/>
      <c r="H526" s="1"/>
      <c r="I526" s="1"/>
    </row>
    <row r="527" spans="2:9" ht="15.75" customHeight="1" x14ac:dyDescent="0.25">
      <c r="B527" s="1"/>
      <c r="C527" s="1"/>
      <c r="D527" s="1"/>
      <c r="E527" s="1"/>
      <c r="F527" s="1"/>
      <c r="G527" s="1"/>
      <c r="H527" s="1"/>
      <c r="I527" s="1"/>
    </row>
    <row r="528" spans="2:9" ht="15.75" customHeight="1" x14ac:dyDescent="0.25">
      <c r="B528" s="1"/>
      <c r="C528" s="1"/>
      <c r="D528" s="1"/>
      <c r="E528" s="1"/>
      <c r="F528" s="1"/>
      <c r="G528" s="1"/>
      <c r="H528" s="1"/>
      <c r="I528" s="1"/>
    </row>
    <row r="529" spans="2:9" ht="15.75" customHeight="1" x14ac:dyDescent="0.25">
      <c r="B529" s="1"/>
      <c r="C529" s="1"/>
      <c r="D529" s="1"/>
      <c r="E529" s="1"/>
      <c r="F529" s="1"/>
      <c r="G529" s="1"/>
      <c r="H529" s="1"/>
      <c r="I529" s="1"/>
    </row>
    <row r="530" spans="2:9" ht="15.75" customHeight="1" x14ac:dyDescent="0.25">
      <c r="B530" s="1"/>
      <c r="C530" s="1"/>
      <c r="D530" s="1"/>
      <c r="E530" s="1"/>
      <c r="F530" s="1"/>
      <c r="G530" s="1"/>
      <c r="H530" s="1"/>
      <c r="I530" s="1"/>
    </row>
    <row r="531" spans="2:9" ht="15.75" customHeight="1" x14ac:dyDescent="0.25">
      <c r="B531" s="1"/>
      <c r="C531" s="1"/>
      <c r="D531" s="1"/>
      <c r="E531" s="1"/>
      <c r="F531" s="1"/>
      <c r="G531" s="1"/>
      <c r="H531" s="1"/>
      <c r="I531" s="1"/>
    </row>
    <row r="532" spans="2:9" ht="15.75" customHeight="1" x14ac:dyDescent="0.25">
      <c r="B532" s="1"/>
      <c r="C532" s="1"/>
      <c r="D532" s="1"/>
      <c r="E532" s="1"/>
      <c r="F532" s="1"/>
      <c r="G532" s="1"/>
      <c r="H532" s="1"/>
      <c r="I532" s="1"/>
    </row>
    <row r="533" spans="2:9" ht="15.75" customHeight="1" x14ac:dyDescent="0.25">
      <c r="B533" s="1"/>
      <c r="C533" s="1"/>
      <c r="D533" s="1"/>
      <c r="E533" s="1"/>
      <c r="F533" s="1"/>
      <c r="G533" s="1"/>
      <c r="H533" s="1"/>
      <c r="I533" s="1"/>
    </row>
    <row r="534" spans="2:9" ht="15.75" customHeight="1" x14ac:dyDescent="0.25">
      <c r="B534" s="1"/>
      <c r="C534" s="1"/>
      <c r="D534" s="1"/>
      <c r="E534" s="1"/>
      <c r="F534" s="1"/>
      <c r="G534" s="1"/>
      <c r="H534" s="1"/>
      <c r="I534" s="1"/>
    </row>
    <row r="535" spans="2:9" ht="15.75" customHeight="1" x14ac:dyDescent="0.25">
      <c r="B535" s="1"/>
      <c r="C535" s="1"/>
      <c r="D535" s="1"/>
      <c r="E535" s="1"/>
      <c r="F535" s="1"/>
      <c r="G535" s="1"/>
      <c r="H535" s="1"/>
      <c r="I535" s="1"/>
    </row>
    <row r="536" spans="2:9" ht="15.75" customHeight="1" x14ac:dyDescent="0.25">
      <c r="B536" s="1"/>
      <c r="C536" s="1"/>
      <c r="D536" s="1"/>
      <c r="E536" s="1"/>
      <c r="F536" s="1"/>
      <c r="G536" s="1"/>
      <c r="H536" s="1"/>
      <c r="I536" s="1"/>
    </row>
    <row r="537" spans="2:9" ht="15.75" customHeight="1" x14ac:dyDescent="0.25">
      <c r="B537" s="1"/>
      <c r="C537" s="1"/>
      <c r="D537" s="1"/>
      <c r="E537" s="1"/>
      <c r="F537" s="1"/>
      <c r="G537" s="1"/>
      <c r="H537" s="1"/>
      <c r="I537" s="1"/>
    </row>
    <row r="538" spans="2:9" ht="15.75" customHeight="1" x14ac:dyDescent="0.25">
      <c r="B538" s="1"/>
      <c r="C538" s="1"/>
      <c r="D538" s="1"/>
      <c r="E538" s="1"/>
      <c r="F538" s="1"/>
      <c r="G538" s="1"/>
      <c r="H538" s="1"/>
      <c r="I538" s="1"/>
    </row>
    <row r="539" spans="2:9" ht="15.75" customHeight="1" x14ac:dyDescent="0.25">
      <c r="B539" s="1"/>
      <c r="C539" s="1"/>
      <c r="D539" s="1"/>
      <c r="E539" s="1"/>
      <c r="F539" s="1"/>
      <c r="G539" s="1"/>
      <c r="H539" s="1"/>
      <c r="I539" s="1"/>
    </row>
    <row r="540" spans="2:9" ht="15.75" customHeight="1" x14ac:dyDescent="0.25">
      <c r="B540" s="1"/>
      <c r="C540" s="1"/>
      <c r="D540" s="1"/>
      <c r="E540" s="1"/>
      <c r="F540" s="1"/>
      <c r="G540" s="1"/>
      <c r="H540" s="1"/>
      <c r="I540" s="1"/>
    </row>
    <row r="541" spans="2:9" ht="15.75" customHeight="1" x14ac:dyDescent="0.25">
      <c r="B541" s="1"/>
      <c r="C541" s="1"/>
      <c r="D541" s="1"/>
      <c r="E541" s="1"/>
      <c r="F541" s="1"/>
      <c r="G541" s="1"/>
      <c r="H541" s="1"/>
      <c r="I541" s="1"/>
    </row>
    <row r="542" spans="2:9" ht="15.75" customHeight="1" x14ac:dyDescent="0.25">
      <c r="B542" s="1"/>
      <c r="C542" s="1"/>
      <c r="D542" s="1"/>
      <c r="E542" s="1"/>
      <c r="F542" s="1"/>
      <c r="G542" s="1"/>
      <c r="H542" s="1"/>
      <c r="I542" s="1"/>
    </row>
    <row r="543" spans="2:9" ht="15.75" customHeight="1" x14ac:dyDescent="0.25">
      <c r="B543" s="1"/>
      <c r="C543" s="1"/>
      <c r="D543" s="1"/>
      <c r="E543" s="1"/>
      <c r="F543" s="1"/>
      <c r="G543" s="1"/>
      <c r="H543" s="1"/>
      <c r="I543" s="1"/>
    </row>
    <row r="544" spans="2:9" ht="15.75" customHeight="1" x14ac:dyDescent="0.25">
      <c r="B544" s="1"/>
      <c r="C544" s="1"/>
      <c r="D544" s="1"/>
      <c r="E544" s="1"/>
      <c r="F544" s="1"/>
      <c r="G544" s="1"/>
      <c r="H544" s="1"/>
      <c r="I544" s="1"/>
    </row>
    <row r="545" spans="2:9" ht="15.75" customHeight="1" x14ac:dyDescent="0.25">
      <c r="B545" s="1"/>
      <c r="C545" s="1"/>
      <c r="D545" s="1"/>
      <c r="E545" s="1"/>
      <c r="F545" s="1"/>
      <c r="G545" s="1"/>
      <c r="H545" s="1"/>
      <c r="I545" s="1"/>
    </row>
    <row r="546" spans="2:9" ht="15.75" customHeight="1" x14ac:dyDescent="0.25">
      <c r="B546" s="1"/>
      <c r="C546" s="1"/>
      <c r="D546" s="1"/>
      <c r="E546" s="1"/>
      <c r="F546" s="1"/>
      <c r="G546" s="1"/>
      <c r="H546" s="1"/>
      <c r="I546" s="1"/>
    </row>
    <row r="547" spans="2:9" ht="15.75" customHeight="1" x14ac:dyDescent="0.25">
      <c r="B547" s="1"/>
      <c r="C547" s="1"/>
      <c r="D547" s="1"/>
      <c r="E547" s="1"/>
      <c r="F547" s="1"/>
      <c r="G547" s="1"/>
      <c r="H547" s="1"/>
      <c r="I547" s="1"/>
    </row>
    <row r="548" spans="2:9" ht="15.75" customHeight="1" x14ac:dyDescent="0.25">
      <c r="B548" s="1"/>
      <c r="C548" s="1"/>
      <c r="D548" s="1"/>
      <c r="E548" s="1"/>
      <c r="F548" s="1"/>
      <c r="G548" s="1"/>
      <c r="H548" s="1"/>
      <c r="I548" s="1"/>
    </row>
    <row r="549" spans="2:9" ht="15.75" customHeight="1" x14ac:dyDescent="0.25">
      <c r="B549" s="1"/>
      <c r="C549" s="1"/>
      <c r="D549" s="1"/>
      <c r="E549" s="1"/>
      <c r="F549" s="1"/>
      <c r="G549" s="1"/>
      <c r="H549" s="1"/>
      <c r="I549" s="1"/>
    </row>
    <row r="550" spans="2:9" ht="15.75" customHeight="1" x14ac:dyDescent="0.25">
      <c r="B550" s="1"/>
      <c r="C550" s="1"/>
      <c r="D550" s="1"/>
      <c r="E550" s="1"/>
      <c r="F550" s="1"/>
      <c r="G550" s="1"/>
      <c r="H550" s="1"/>
      <c r="I550" s="1"/>
    </row>
    <row r="551" spans="2:9" ht="15.75" customHeight="1" x14ac:dyDescent="0.25">
      <c r="B551" s="1"/>
      <c r="C551" s="1"/>
      <c r="D551" s="1"/>
      <c r="E551" s="1"/>
      <c r="F551" s="1"/>
      <c r="G551" s="1"/>
      <c r="H551" s="1"/>
      <c r="I551" s="1"/>
    </row>
    <row r="552" spans="2:9" ht="15.75" customHeight="1" x14ac:dyDescent="0.25">
      <c r="B552" s="1"/>
      <c r="C552" s="1"/>
      <c r="D552" s="1"/>
      <c r="E552" s="1"/>
      <c r="F552" s="1"/>
      <c r="G552" s="1"/>
      <c r="H552" s="1"/>
      <c r="I552" s="1"/>
    </row>
    <row r="553" spans="2:9" ht="15.75" customHeight="1" x14ac:dyDescent="0.25">
      <c r="B553" s="1"/>
      <c r="C553" s="1"/>
      <c r="D553" s="1"/>
      <c r="E553" s="1"/>
      <c r="F553" s="1"/>
      <c r="G553" s="1"/>
      <c r="H553" s="1"/>
      <c r="I553" s="1"/>
    </row>
    <row r="554" spans="2:9" ht="15.75" customHeight="1" x14ac:dyDescent="0.25">
      <c r="B554" s="1"/>
      <c r="C554" s="1"/>
      <c r="D554" s="1"/>
      <c r="E554" s="1"/>
      <c r="F554" s="1"/>
      <c r="G554" s="1"/>
      <c r="H554" s="1"/>
      <c r="I554" s="1"/>
    </row>
    <row r="555" spans="2:9" ht="15.75" customHeight="1" x14ac:dyDescent="0.25">
      <c r="B555" s="1"/>
      <c r="C555" s="1"/>
      <c r="D555" s="1"/>
      <c r="E555" s="1"/>
      <c r="F555" s="1"/>
      <c r="G555" s="1"/>
      <c r="H555" s="1"/>
      <c r="I555" s="1"/>
    </row>
    <row r="556" spans="2:9" ht="15.75" customHeight="1" x14ac:dyDescent="0.25">
      <c r="B556" s="1"/>
      <c r="C556" s="1"/>
      <c r="D556" s="1"/>
      <c r="E556" s="1"/>
      <c r="F556" s="1"/>
      <c r="G556" s="1"/>
      <c r="H556" s="1"/>
      <c r="I556" s="1"/>
    </row>
    <row r="557" spans="2:9" ht="15.75" customHeight="1" x14ac:dyDescent="0.25">
      <c r="B557" s="1"/>
      <c r="C557" s="1"/>
      <c r="D557" s="1"/>
      <c r="E557" s="1"/>
      <c r="F557" s="1"/>
      <c r="G557" s="1"/>
      <c r="H557" s="1"/>
      <c r="I557" s="1"/>
    </row>
    <row r="558" spans="2:9" ht="15.75" customHeight="1" x14ac:dyDescent="0.25">
      <c r="B558" s="1"/>
      <c r="C558" s="1"/>
      <c r="D558" s="1"/>
      <c r="E558" s="1"/>
      <c r="F558" s="1"/>
      <c r="G558" s="1"/>
      <c r="H558" s="1"/>
      <c r="I558" s="1"/>
    </row>
    <row r="559" spans="2:9" ht="15.75" customHeight="1" x14ac:dyDescent="0.25">
      <c r="B559" s="1"/>
      <c r="C559" s="1"/>
      <c r="D559" s="1"/>
      <c r="E559" s="1"/>
      <c r="F559" s="1"/>
      <c r="G559" s="1"/>
      <c r="H559" s="1"/>
      <c r="I559" s="1"/>
    </row>
    <row r="560" spans="2:9" ht="15.75" customHeight="1" x14ac:dyDescent="0.25">
      <c r="B560" s="1"/>
      <c r="C560" s="1"/>
      <c r="D560" s="1"/>
      <c r="E560" s="1"/>
      <c r="F560" s="1"/>
      <c r="G560" s="1"/>
      <c r="H560" s="1"/>
      <c r="I560" s="1"/>
    </row>
    <row r="561" spans="2:9" ht="15.75" customHeight="1" x14ac:dyDescent="0.25">
      <c r="B561" s="1"/>
      <c r="C561" s="1"/>
      <c r="D561" s="1"/>
      <c r="E561" s="1"/>
      <c r="F561" s="1"/>
      <c r="G561" s="1"/>
      <c r="H561" s="1"/>
      <c r="I561" s="1"/>
    </row>
    <row r="562" spans="2:9" ht="15.75" customHeight="1" x14ac:dyDescent="0.25">
      <c r="B562" s="1"/>
      <c r="C562" s="1"/>
      <c r="D562" s="1"/>
      <c r="E562" s="1"/>
      <c r="F562" s="1"/>
      <c r="G562" s="1"/>
      <c r="H562" s="1"/>
      <c r="I562" s="1"/>
    </row>
    <row r="563" spans="2:9" ht="15.75" customHeight="1" x14ac:dyDescent="0.25">
      <c r="B563" s="1"/>
      <c r="C563" s="1"/>
      <c r="D563" s="1"/>
      <c r="E563" s="1"/>
      <c r="F563" s="1"/>
      <c r="G563" s="1"/>
      <c r="H563" s="1"/>
      <c r="I563" s="1"/>
    </row>
    <row r="564" spans="2:9" ht="15.75" customHeight="1" x14ac:dyDescent="0.25">
      <c r="B564" s="1"/>
      <c r="C564" s="1"/>
      <c r="D564" s="1"/>
      <c r="E564" s="1"/>
      <c r="F564" s="1"/>
      <c r="G564" s="1"/>
      <c r="H564" s="1"/>
      <c r="I564" s="1"/>
    </row>
    <row r="565" spans="2:9" ht="15.75" customHeight="1" x14ac:dyDescent="0.25">
      <c r="B565" s="1"/>
      <c r="C565" s="1"/>
      <c r="D565" s="1"/>
      <c r="E565" s="1"/>
      <c r="F565" s="1"/>
      <c r="G565" s="1"/>
      <c r="H565" s="1"/>
      <c r="I565" s="1"/>
    </row>
    <row r="566" spans="2:9" ht="15.75" customHeight="1" x14ac:dyDescent="0.25">
      <c r="B566" s="1"/>
      <c r="C566" s="1"/>
      <c r="D566" s="1"/>
      <c r="E566" s="1"/>
      <c r="F566" s="1"/>
      <c r="G566" s="1"/>
      <c r="H566" s="1"/>
      <c r="I566" s="1"/>
    </row>
    <row r="567" spans="2:9" ht="15.75" customHeight="1" x14ac:dyDescent="0.25">
      <c r="B567" s="1"/>
      <c r="C567" s="1"/>
      <c r="D567" s="1"/>
      <c r="E567" s="1"/>
      <c r="F567" s="1"/>
      <c r="G567" s="1"/>
      <c r="H567" s="1"/>
      <c r="I567" s="1"/>
    </row>
    <row r="568" spans="2:9" ht="15.75" customHeight="1" x14ac:dyDescent="0.25">
      <c r="B568" s="1"/>
      <c r="C568" s="1"/>
      <c r="D568" s="1"/>
      <c r="E568" s="1"/>
      <c r="F568" s="1"/>
      <c r="G568" s="1"/>
      <c r="H568" s="1"/>
      <c r="I568" s="1"/>
    </row>
    <row r="569" spans="2:9" ht="15.75" customHeight="1" x14ac:dyDescent="0.25">
      <c r="B569" s="1"/>
      <c r="C569" s="1"/>
      <c r="D569" s="1"/>
      <c r="E569" s="1"/>
      <c r="F569" s="1"/>
      <c r="G569" s="1"/>
      <c r="H569" s="1"/>
      <c r="I569" s="1"/>
    </row>
    <row r="570" spans="2:9" ht="15.75" customHeight="1" x14ac:dyDescent="0.25">
      <c r="B570" s="1"/>
      <c r="C570" s="1"/>
      <c r="D570" s="1"/>
      <c r="E570" s="1"/>
      <c r="F570" s="1"/>
      <c r="G570" s="1"/>
      <c r="H570" s="1"/>
      <c r="I570" s="1"/>
    </row>
    <row r="571" spans="2:9" ht="15.75" customHeight="1" x14ac:dyDescent="0.25">
      <c r="B571" s="1"/>
      <c r="C571" s="1"/>
      <c r="D571" s="1"/>
      <c r="E571" s="1"/>
      <c r="F571" s="1"/>
      <c r="G571" s="1"/>
      <c r="H571" s="1"/>
      <c r="I571" s="1"/>
    </row>
    <row r="572" spans="2:9" ht="15.75" customHeight="1" x14ac:dyDescent="0.25">
      <c r="B572" s="1"/>
      <c r="C572" s="1"/>
      <c r="D572" s="1"/>
      <c r="E572" s="1"/>
      <c r="F572" s="1"/>
      <c r="G572" s="1"/>
      <c r="H572" s="1"/>
      <c r="I572" s="1"/>
    </row>
    <row r="573" spans="2:9" ht="15.75" customHeight="1" x14ac:dyDescent="0.25">
      <c r="B573" s="1"/>
      <c r="C573" s="1"/>
      <c r="D573" s="1"/>
      <c r="E573" s="1"/>
      <c r="F573" s="1"/>
      <c r="G573" s="1"/>
      <c r="H573" s="1"/>
      <c r="I573" s="1"/>
    </row>
    <row r="574" spans="2:9" ht="15.75" customHeight="1" x14ac:dyDescent="0.25">
      <c r="B574" s="1"/>
      <c r="C574" s="1"/>
      <c r="D574" s="1"/>
      <c r="E574" s="1"/>
      <c r="F574" s="1"/>
      <c r="G574" s="1"/>
      <c r="H574" s="1"/>
      <c r="I574" s="1"/>
    </row>
    <row r="575" spans="2:9" ht="15.75" customHeight="1" x14ac:dyDescent="0.25">
      <c r="B575" s="1"/>
      <c r="C575" s="1"/>
      <c r="D575" s="1"/>
      <c r="E575" s="1"/>
      <c r="F575" s="1"/>
      <c r="G575" s="1"/>
      <c r="H575" s="1"/>
      <c r="I575" s="1"/>
    </row>
    <row r="576" spans="2:9" ht="15.75" customHeight="1" x14ac:dyDescent="0.25">
      <c r="B576" s="1"/>
      <c r="C576" s="1"/>
      <c r="D576" s="1"/>
      <c r="E576" s="1"/>
      <c r="F576" s="1"/>
      <c r="G576" s="1"/>
      <c r="H576" s="1"/>
      <c r="I576" s="1"/>
    </row>
    <row r="577" spans="2:9" ht="15.75" customHeight="1" x14ac:dyDescent="0.25">
      <c r="B577" s="1"/>
      <c r="C577" s="1"/>
      <c r="D577" s="1"/>
      <c r="E577" s="1"/>
      <c r="F577" s="1"/>
      <c r="G577" s="1"/>
      <c r="H577" s="1"/>
      <c r="I577" s="1"/>
    </row>
    <row r="578" spans="2:9" ht="15.75" customHeight="1" x14ac:dyDescent="0.25">
      <c r="B578" s="1"/>
      <c r="C578" s="1"/>
      <c r="D578" s="1"/>
      <c r="E578" s="1"/>
      <c r="F578" s="1"/>
      <c r="G578" s="1"/>
      <c r="H578" s="1"/>
      <c r="I578" s="1"/>
    </row>
    <row r="579" spans="2:9" ht="15.75" customHeight="1" x14ac:dyDescent="0.25">
      <c r="B579" s="1"/>
      <c r="C579" s="1"/>
      <c r="D579" s="1"/>
      <c r="E579" s="1"/>
      <c r="F579" s="1"/>
      <c r="G579" s="1"/>
      <c r="H579" s="1"/>
      <c r="I579" s="1"/>
    </row>
    <row r="580" spans="2:9" ht="15.75" customHeight="1" x14ac:dyDescent="0.25">
      <c r="B580" s="1"/>
      <c r="C580" s="1"/>
      <c r="D580" s="1"/>
      <c r="E580" s="1"/>
      <c r="F580" s="1"/>
      <c r="G580" s="1"/>
      <c r="H580" s="1"/>
      <c r="I580" s="1"/>
    </row>
    <row r="581" spans="2:9" ht="15.75" customHeight="1" x14ac:dyDescent="0.25">
      <c r="B581" s="1"/>
      <c r="C581" s="1"/>
      <c r="D581" s="1"/>
      <c r="E581" s="1"/>
      <c r="F581" s="1"/>
      <c r="G581" s="1"/>
      <c r="H581" s="1"/>
      <c r="I581" s="1"/>
    </row>
    <row r="582" spans="2:9" ht="15.75" customHeight="1" x14ac:dyDescent="0.25">
      <c r="B582" s="1"/>
      <c r="C582" s="1"/>
      <c r="D582" s="1"/>
      <c r="E582" s="1"/>
      <c r="F582" s="1"/>
      <c r="G582" s="1"/>
      <c r="H582" s="1"/>
      <c r="I582" s="1"/>
    </row>
    <row r="583" spans="2:9" ht="15.75" customHeight="1" x14ac:dyDescent="0.25">
      <c r="B583" s="1"/>
      <c r="C583" s="1"/>
      <c r="D583" s="1"/>
      <c r="E583" s="1"/>
      <c r="F583" s="1"/>
      <c r="G583" s="1"/>
      <c r="H583" s="1"/>
      <c r="I583" s="1"/>
    </row>
    <row r="584" spans="2:9" ht="15.75" customHeight="1" x14ac:dyDescent="0.25">
      <c r="B584" s="1"/>
      <c r="C584" s="1"/>
      <c r="D584" s="1"/>
      <c r="E584" s="1"/>
      <c r="F584" s="1"/>
      <c r="G584" s="1"/>
      <c r="H584" s="1"/>
      <c r="I584" s="1"/>
    </row>
    <row r="585" spans="2:9" ht="15.75" customHeight="1" x14ac:dyDescent="0.25">
      <c r="B585" s="1"/>
      <c r="C585" s="1"/>
      <c r="D585" s="1"/>
      <c r="E585" s="1"/>
      <c r="F585" s="1"/>
      <c r="G585" s="1"/>
      <c r="H585" s="1"/>
      <c r="I585" s="1"/>
    </row>
    <row r="586" spans="2:9" ht="15.75" customHeight="1" x14ac:dyDescent="0.25">
      <c r="B586" s="1"/>
      <c r="C586" s="1"/>
      <c r="D586" s="1"/>
      <c r="E586" s="1"/>
      <c r="F586" s="1"/>
      <c r="G586" s="1"/>
      <c r="H586" s="1"/>
      <c r="I586" s="1"/>
    </row>
    <row r="587" spans="2:9" ht="15.75" customHeight="1" x14ac:dyDescent="0.25">
      <c r="B587" s="1"/>
      <c r="C587" s="1"/>
      <c r="D587" s="1"/>
      <c r="E587" s="1"/>
      <c r="F587" s="1"/>
      <c r="G587" s="1"/>
      <c r="H587" s="1"/>
      <c r="I587" s="1"/>
    </row>
    <row r="588" spans="2:9" ht="15.75" customHeight="1" x14ac:dyDescent="0.25">
      <c r="B588" s="1"/>
      <c r="C588" s="1"/>
      <c r="D588" s="1"/>
      <c r="E588" s="1"/>
      <c r="F588" s="1"/>
      <c r="G588" s="1"/>
      <c r="H588" s="1"/>
      <c r="I588" s="1"/>
    </row>
    <row r="589" spans="2:9" ht="15.75" customHeight="1" x14ac:dyDescent="0.25">
      <c r="B589" s="1"/>
      <c r="C589" s="1"/>
      <c r="D589" s="1"/>
      <c r="E589" s="1"/>
      <c r="F589" s="1"/>
      <c r="G589" s="1"/>
      <c r="H589" s="1"/>
      <c r="I589" s="1"/>
    </row>
    <row r="590" spans="2:9" ht="15.75" customHeight="1" x14ac:dyDescent="0.25">
      <c r="B590" s="1"/>
      <c r="C590" s="1"/>
      <c r="D590" s="1"/>
      <c r="E590" s="1"/>
      <c r="F590" s="1"/>
      <c r="G590" s="1"/>
      <c r="H590" s="1"/>
      <c r="I590" s="1"/>
    </row>
    <row r="591" spans="2:9" ht="15.75" customHeight="1" x14ac:dyDescent="0.25">
      <c r="B591" s="1"/>
      <c r="C591" s="1"/>
      <c r="D591" s="1"/>
      <c r="E591" s="1"/>
      <c r="F591" s="1"/>
      <c r="G591" s="1"/>
      <c r="H591" s="1"/>
      <c r="I591" s="1"/>
    </row>
    <row r="592" spans="2:9" ht="15.75" customHeight="1" x14ac:dyDescent="0.25">
      <c r="B592" s="1"/>
      <c r="C592" s="1"/>
      <c r="D592" s="1"/>
      <c r="E592" s="1"/>
      <c r="F592" s="1"/>
      <c r="G592" s="1"/>
      <c r="H592" s="1"/>
      <c r="I592" s="1"/>
    </row>
    <row r="593" spans="2:9" ht="15.75" customHeight="1" x14ac:dyDescent="0.25">
      <c r="B593" s="1"/>
      <c r="C593" s="1"/>
      <c r="D593" s="1"/>
      <c r="E593" s="1"/>
      <c r="F593" s="1"/>
      <c r="G593" s="1"/>
      <c r="H593" s="1"/>
      <c r="I593" s="1"/>
    </row>
    <row r="594" spans="2:9" ht="15.75" customHeight="1" x14ac:dyDescent="0.25">
      <c r="B594" s="1"/>
      <c r="C594" s="1"/>
      <c r="D594" s="1"/>
      <c r="E594" s="1"/>
      <c r="F594" s="1"/>
      <c r="G594" s="1"/>
      <c r="H594" s="1"/>
      <c r="I594" s="1"/>
    </row>
    <row r="595" spans="2:9" ht="15.75" customHeight="1" x14ac:dyDescent="0.25">
      <c r="B595" s="1"/>
      <c r="C595" s="1"/>
      <c r="D595" s="1"/>
      <c r="E595" s="1"/>
      <c r="F595" s="1"/>
      <c r="G595" s="1"/>
      <c r="H595" s="1"/>
      <c r="I595" s="1"/>
    </row>
    <row r="596" spans="2:9" ht="15.75" customHeight="1" x14ac:dyDescent="0.25">
      <c r="B596" s="1"/>
      <c r="C596" s="1"/>
      <c r="D596" s="1"/>
      <c r="E596" s="1"/>
      <c r="F596" s="1"/>
      <c r="G596" s="1"/>
      <c r="H596" s="1"/>
      <c r="I596" s="1"/>
    </row>
    <row r="597" spans="2:9" ht="15.75" customHeight="1" x14ac:dyDescent="0.25">
      <c r="B597" s="1"/>
      <c r="C597" s="1"/>
      <c r="D597" s="1"/>
      <c r="E597" s="1"/>
      <c r="F597" s="1"/>
      <c r="G597" s="1"/>
      <c r="H597" s="1"/>
      <c r="I597" s="1"/>
    </row>
    <row r="598" spans="2:9" ht="15.75" customHeight="1" x14ac:dyDescent="0.25">
      <c r="B598" s="1"/>
      <c r="C598" s="1"/>
      <c r="D598" s="1"/>
      <c r="E598" s="1"/>
      <c r="F598" s="1"/>
      <c r="G598" s="1"/>
      <c r="H598" s="1"/>
      <c r="I598" s="1"/>
    </row>
    <row r="599" spans="2:9" ht="15.75" customHeight="1" x14ac:dyDescent="0.25">
      <c r="B599" s="1"/>
      <c r="C599" s="1"/>
      <c r="D599" s="1"/>
      <c r="E599" s="1"/>
      <c r="F599" s="1"/>
      <c r="G599" s="1"/>
      <c r="H599" s="1"/>
      <c r="I599" s="1"/>
    </row>
    <row r="600" spans="2:9" ht="15.75" customHeight="1" x14ac:dyDescent="0.25">
      <c r="B600" s="1"/>
      <c r="C600" s="1"/>
      <c r="D600" s="1"/>
      <c r="E600" s="1"/>
      <c r="F600" s="1"/>
      <c r="G600" s="1"/>
      <c r="H600" s="1"/>
      <c r="I600" s="1"/>
    </row>
    <row r="601" spans="2:9" ht="15.75" customHeight="1" x14ac:dyDescent="0.25">
      <c r="B601" s="1"/>
      <c r="C601" s="1"/>
      <c r="D601" s="1"/>
      <c r="E601" s="1"/>
      <c r="F601" s="1"/>
      <c r="G601" s="1"/>
      <c r="H601" s="1"/>
      <c r="I601" s="1"/>
    </row>
    <row r="602" spans="2:9" ht="15.75" customHeight="1" x14ac:dyDescent="0.25">
      <c r="B602" s="1"/>
      <c r="C602" s="1"/>
      <c r="D602" s="1"/>
      <c r="E602" s="1"/>
      <c r="F602" s="1"/>
      <c r="G602" s="1"/>
      <c r="H602" s="1"/>
      <c r="I602" s="1"/>
    </row>
    <row r="603" spans="2:9" ht="15.75" customHeight="1" x14ac:dyDescent="0.25">
      <c r="B603" s="1"/>
      <c r="C603" s="1"/>
      <c r="D603" s="1"/>
      <c r="E603" s="1"/>
      <c r="F603" s="1"/>
      <c r="G603" s="1"/>
      <c r="H603" s="1"/>
      <c r="I603" s="1"/>
    </row>
    <row r="604" spans="2:9" ht="15.75" customHeight="1" x14ac:dyDescent="0.25">
      <c r="B604" s="1"/>
      <c r="C604" s="1"/>
      <c r="D604" s="1"/>
      <c r="E604" s="1"/>
      <c r="F604" s="1"/>
      <c r="G604" s="1"/>
      <c r="H604" s="1"/>
      <c r="I604" s="1"/>
    </row>
    <row r="605" spans="2:9" ht="15.75" customHeight="1" x14ac:dyDescent="0.25">
      <c r="B605" s="1"/>
      <c r="C605" s="1"/>
      <c r="D605" s="1"/>
      <c r="E605" s="1"/>
      <c r="F605" s="1"/>
      <c r="G605" s="1"/>
      <c r="H605" s="1"/>
      <c r="I605" s="1"/>
    </row>
    <row r="606" spans="2:9" ht="15.75" customHeight="1" x14ac:dyDescent="0.25">
      <c r="B606" s="1"/>
      <c r="C606" s="1"/>
      <c r="D606" s="1"/>
      <c r="E606" s="1"/>
      <c r="F606" s="1"/>
      <c r="G606" s="1"/>
      <c r="H606" s="1"/>
      <c r="I606" s="1"/>
    </row>
    <row r="607" spans="2:9" ht="15.75" customHeight="1" x14ac:dyDescent="0.25">
      <c r="B607" s="1"/>
      <c r="C607" s="1"/>
      <c r="D607" s="1"/>
      <c r="E607" s="1"/>
      <c r="F607" s="1"/>
      <c r="G607" s="1"/>
      <c r="H607" s="1"/>
      <c r="I607" s="1"/>
    </row>
    <row r="608" spans="2:9" ht="15.75" customHeight="1" x14ac:dyDescent="0.25">
      <c r="B608" s="1"/>
      <c r="C608" s="1"/>
      <c r="D608" s="1"/>
      <c r="E608" s="1"/>
      <c r="F608" s="1"/>
      <c r="G608" s="1"/>
      <c r="H608" s="1"/>
      <c r="I608" s="1"/>
    </row>
    <row r="609" spans="2:9" ht="15.75" customHeight="1" x14ac:dyDescent="0.25">
      <c r="B609" s="1"/>
      <c r="C609" s="1"/>
      <c r="D609" s="1"/>
      <c r="E609" s="1"/>
      <c r="F609" s="1"/>
      <c r="G609" s="1"/>
      <c r="H609" s="1"/>
      <c r="I609" s="1"/>
    </row>
    <row r="610" spans="2:9" ht="15.75" customHeight="1" x14ac:dyDescent="0.25">
      <c r="B610" s="1"/>
      <c r="C610" s="1"/>
      <c r="D610" s="1"/>
      <c r="E610" s="1"/>
      <c r="F610" s="1"/>
      <c r="G610" s="1"/>
      <c r="H610" s="1"/>
      <c r="I610" s="1"/>
    </row>
    <row r="611" spans="2:9" ht="15.75" customHeight="1" x14ac:dyDescent="0.25">
      <c r="B611" s="1"/>
      <c r="C611" s="1"/>
      <c r="D611" s="1"/>
      <c r="E611" s="1"/>
      <c r="F611" s="1"/>
      <c r="G611" s="1"/>
      <c r="H611" s="1"/>
      <c r="I611" s="1"/>
    </row>
    <row r="612" spans="2:9" ht="15.75" customHeight="1" x14ac:dyDescent="0.25">
      <c r="B612" s="1"/>
      <c r="C612" s="1"/>
      <c r="D612" s="1"/>
      <c r="E612" s="1"/>
      <c r="F612" s="1"/>
      <c r="G612" s="1"/>
      <c r="H612" s="1"/>
      <c r="I612" s="1"/>
    </row>
    <row r="613" spans="2:9" ht="15.75" customHeight="1" x14ac:dyDescent="0.25">
      <c r="B613" s="1"/>
      <c r="C613" s="1"/>
      <c r="D613" s="1"/>
      <c r="E613" s="1"/>
      <c r="F613" s="1"/>
      <c r="G613" s="1"/>
      <c r="H613" s="1"/>
      <c r="I613" s="1"/>
    </row>
    <row r="614" spans="2:9" ht="15.75" customHeight="1" x14ac:dyDescent="0.25">
      <c r="B614" s="1"/>
      <c r="C614" s="1"/>
      <c r="D614" s="1"/>
      <c r="E614" s="1"/>
      <c r="F614" s="1"/>
      <c r="G614" s="1"/>
      <c r="H614" s="1"/>
      <c r="I614" s="1"/>
    </row>
    <row r="615" spans="2:9" ht="15.75" customHeight="1" x14ac:dyDescent="0.25">
      <c r="B615" s="1"/>
      <c r="C615" s="1"/>
      <c r="D615" s="1"/>
      <c r="E615" s="1"/>
      <c r="F615" s="1"/>
      <c r="G615" s="1"/>
      <c r="H615" s="1"/>
      <c r="I615" s="1"/>
    </row>
    <row r="616" spans="2:9" ht="15.75" customHeight="1" x14ac:dyDescent="0.25">
      <c r="B616" s="1"/>
      <c r="C616" s="1"/>
      <c r="D616" s="1"/>
      <c r="E616" s="1"/>
      <c r="F616" s="1"/>
      <c r="G616" s="1"/>
      <c r="H616" s="1"/>
      <c r="I616" s="1"/>
    </row>
    <row r="617" spans="2:9" ht="15.75" customHeight="1" x14ac:dyDescent="0.25">
      <c r="B617" s="1"/>
      <c r="C617" s="1"/>
      <c r="D617" s="1"/>
      <c r="E617" s="1"/>
      <c r="F617" s="1"/>
      <c r="G617" s="1"/>
      <c r="H617" s="1"/>
      <c r="I617" s="1"/>
    </row>
    <row r="618" spans="2:9" ht="15.75" customHeight="1" x14ac:dyDescent="0.25">
      <c r="B618" s="1"/>
      <c r="C618" s="1"/>
      <c r="D618" s="1"/>
      <c r="E618" s="1"/>
      <c r="F618" s="1"/>
      <c r="G618" s="1"/>
      <c r="H618" s="1"/>
      <c r="I618" s="1"/>
    </row>
    <row r="619" spans="2:9" ht="15.75" customHeight="1" x14ac:dyDescent="0.25">
      <c r="B619" s="1"/>
      <c r="C619" s="1"/>
      <c r="D619" s="1"/>
      <c r="E619" s="1"/>
      <c r="F619" s="1"/>
      <c r="G619" s="1"/>
      <c r="H619" s="1"/>
      <c r="I619" s="1"/>
    </row>
    <row r="620" spans="2:9" ht="15.75" customHeight="1" x14ac:dyDescent="0.25">
      <c r="B620" s="1"/>
      <c r="C620" s="1"/>
      <c r="D620" s="1"/>
      <c r="E620" s="1"/>
      <c r="F620" s="1"/>
      <c r="G620" s="1"/>
      <c r="H620" s="1"/>
      <c r="I620" s="1"/>
    </row>
    <row r="621" spans="2:9" ht="15.75" customHeight="1" x14ac:dyDescent="0.25">
      <c r="B621" s="1"/>
      <c r="C621" s="1"/>
      <c r="D621" s="1"/>
      <c r="E621" s="1"/>
      <c r="F621" s="1"/>
      <c r="G621" s="1"/>
      <c r="H621" s="1"/>
      <c r="I621" s="1"/>
    </row>
    <row r="622" spans="2:9" ht="15.75" customHeight="1" x14ac:dyDescent="0.25">
      <c r="B622" s="1"/>
      <c r="C622" s="1"/>
      <c r="D622" s="1"/>
      <c r="E622" s="1"/>
      <c r="F622" s="1"/>
      <c r="G622" s="1"/>
      <c r="H622" s="1"/>
      <c r="I622" s="1"/>
    </row>
    <row r="623" spans="2:9" ht="15.75" customHeight="1" x14ac:dyDescent="0.25">
      <c r="B623" s="1"/>
      <c r="C623" s="1"/>
      <c r="D623" s="1"/>
      <c r="E623" s="1"/>
      <c r="F623" s="1"/>
      <c r="G623" s="1"/>
      <c r="H623" s="1"/>
      <c r="I623" s="1"/>
    </row>
    <row r="624" spans="2:9" ht="15.75" customHeight="1" x14ac:dyDescent="0.25">
      <c r="B624" s="1"/>
      <c r="C624" s="1"/>
      <c r="D624" s="1"/>
      <c r="E624" s="1"/>
      <c r="F624" s="1"/>
      <c r="G624" s="1"/>
      <c r="H624" s="1"/>
      <c r="I624" s="1"/>
    </row>
    <row r="625" spans="2:9" ht="15.75" customHeight="1" x14ac:dyDescent="0.25">
      <c r="B625" s="1"/>
      <c r="C625" s="1"/>
      <c r="D625" s="1"/>
      <c r="E625" s="1"/>
      <c r="F625" s="1"/>
      <c r="G625" s="1"/>
      <c r="H625" s="1"/>
      <c r="I625" s="1"/>
    </row>
    <row r="626" spans="2:9" ht="15.75" customHeight="1" x14ac:dyDescent="0.25">
      <c r="B626" s="1"/>
      <c r="C626" s="1"/>
      <c r="D626" s="1"/>
      <c r="E626" s="1"/>
      <c r="F626" s="1"/>
      <c r="G626" s="1"/>
      <c r="H626" s="1"/>
      <c r="I626" s="1"/>
    </row>
    <row r="627" spans="2:9" ht="15.75" customHeight="1" x14ac:dyDescent="0.25">
      <c r="B627" s="1"/>
      <c r="C627" s="1"/>
      <c r="D627" s="1"/>
      <c r="E627" s="1"/>
      <c r="F627" s="1"/>
      <c r="G627" s="1"/>
      <c r="H627" s="1"/>
      <c r="I627" s="1"/>
    </row>
    <row r="628" spans="2:9" ht="15.75" customHeight="1" x14ac:dyDescent="0.25">
      <c r="B628" s="1"/>
      <c r="C628" s="1"/>
      <c r="D628" s="1"/>
      <c r="E628" s="1"/>
      <c r="F628" s="1"/>
      <c r="G628" s="1"/>
      <c r="H628" s="1"/>
      <c r="I628" s="1"/>
    </row>
    <row r="629" spans="2:9" ht="15.75" customHeight="1" x14ac:dyDescent="0.25">
      <c r="B629" s="1"/>
      <c r="C629" s="1"/>
      <c r="D629" s="1"/>
      <c r="E629" s="1"/>
      <c r="F629" s="1"/>
      <c r="G629" s="1"/>
      <c r="H629" s="1"/>
      <c r="I629" s="1"/>
    </row>
    <row r="630" spans="2:9" ht="15.75" customHeight="1" x14ac:dyDescent="0.25">
      <c r="B630" s="1"/>
      <c r="C630" s="1"/>
      <c r="D630" s="1"/>
      <c r="E630" s="1"/>
      <c r="F630" s="1"/>
      <c r="G630" s="1"/>
      <c r="H630" s="1"/>
      <c r="I630" s="1"/>
    </row>
    <row r="631" spans="2:9" ht="15.75" customHeight="1" x14ac:dyDescent="0.25">
      <c r="B631" s="1"/>
      <c r="C631" s="1"/>
      <c r="D631" s="1"/>
      <c r="E631" s="1"/>
      <c r="F631" s="1"/>
      <c r="G631" s="1"/>
      <c r="H631" s="1"/>
      <c r="I631" s="1"/>
    </row>
    <row r="632" spans="2:9" ht="15.75" customHeight="1" x14ac:dyDescent="0.25">
      <c r="B632" s="1"/>
      <c r="C632" s="1"/>
      <c r="D632" s="1"/>
      <c r="E632" s="1"/>
      <c r="F632" s="1"/>
      <c r="G632" s="1"/>
      <c r="H632" s="1"/>
      <c r="I632" s="1"/>
    </row>
    <row r="633" spans="2:9" ht="15.75" customHeight="1" x14ac:dyDescent="0.25">
      <c r="B633" s="1"/>
      <c r="C633" s="1"/>
      <c r="D633" s="1"/>
      <c r="E633" s="1"/>
      <c r="F633" s="1"/>
      <c r="G633" s="1"/>
      <c r="H633" s="1"/>
      <c r="I633" s="1"/>
    </row>
    <row r="634" spans="2:9" ht="15.75" customHeight="1" x14ac:dyDescent="0.25">
      <c r="B634" s="1"/>
      <c r="C634" s="1"/>
      <c r="D634" s="1"/>
      <c r="E634" s="1"/>
      <c r="F634" s="1"/>
      <c r="G634" s="1"/>
      <c r="H634" s="1"/>
      <c r="I634" s="1"/>
    </row>
    <row r="635" spans="2:9" ht="15.75" customHeight="1" x14ac:dyDescent="0.25">
      <c r="B635" s="1"/>
      <c r="C635" s="1"/>
      <c r="D635" s="1"/>
      <c r="E635" s="1"/>
      <c r="F635" s="1"/>
      <c r="G635" s="1"/>
      <c r="H635" s="1"/>
      <c r="I635" s="1"/>
    </row>
    <row r="636" spans="2:9" ht="15.75" customHeight="1" x14ac:dyDescent="0.25">
      <c r="B636" s="1"/>
      <c r="C636" s="1"/>
      <c r="D636" s="1"/>
      <c r="E636" s="1"/>
      <c r="F636" s="1"/>
      <c r="G636" s="1"/>
      <c r="H636" s="1"/>
      <c r="I636" s="1"/>
    </row>
    <row r="637" spans="2:9" ht="15.75" customHeight="1" x14ac:dyDescent="0.25">
      <c r="B637" s="1"/>
      <c r="C637" s="1"/>
      <c r="D637" s="1"/>
      <c r="E637" s="1"/>
      <c r="F637" s="1"/>
      <c r="G637" s="1"/>
      <c r="H637" s="1"/>
      <c r="I637" s="1"/>
    </row>
    <row r="638" spans="2:9" ht="15.75" customHeight="1" x14ac:dyDescent="0.25">
      <c r="B638" s="1"/>
      <c r="C638" s="1"/>
      <c r="D638" s="1"/>
      <c r="E638" s="1"/>
      <c r="F638" s="1"/>
      <c r="G638" s="1"/>
      <c r="H638" s="1"/>
      <c r="I638" s="1"/>
    </row>
    <row r="639" spans="2:9" ht="15.75" customHeight="1" x14ac:dyDescent="0.25">
      <c r="B639" s="1"/>
      <c r="C639" s="1"/>
      <c r="D639" s="1"/>
      <c r="E639" s="1"/>
      <c r="F639" s="1"/>
      <c r="G639" s="1"/>
      <c r="H639" s="1"/>
      <c r="I639" s="1"/>
    </row>
    <row r="640" spans="2:9" ht="15.75" customHeight="1" x14ac:dyDescent="0.25">
      <c r="B640" s="1"/>
      <c r="C640" s="1"/>
      <c r="D640" s="1"/>
      <c r="E640" s="1"/>
      <c r="F640" s="1"/>
      <c r="G640" s="1"/>
      <c r="H640" s="1"/>
      <c r="I640" s="1"/>
    </row>
    <row r="641" spans="2:9" ht="15.75" customHeight="1" x14ac:dyDescent="0.25">
      <c r="B641" s="1"/>
      <c r="C641" s="1"/>
      <c r="D641" s="1"/>
      <c r="E641" s="1"/>
      <c r="F641" s="1"/>
      <c r="G641" s="1"/>
      <c r="H641" s="1"/>
      <c r="I641" s="1"/>
    </row>
    <row r="642" spans="2:9" ht="15.75" customHeight="1" x14ac:dyDescent="0.25">
      <c r="B642" s="1"/>
      <c r="C642" s="1"/>
      <c r="D642" s="1"/>
      <c r="E642" s="1"/>
      <c r="F642" s="1"/>
      <c r="G642" s="1"/>
      <c r="H642" s="1"/>
      <c r="I642" s="1"/>
    </row>
    <row r="643" spans="2:9" ht="15.75" customHeight="1" x14ac:dyDescent="0.25">
      <c r="B643" s="1"/>
      <c r="C643" s="1"/>
      <c r="D643" s="1"/>
      <c r="E643" s="1"/>
      <c r="F643" s="1"/>
      <c r="G643" s="1"/>
      <c r="H643" s="1"/>
      <c r="I643" s="1"/>
    </row>
    <row r="644" spans="2:9" ht="15.75" customHeight="1" x14ac:dyDescent="0.25">
      <c r="B644" s="1"/>
      <c r="C644" s="1"/>
      <c r="D644" s="1"/>
      <c r="E644" s="1"/>
      <c r="F644" s="1"/>
      <c r="G644" s="1"/>
      <c r="H644" s="1"/>
      <c r="I644" s="1"/>
    </row>
    <row r="645" spans="2:9" ht="15.75" customHeight="1" x14ac:dyDescent="0.25">
      <c r="B645" s="1"/>
      <c r="C645" s="1"/>
      <c r="D645" s="1"/>
      <c r="E645" s="1"/>
      <c r="F645" s="1"/>
      <c r="G645" s="1"/>
      <c r="H645" s="1"/>
      <c r="I645" s="1"/>
    </row>
    <row r="646" spans="2:9" ht="15.75" customHeight="1" x14ac:dyDescent="0.25">
      <c r="B646" s="1"/>
      <c r="C646" s="1"/>
      <c r="D646" s="1"/>
      <c r="E646" s="1"/>
      <c r="F646" s="1"/>
      <c r="G646" s="1"/>
      <c r="H646" s="1"/>
      <c r="I646" s="1"/>
    </row>
    <row r="647" spans="2:9" ht="15.75" customHeight="1" x14ac:dyDescent="0.25">
      <c r="B647" s="1"/>
      <c r="C647" s="1"/>
      <c r="D647" s="1"/>
      <c r="E647" s="1"/>
      <c r="F647" s="1"/>
      <c r="G647" s="1"/>
      <c r="H647" s="1"/>
      <c r="I647" s="1"/>
    </row>
    <row r="648" spans="2:9" ht="15.75" customHeight="1" x14ac:dyDescent="0.25">
      <c r="B648" s="1"/>
      <c r="C648" s="1"/>
      <c r="D648" s="1"/>
      <c r="E648" s="1"/>
      <c r="F648" s="1"/>
      <c r="G648" s="1"/>
      <c r="H648" s="1"/>
      <c r="I648" s="1"/>
    </row>
    <row r="649" spans="2:9" ht="15.75" customHeight="1" x14ac:dyDescent="0.25">
      <c r="B649" s="1"/>
      <c r="C649" s="1"/>
      <c r="D649" s="1"/>
      <c r="E649" s="1"/>
      <c r="F649" s="1"/>
      <c r="G649" s="1"/>
      <c r="H649" s="1"/>
      <c r="I649" s="1"/>
    </row>
    <row r="650" spans="2:9" ht="15.75" customHeight="1" x14ac:dyDescent="0.25">
      <c r="B650" s="1"/>
      <c r="C650" s="1"/>
      <c r="D650" s="1"/>
      <c r="E650" s="1"/>
      <c r="F650" s="1"/>
      <c r="G650" s="1"/>
      <c r="H650" s="1"/>
      <c r="I650" s="1"/>
    </row>
    <row r="651" spans="2:9" ht="15.75" customHeight="1" x14ac:dyDescent="0.25">
      <c r="B651" s="1"/>
      <c r="C651" s="1"/>
      <c r="D651" s="1"/>
      <c r="E651" s="1"/>
      <c r="F651" s="1"/>
      <c r="G651" s="1"/>
      <c r="H651" s="1"/>
      <c r="I651" s="1"/>
    </row>
    <row r="652" spans="2:9" ht="15.75" customHeight="1" x14ac:dyDescent="0.25">
      <c r="B652" s="1"/>
      <c r="C652" s="1"/>
      <c r="D652" s="1"/>
      <c r="E652" s="1"/>
      <c r="F652" s="1"/>
      <c r="G652" s="1"/>
      <c r="H652" s="1"/>
      <c r="I652" s="1"/>
    </row>
    <row r="653" spans="2:9" ht="15.75" customHeight="1" x14ac:dyDescent="0.25">
      <c r="B653" s="1"/>
      <c r="C653" s="1"/>
      <c r="D653" s="1"/>
      <c r="E653" s="1"/>
      <c r="F653" s="1"/>
      <c r="G653" s="1"/>
      <c r="H653" s="1"/>
      <c r="I653" s="1"/>
    </row>
    <row r="654" spans="2:9" ht="15.75" customHeight="1" x14ac:dyDescent="0.25">
      <c r="B654" s="1"/>
      <c r="C654" s="1"/>
      <c r="D654" s="1"/>
      <c r="E654" s="1"/>
      <c r="F654" s="1"/>
      <c r="G654" s="1"/>
      <c r="H654" s="1"/>
      <c r="I654" s="1"/>
    </row>
    <row r="655" spans="2:9" ht="15.75" customHeight="1" x14ac:dyDescent="0.25">
      <c r="B655" s="1"/>
      <c r="C655" s="1"/>
      <c r="D655" s="1"/>
      <c r="E655" s="1"/>
      <c r="F655" s="1"/>
      <c r="G655" s="1"/>
      <c r="H655" s="1"/>
      <c r="I655" s="1"/>
    </row>
    <row r="656" spans="2:9" ht="15.75" customHeight="1" x14ac:dyDescent="0.25">
      <c r="B656" s="1"/>
      <c r="C656" s="1"/>
      <c r="D656" s="1"/>
      <c r="E656" s="1"/>
      <c r="F656" s="1"/>
      <c r="G656" s="1"/>
      <c r="H656" s="1"/>
      <c r="I656" s="1"/>
    </row>
    <row r="657" spans="2:9" ht="15.75" customHeight="1" x14ac:dyDescent="0.25">
      <c r="B657" s="1"/>
      <c r="C657" s="1"/>
      <c r="D657" s="1"/>
      <c r="E657" s="1"/>
      <c r="F657" s="1"/>
      <c r="G657" s="1"/>
      <c r="H657" s="1"/>
      <c r="I657" s="1"/>
    </row>
    <row r="658" spans="2:9" ht="15.75" customHeight="1" x14ac:dyDescent="0.25">
      <c r="B658" s="1"/>
      <c r="C658" s="1"/>
      <c r="D658" s="1"/>
      <c r="E658" s="1"/>
      <c r="F658" s="1"/>
      <c r="G658" s="1"/>
      <c r="H658" s="1"/>
      <c r="I658" s="1"/>
    </row>
    <row r="659" spans="2:9" ht="15.75" customHeight="1" x14ac:dyDescent="0.25">
      <c r="B659" s="1"/>
      <c r="C659" s="1"/>
      <c r="D659" s="1"/>
      <c r="E659" s="1"/>
      <c r="F659" s="1"/>
      <c r="G659" s="1"/>
      <c r="H659" s="1"/>
      <c r="I659" s="1"/>
    </row>
    <row r="660" spans="2:9" ht="15.75" customHeight="1" x14ac:dyDescent="0.25">
      <c r="B660" s="1"/>
      <c r="C660" s="1"/>
      <c r="D660" s="1"/>
      <c r="E660" s="1"/>
      <c r="F660" s="1"/>
      <c r="G660" s="1"/>
      <c r="H660" s="1"/>
      <c r="I660" s="1"/>
    </row>
    <row r="661" spans="2:9" ht="15.75" customHeight="1" x14ac:dyDescent="0.25">
      <c r="B661" s="1"/>
      <c r="C661" s="1"/>
      <c r="D661" s="1"/>
      <c r="E661" s="1"/>
      <c r="F661" s="1"/>
      <c r="G661" s="1"/>
      <c r="H661" s="1"/>
      <c r="I661" s="1"/>
    </row>
    <row r="662" spans="2:9" ht="15.75" customHeight="1" x14ac:dyDescent="0.25">
      <c r="B662" s="1"/>
      <c r="C662" s="1"/>
      <c r="D662" s="1"/>
      <c r="E662" s="1"/>
      <c r="F662" s="1"/>
      <c r="G662" s="1"/>
      <c r="H662" s="1"/>
      <c r="I662" s="1"/>
    </row>
    <row r="663" spans="2:9" ht="15.75" customHeight="1" x14ac:dyDescent="0.25">
      <c r="B663" s="1"/>
      <c r="C663" s="1"/>
      <c r="D663" s="1"/>
      <c r="E663" s="1"/>
      <c r="F663" s="1"/>
      <c r="G663" s="1"/>
      <c r="H663" s="1"/>
      <c r="I663" s="1"/>
    </row>
    <row r="664" spans="2:9" ht="15.75" customHeight="1" x14ac:dyDescent="0.25">
      <c r="B664" s="1"/>
      <c r="C664" s="1"/>
      <c r="D664" s="1"/>
      <c r="E664" s="1"/>
      <c r="F664" s="1"/>
      <c r="G664" s="1"/>
      <c r="H664" s="1"/>
      <c r="I664" s="1"/>
    </row>
    <row r="665" spans="2:9" ht="15.75" customHeight="1" x14ac:dyDescent="0.25">
      <c r="B665" s="1"/>
      <c r="C665" s="1"/>
      <c r="D665" s="1"/>
      <c r="E665" s="1"/>
      <c r="F665" s="1"/>
      <c r="G665" s="1"/>
      <c r="H665" s="1"/>
      <c r="I665" s="1"/>
    </row>
    <row r="666" spans="2:9" ht="15.75" customHeight="1" x14ac:dyDescent="0.25">
      <c r="B666" s="1"/>
      <c r="C666" s="1"/>
      <c r="D666" s="1"/>
      <c r="E666" s="1"/>
      <c r="F666" s="1"/>
      <c r="G666" s="1"/>
      <c r="H666" s="1"/>
      <c r="I666" s="1"/>
    </row>
    <row r="667" spans="2:9" ht="15.75" customHeight="1" x14ac:dyDescent="0.25">
      <c r="B667" s="1"/>
      <c r="C667" s="1"/>
      <c r="D667" s="1"/>
      <c r="E667" s="1"/>
      <c r="F667" s="1"/>
      <c r="G667" s="1"/>
      <c r="H667" s="1"/>
      <c r="I667" s="1"/>
    </row>
    <row r="668" spans="2:9" ht="15.75" customHeight="1" x14ac:dyDescent="0.25">
      <c r="B668" s="1"/>
      <c r="C668" s="1"/>
      <c r="D668" s="1"/>
      <c r="E668" s="1"/>
      <c r="F668" s="1"/>
      <c r="G668" s="1"/>
      <c r="H668" s="1"/>
      <c r="I668" s="1"/>
    </row>
    <row r="669" spans="2:9" ht="15.75" customHeight="1" x14ac:dyDescent="0.25">
      <c r="B669" s="1"/>
      <c r="C669" s="1"/>
      <c r="D669" s="1"/>
      <c r="E669" s="1"/>
      <c r="F669" s="1"/>
      <c r="G669" s="1"/>
      <c r="H669" s="1"/>
      <c r="I669" s="1"/>
    </row>
    <row r="670" spans="2:9" ht="15.75" customHeight="1" x14ac:dyDescent="0.25">
      <c r="B670" s="1"/>
      <c r="C670" s="1"/>
      <c r="D670" s="1"/>
      <c r="E670" s="1"/>
      <c r="F670" s="1"/>
      <c r="G670" s="1"/>
      <c r="H670" s="1"/>
      <c r="I670" s="1"/>
    </row>
    <row r="671" spans="2:9" ht="15.75" customHeight="1" x14ac:dyDescent="0.25">
      <c r="B671" s="1"/>
      <c r="C671" s="1"/>
      <c r="D671" s="1"/>
      <c r="E671" s="1"/>
      <c r="F671" s="1"/>
      <c r="G671" s="1"/>
      <c r="H671" s="1"/>
      <c r="I671" s="1"/>
    </row>
    <row r="672" spans="2:9" ht="15.75" customHeight="1" x14ac:dyDescent="0.25">
      <c r="B672" s="1"/>
      <c r="C672" s="1"/>
      <c r="D672" s="1"/>
      <c r="E672" s="1"/>
      <c r="F672" s="1"/>
      <c r="G672" s="1"/>
      <c r="H672" s="1"/>
      <c r="I672" s="1"/>
    </row>
    <row r="673" spans="2:9" ht="15.75" customHeight="1" x14ac:dyDescent="0.25">
      <c r="B673" s="1"/>
      <c r="C673" s="1"/>
      <c r="D673" s="1"/>
      <c r="E673" s="1"/>
      <c r="F673" s="1"/>
      <c r="G673" s="1"/>
      <c r="H673" s="1"/>
      <c r="I673" s="1"/>
    </row>
    <row r="674" spans="2:9" ht="15.75" customHeight="1" x14ac:dyDescent="0.25">
      <c r="B674" s="1"/>
      <c r="C674" s="1"/>
      <c r="D674" s="1"/>
      <c r="E674" s="1"/>
      <c r="F674" s="1"/>
      <c r="G674" s="1"/>
      <c r="H674" s="1"/>
      <c r="I674" s="1"/>
    </row>
    <row r="675" spans="2:9" ht="15.75" customHeight="1" x14ac:dyDescent="0.25">
      <c r="B675" s="1"/>
      <c r="C675" s="1"/>
      <c r="D675" s="1"/>
      <c r="E675" s="1"/>
      <c r="F675" s="1"/>
      <c r="G675" s="1"/>
      <c r="H675" s="1"/>
      <c r="I675" s="1"/>
    </row>
    <row r="676" spans="2:9" ht="15.75" customHeight="1" x14ac:dyDescent="0.25">
      <c r="B676" s="1"/>
      <c r="C676" s="1"/>
      <c r="D676" s="1"/>
      <c r="E676" s="1"/>
      <c r="F676" s="1"/>
      <c r="G676" s="1"/>
      <c r="H676" s="1"/>
      <c r="I676" s="1"/>
    </row>
    <row r="677" spans="2:9" ht="15.75" customHeight="1" x14ac:dyDescent="0.25">
      <c r="B677" s="1"/>
      <c r="C677" s="1"/>
      <c r="D677" s="1"/>
      <c r="E677" s="1"/>
      <c r="F677" s="1"/>
      <c r="G677" s="1"/>
      <c r="H677" s="1"/>
      <c r="I677" s="1"/>
    </row>
    <row r="678" spans="2:9" ht="15.75" customHeight="1" x14ac:dyDescent="0.25">
      <c r="B678" s="1"/>
      <c r="C678" s="1"/>
      <c r="D678" s="1"/>
      <c r="E678" s="1"/>
      <c r="F678" s="1"/>
      <c r="G678" s="1"/>
      <c r="H678" s="1"/>
      <c r="I678" s="1"/>
    </row>
    <row r="679" spans="2:9" ht="15.75" customHeight="1" x14ac:dyDescent="0.25">
      <c r="B679" s="1"/>
      <c r="C679" s="1"/>
      <c r="D679" s="1"/>
      <c r="E679" s="1"/>
      <c r="F679" s="1"/>
      <c r="G679" s="1"/>
      <c r="H679" s="1"/>
      <c r="I679" s="1"/>
    </row>
    <row r="680" spans="2:9" ht="15.75" customHeight="1" x14ac:dyDescent="0.25">
      <c r="B680" s="1"/>
      <c r="C680" s="1"/>
      <c r="D680" s="1"/>
      <c r="E680" s="1"/>
      <c r="F680" s="1"/>
      <c r="G680" s="1"/>
      <c r="H680" s="1"/>
      <c r="I680" s="1"/>
    </row>
    <row r="681" spans="2:9" ht="15.75" customHeight="1" x14ac:dyDescent="0.25">
      <c r="B681" s="1"/>
      <c r="C681" s="1"/>
      <c r="D681" s="1"/>
      <c r="E681" s="1"/>
      <c r="F681" s="1"/>
      <c r="G681" s="1"/>
      <c r="H681" s="1"/>
      <c r="I681" s="1"/>
    </row>
    <row r="682" spans="2:9" ht="15.75" customHeight="1" x14ac:dyDescent="0.25">
      <c r="B682" s="1"/>
      <c r="C682" s="1"/>
      <c r="D682" s="1"/>
      <c r="E682" s="1"/>
      <c r="F682" s="1"/>
      <c r="G682" s="1"/>
      <c r="H682" s="1"/>
      <c r="I682" s="1"/>
    </row>
    <row r="683" spans="2:9" ht="15.75" customHeight="1" x14ac:dyDescent="0.25">
      <c r="B683" s="1"/>
      <c r="C683" s="1"/>
      <c r="D683" s="1"/>
      <c r="E683" s="1"/>
      <c r="F683" s="1"/>
      <c r="G683" s="1"/>
      <c r="H683" s="1"/>
      <c r="I683" s="1"/>
    </row>
    <row r="684" spans="2:9" ht="15.75" customHeight="1" x14ac:dyDescent="0.25">
      <c r="B684" s="1"/>
      <c r="C684" s="1"/>
      <c r="D684" s="1"/>
      <c r="E684" s="1"/>
      <c r="F684" s="1"/>
      <c r="G684" s="1"/>
      <c r="H684" s="1"/>
      <c r="I684" s="1"/>
    </row>
    <row r="685" spans="2:9" ht="15.75" customHeight="1" x14ac:dyDescent="0.25">
      <c r="B685" s="1"/>
      <c r="C685" s="1"/>
      <c r="D685" s="1"/>
      <c r="E685" s="1"/>
      <c r="F685" s="1"/>
      <c r="G685" s="1"/>
      <c r="H685" s="1"/>
      <c r="I685" s="1"/>
    </row>
    <row r="686" spans="2:9" ht="15.75" customHeight="1" x14ac:dyDescent="0.25">
      <c r="B686" s="1"/>
      <c r="C686" s="1"/>
      <c r="D686" s="1"/>
      <c r="E686" s="1"/>
      <c r="F686" s="1"/>
      <c r="G686" s="1"/>
      <c r="H686" s="1"/>
      <c r="I686" s="1"/>
    </row>
    <row r="687" spans="2:9" ht="15.75" customHeight="1" x14ac:dyDescent="0.25">
      <c r="B687" s="1"/>
      <c r="C687" s="1"/>
      <c r="D687" s="1"/>
      <c r="E687" s="1"/>
      <c r="F687" s="1"/>
      <c r="G687" s="1"/>
      <c r="H687" s="1"/>
      <c r="I687" s="1"/>
    </row>
    <row r="688" spans="2:9" ht="15.75" customHeight="1" x14ac:dyDescent="0.25">
      <c r="B688" s="1"/>
      <c r="C688" s="1"/>
      <c r="D688" s="1"/>
      <c r="E688" s="1"/>
      <c r="F688" s="1"/>
      <c r="G688" s="1"/>
      <c r="H688" s="1"/>
      <c r="I688" s="1"/>
    </row>
    <row r="689" spans="2:9" ht="15.75" customHeight="1" x14ac:dyDescent="0.25">
      <c r="B689" s="1"/>
      <c r="C689" s="1"/>
      <c r="D689" s="1"/>
      <c r="E689" s="1"/>
      <c r="F689" s="1"/>
      <c r="G689" s="1"/>
      <c r="H689" s="1"/>
      <c r="I689" s="1"/>
    </row>
    <row r="690" spans="2:9" ht="15.75" customHeight="1" x14ac:dyDescent="0.25">
      <c r="B690" s="1"/>
      <c r="C690" s="1"/>
      <c r="D690" s="1"/>
      <c r="E690" s="1"/>
      <c r="F690" s="1"/>
      <c r="G690" s="1"/>
      <c r="H690" s="1"/>
      <c r="I690" s="1"/>
    </row>
    <row r="691" spans="2:9" ht="15.75" customHeight="1" x14ac:dyDescent="0.25">
      <c r="B691" s="1"/>
      <c r="C691" s="1"/>
      <c r="D691" s="1"/>
      <c r="E691" s="1"/>
      <c r="F691" s="1"/>
      <c r="G691" s="1"/>
      <c r="H691" s="1"/>
      <c r="I691" s="1"/>
    </row>
    <row r="692" spans="2:9" ht="15.75" customHeight="1" x14ac:dyDescent="0.25">
      <c r="B692" s="1"/>
      <c r="C692" s="1"/>
      <c r="D692" s="1"/>
      <c r="E692" s="1"/>
      <c r="F692" s="1"/>
      <c r="G692" s="1"/>
      <c r="H692" s="1"/>
      <c r="I692" s="1"/>
    </row>
    <row r="693" spans="2:9" ht="15.75" customHeight="1" x14ac:dyDescent="0.25">
      <c r="B693" s="1"/>
      <c r="C693" s="1"/>
      <c r="D693" s="1"/>
      <c r="E693" s="1"/>
      <c r="F693" s="1"/>
      <c r="G693" s="1"/>
      <c r="H693" s="1"/>
      <c r="I693" s="1"/>
    </row>
    <row r="694" spans="2:9" ht="15.75" customHeight="1" x14ac:dyDescent="0.25">
      <c r="B694" s="1"/>
      <c r="C694" s="1"/>
      <c r="D694" s="1"/>
      <c r="E694" s="1"/>
      <c r="F694" s="1"/>
      <c r="G694" s="1"/>
      <c r="H694" s="1"/>
      <c r="I694" s="1"/>
    </row>
    <row r="695" spans="2:9" ht="15.75" customHeight="1" x14ac:dyDescent="0.25">
      <c r="B695" s="1"/>
      <c r="C695" s="1"/>
      <c r="D695" s="1"/>
      <c r="E695" s="1"/>
      <c r="F695" s="1"/>
      <c r="G695" s="1"/>
      <c r="H695" s="1"/>
      <c r="I695" s="1"/>
    </row>
    <row r="696" spans="2:9" ht="15.75" customHeight="1" x14ac:dyDescent="0.25">
      <c r="B696" s="1"/>
      <c r="C696" s="1"/>
      <c r="D696" s="1"/>
      <c r="E696" s="1"/>
      <c r="F696" s="1"/>
      <c r="G696" s="1"/>
      <c r="H696" s="1"/>
      <c r="I696" s="1"/>
    </row>
    <row r="697" spans="2:9" ht="15.75" customHeight="1" x14ac:dyDescent="0.25">
      <c r="B697" s="1"/>
      <c r="C697" s="1"/>
      <c r="D697" s="1"/>
      <c r="E697" s="1"/>
      <c r="F697" s="1"/>
      <c r="G697" s="1"/>
      <c r="H697" s="1"/>
      <c r="I697" s="1"/>
    </row>
    <row r="698" spans="2:9" ht="15.75" customHeight="1" x14ac:dyDescent="0.25">
      <c r="B698" s="1"/>
      <c r="C698" s="1"/>
      <c r="D698" s="1"/>
      <c r="E698" s="1"/>
      <c r="F698" s="1"/>
      <c r="G698" s="1"/>
      <c r="H698" s="1"/>
      <c r="I698" s="1"/>
    </row>
    <row r="699" spans="2:9" ht="15.75" customHeight="1" x14ac:dyDescent="0.25">
      <c r="B699" s="1"/>
      <c r="C699" s="1"/>
      <c r="D699" s="1"/>
      <c r="E699" s="1"/>
      <c r="F699" s="1"/>
      <c r="G699" s="1"/>
      <c r="H699" s="1"/>
      <c r="I699" s="1"/>
    </row>
    <row r="700" spans="2:9" ht="15.75" customHeight="1" x14ac:dyDescent="0.25">
      <c r="B700" s="1"/>
      <c r="C700" s="1"/>
      <c r="D700" s="1"/>
      <c r="E700" s="1"/>
      <c r="F700" s="1"/>
      <c r="G700" s="1"/>
      <c r="H700" s="1"/>
      <c r="I700" s="1"/>
    </row>
    <row r="701" spans="2:9" ht="15.75" customHeight="1" x14ac:dyDescent="0.25">
      <c r="B701" s="1"/>
      <c r="C701" s="1"/>
      <c r="D701" s="1"/>
      <c r="E701" s="1"/>
      <c r="F701" s="1"/>
      <c r="G701" s="1"/>
      <c r="H701" s="1"/>
      <c r="I701" s="1"/>
    </row>
    <row r="702" spans="2:9" ht="15.75" customHeight="1" x14ac:dyDescent="0.25">
      <c r="B702" s="1"/>
      <c r="C702" s="1"/>
      <c r="D702" s="1"/>
      <c r="E702" s="1"/>
      <c r="F702" s="1"/>
      <c r="G702" s="1"/>
      <c r="H702" s="1"/>
      <c r="I702" s="1"/>
    </row>
    <row r="703" spans="2:9" ht="15.75" customHeight="1" x14ac:dyDescent="0.25">
      <c r="B703" s="1"/>
      <c r="C703" s="1"/>
      <c r="D703" s="1"/>
      <c r="E703" s="1"/>
      <c r="F703" s="1"/>
      <c r="G703" s="1"/>
      <c r="H703" s="1"/>
      <c r="I703" s="1"/>
    </row>
    <row r="704" spans="2:9" ht="15.75" customHeight="1" x14ac:dyDescent="0.25">
      <c r="B704" s="1"/>
      <c r="C704" s="1"/>
      <c r="D704" s="1"/>
      <c r="E704" s="1"/>
      <c r="F704" s="1"/>
      <c r="G704" s="1"/>
      <c r="H704" s="1"/>
      <c r="I704" s="1"/>
    </row>
    <row r="705" spans="2:9" ht="15.75" customHeight="1" x14ac:dyDescent="0.25">
      <c r="B705" s="1"/>
      <c r="C705" s="1"/>
      <c r="D705" s="1"/>
      <c r="E705" s="1"/>
      <c r="F705" s="1"/>
      <c r="G705" s="1"/>
      <c r="H705" s="1"/>
      <c r="I705" s="1"/>
    </row>
    <row r="706" spans="2:9" ht="15.75" customHeight="1" x14ac:dyDescent="0.25">
      <c r="B706" s="1"/>
      <c r="C706" s="1"/>
      <c r="D706" s="1"/>
      <c r="E706" s="1"/>
      <c r="F706" s="1"/>
      <c r="G706" s="1"/>
      <c r="H706" s="1"/>
      <c r="I706" s="1"/>
    </row>
    <row r="707" spans="2:9" ht="15.75" customHeight="1" x14ac:dyDescent="0.25">
      <c r="B707" s="1"/>
      <c r="C707" s="1"/>
      <c r="D707" s="1"/>
      <c r="E707" s="1"/>
      <c r="F707" s="1"/>
      <c r="G707" s="1"/>
      <c r="H707" s="1"/>
      <c r="I707" s="1"/>
    </row>
    <row r="708" spans="2:9" ht="15.75" customHeight="1" x14ac:dyDescent="0.25">
      <c r="B708" s="1"/>
      <c r="C708" s="1"/>
      <c r="D708" s="1"/>
      <c r="E708" s="1"/>
      <c r="F708" s="1"/>
      <c r="G708" s="1"/>
      <c r="H708" s="1"/>
      <c r="I708" s="1"/>
    </row>
    <row r="709" spans="2:9" ht="15.75" customHeight="1" x14ac:dyDescent="0.25">
      <c r="B709" s="1"/>
      <c r="C709" s="1"/>
      <c r="D709" s="1"/>
      <c r="E709" s="1"/>
      <c r="F709" s="1"/>
      <c r="G709" s="1"/>
      <c r="H709" s="1"/>
      <c r="I709" s="1"/>
    </row>
    <row r="710" spans="2:9" ht="15.75" customHeight="1" x14ac:dyDescent="0.25">
      <c r="B710" s="1"/>
      <c r="C710" s="1"/>
      <c r="D710" s="1"/>
      <c r="E710" s="1"/>
      <c r="F710" s="1"/>
      <c r="G710" s="1"/>
      <c r="H710" s="1"/>
      <c r="I710" s="1"/>
    </row>
    <row r="711" spans="2:9" ht="15.75" customHeight="1" x14ac:dyDescent="0.25">
      <c r="B711" s="1"/>
      <c r="C711" s="1"/>
      <c r="D711" s="1"/>
      <c r="E711" s="1"/>
      <c r="F711" s="1"/>
      <c r="G711" s="1"/>
      <c r="H711" s="1"/>
      <c r="I711" s="1"/>
    </row>
    <row r="712" spans="2:9" ht="15.75" customHeight="1" x14ac:dyDescent="0.25">
      <c r="B712" s="1"/>
      <c r="C712" s="1"/>
      <c r="D712" s="1"/>
      <c r="E712" s="1"/>
      <c r="F712" s="1"/>
      <c r="G712" s="1"/>
      <c r="H712" s="1"/>
      <c r="I712" s="1"/>
    </row>
    <row r="713" spans="2:9" ht="15.75" customHeight="1" x14ac:dyDescent="0.25">
      <c r="B713" s="1"/>
      <c r="C713" s="1"/>
      <c r="D713" s="1"/>
      <c r="E713" s="1"/>
      <c r="F713" s="1"/>
      <c r="G713" s="1"/>
      <c r="H713" s="1"/>
      <c r="I713" s="1"/>
    </row>
    <row r="714" spans="2:9" ht="15.75" customHeight="1" x14ac:dyDescent="0.25">
      <c r="B714" s="1"/>
      <c r="C714" s="1"/>
      <c r="D714" s="1"/>
      <c r="E714" s="1"/>
      <c r="F714" s="1"/>
      <c r="G714" s="1"/>
      <c r="H714" s="1"/>
      <c r="I714" s="1"/>
    </row>
    <row r="715" spans="2:9" ht="15.75" customHeight="1" x14ac:dyDescent="0.25">
      <c r="B715" s="1"/>
      <c r="C715" s="1"/>
      <c r="D715" s="1"/>
      <c r="E715" s="1"/>
      <c r="F715" s="1"/>
      <c r="G715" s="1"/>
      <c r="H715" s="1"/>
      <c r="I715" s="1"/>
    </row>
    <row r="716" spans="2:9" ht="15.75" customHeight="1" x14ac:dyDescent="0.25">
      <c r="B716" s="1"/>
      <c r="C716" s="1"/>
      <c r="D716" s="1"/>
      <c r="E716" s="1"/>
      <c r="F716" s="1"/>
      <c r="G716" s="1"/>
      <c r="H716" s="1"/>
      <c r="I716" s="1"/>
    </row>
    <row r="717" spans="2:9" ht="15.75" customHeight="1" x14ac:dyDescent="0.25">
      <c r="B717" s="1"/>
      <c r="C717" s="1"/>
      <c r="D717" s="1"/>
      <c r="E717" s="1"/>
      <c r="F717" s="1"/>
      <c r="G717" s="1"/>
      <c r="H717" s="1"/>
      <c r="I717" s="1"/>
    </row>
    <row r="718" spans="2:9" ht="15.75" customHeight="1" x14ac:dyDescent="0.25">
      <c r="B718" s="1"/>
      <c r="C718" s="1"/>
      <c r="D718" s="1"/>
      <c r="E718" s="1"/>
      <c r="F718" s="1"/>
      <c r="G718" s="1"/>
      <c r="H718" s="1"/>
      <c r="I718" s="1"/>
    </row>
    <row r="719" spans="2:9" ht="15.75" customHeight="1" x14ac:dyDescent="0.25">
      <c r="B719" s="1"/>
      <c r="C719" s="1"/>
      <c r="D719" s="1"/>
      <c r="E719" s="1"/>
      <c r="F719" s="1"/>
      <c r="G719" s="1"/>
      <c r="H719" s="1"/>
      <c r="I719" s="1"/>
    </row>
    <row r="720" spans="2:9" ht="15.75" customHeight="1" x14ac:dyDescent="0.25">
      <c r="B720" s="1"/>
      <c r="C720" s="1"/>
      <c r="D720" s="1"/>
      <c r="E720" s="1"/>
      <c r="F720" s="1"/>
      <c r="G720" s="1"/>
      <c r="H720" s="1"/>
      <c r="I720" s="1"/>
    </row>
    <row r="721" spans="2:9" ht="15.75" customHeight="1" x14ac:dyDescent="0.25">
      <c r="B721" s="1"/>
      <c r="C721" s="1"/>
      <c r="D721" s="1"/>
      <c r="E721" s="1"/>
      <c r="F721" s="1"/>
      <c r="G721" s="1"/>
      <c r="H721" s="1"/>
      <c r="I721" s="1"/>
    </row>
    <row r="722" spans="2:9" ht="15.75" customHeight="1" x14ac:dyDescent="0.25">
      <c r="B722" s="1"/>
      <c r="C722" s="1"/>
      <c r="D722" s="1"/>
      <c r="E722" s="1"/>
      <c r="F722" s="1"/>
      <c r="G722" s="1"/>
      <c r="H722" s="1"/>
      <c r="I722" s="1"/>
    </row>
    <row r="723" spans="2:9" ht="15.75" customHeight="1" x14ac:dyDescent="0.25">
      <c r="B723" s="1"/>
      <c r="C723" s="1"/>
      <c r="D723" s="1"/>
      <c r="E723" s="1"/>
      <c r="F723" s="1"/>
      <c r="G723" s="1"/>
      <c r="H723" s="1"/>
      <c r="I723" s="1"/>
    </row>
    <row r="724" spans="2:9" ht="15.75" customHeight="1" x14ac:dyDescent="0.25">
      <c r="B724" s="1"/>
      <c r="C724" s="1"/>
      <c r="D724" s="1"/>
      <c r="E724" s="1"/>
      <c r="F724" s="1"/>
      <c r="G724" s="1"/>
      <c r="H724" s="1"/>
      <c r="I724" s="1"/>
    </row>
    <row r="725" spans="2:9" ht="15.75" customHeight="1" x14ac:dyDescent="0.25">
      <c r="B725" s="1"/>
      <c r="C725" s="1"/>
      <c r="D725" s="1"/>
      <c r="E725" s="1"/>
      <c r="F725" s="1"/>
      <c r="G725" s="1"/>
      <c r="H725" s="1"/>
      <c r="I725" s="1"/>
    </row>
    <row r="726" spans="2:9" ht="15.75" customHeight="1" x14ac:dyDescent="0.25">
      <c r="B726" s="1"/>
      <c r="C726" s="1"/>
      <c r="D726" s="1"/>
      <c r="E726" s="1"/>
      <c r="F726" s="1"/>
      <c r="G726" s="1"/>
      <c r="H726" s="1"/>
      <c r="I726" s="1"/>
    </row>
    <row r="727" spans="2:9" ht="15.75" customHeight="1" x14ac:dyDescent="0.25">
      <c r="B727" s="1"/>
      <c r="C727" s="1"/>
      <c r="D727" s="1"/>
      <c r="E727" s="1"/>
      <c r="F727" s="1"/>
      <c r="G727" s="1"/>
      <c r="H727" s="1"/>
      <c r="I727" s="1"/>
    </row>
    <row r="728" spans="2:9" ht="15.75" customHeight="1" x14ac:dyDescent="0.25">
      <c r="B728" s="1"/>
      <c r="C728" s="1"/>
      <c r="D728" s="1"/>
      <c r="E728" s="1"/>
      <c r="F728" s="1"/>
      <c r="G728" s="1"/>
      <c r="H728" s="1"/>
      <c r="I728" s="1"/>
    </row>
    <row r="729" spans="2:9" ht="15.75" customHeight="1" x14ac:dyDescent="0.25">
      <c r="B729" s="1"/>
      <c r="C729" s="1"/>
      <c r="D729" s="1"/>
      <c r="E729" s="1"/>
      <c r="F729" s="1"/>
      <c r="G729" s="1"/>
      <c r="H729" s="1"/>
      <c r="I729" s="1"/>
    </row>
    <row r="730" spans="2:9" ht="15.75" customHeight="1" x14ac:dyDescent="0.25">
      <c r="B730" s="1"/>
      <c r="C730" s="1"/>
      <c r="D730" s="1"/>
      <c r="E730" s="1"/>
      <c r="F730" s="1"/>
      <c r="G730" s="1"/>
      <c r="H730" s="1"/>
      <c r="I730" s="1"/>
    </row>
    <row r="731" spans="2:9" ht="15.75" customHeight="1" x14ac:dyDescent="0.25">
      <c r="B731" s="1"/>
      <c r="C731" s="1"/>
      <c r="D731" s="1"/>
      <c r="E731" s="1"/>
      <c r="F731" s="1"/>
      <c r="G731" s="1"/>
      <c r="H731" s="1"/>
      <c r="I731" s="1"/>
    </row>
    <row r="732" spans="2:9" ht="15.75" customHeight="1" x14ac:dyDescent="0.25">
      <c r="B732" s="1"/>
      <c r="C732" s="1"/>
      <c r="D732" s="1"/>
      <c r="E732" s="1"/>
      <c r="F732" s="1"/>
      <c r="G732" s="1"/>
      <c r="H732" s="1"/>
      <c r="I732" s="1"/>
    </row>
    <row r="733" spans="2:9" ht="15.75" customHeight="1" x14ac:dyDescent="0.25">
      <c r="B733" s="1"/>
      <c r="C733" s="1"/>
      <c r="D733" s="1"/>
      <c r="E733" s="1"/>
      <c r="F733" s="1"/>
      <c r="G733" s="1"/>
      <c r="H733" s="1"/>
      <c r="I733" s="1"/>
    </row>
    <row r="734" spans="2:9" ht="15.75" customHeight="1" x14ac:dyDescent="0.25">
      <c r="B734" s="1"/>
      <c r="C734" s="1"/>
      <c r="D734" s="1"/>
      <c r="E734" s="1"/>
      <c r="F734" s="1"/>
      <c r="G734" s="1"/>
      <c r="H734" s="1"/>
      <c r="I734" s="1"/>
    </row>
    <row r="735" spans="2:9" ht="15.75" customHeight="1" x14ac:dyDescent="0.25">
      <c r="B735" s="1"/>
      <c r="C735" s="1"/>
      <c r="D735" s="1"/>
      <c r="E735" s="1"/>
      <c r="F735" s="1"/>
      <c r="G735" s="1"/>
      <c r="H735" s="1"/>
      <c r="I735" s="1"/>
    </row>
    <row r="736" spans="2:9" ht="15.75" customHeight="1" x14ac:dyDescent="0.25">
      <c r="B736" s="1"/>
      <c r="C736" s="1"/>
      <c r="D736" s="1"/>
      <c r="E736" s="1"/>
      <c r="F736" s="1"/>
      <c r="G736" s="1"/>
      <c r="H736" s="1"/>
      <c r="I736" s="1"/>
    </row>
    <row r="737" spans="2:9" ht="15.75" customHeight="1" x14ac:dyDescent="0.25">
      <c r="B737" s="1"/>
      <c r="C737" s="1"/>
      <c r="D737" s="1"/>
      <c r="E737" s="1"/>
      <c r="F737" s="1"/>
      <c r="G737" s="1"/>
      <c r="H737" s="1"/>
      <c r="I737" s="1"/>
    </row>
    <row r="738" spans="2:9" ht="15.75" customHeight="1" x14ac:dyDescent="0.25">
      <c r="B738" s="1"/>
      <c r="C738" s="1"/>
      <c r="D738" s="1"/>
      <c r="E738" s="1"/>
      <c r="F738" s="1"/>
      <c r="G738" s="1"/>
      <c r="H738" s="1"/>
      <c r="I738" s="1"/>
    </row>
    <row r="739" spans="2:9" ht="15.75" customHeight="1" x14ac:dyDescent="0.25">
      <c r="B739" s="1"/>
      <c r="C739" s="1"/>
      <c r="D739" s="1"/>
      <c r="E739" s="1"/>
      <c r="F739" s="1"/>
      <c r="G739" s="1"/>
      <c r="H739" s="1"/>
      <c r="I739" s="1"/>
    </row>
    <row r="740" spans="2:9" ht="15.75" customHeight="1" x14ac:dyDescent="0.25">
      <c r="B740" s="1"/>
      <c r="C740" s="1"/>
      <c r="D740" s="1"/>
      <c r="E740" s="1"/>
      <c r="F740" s="1"/>
      <c r="G740" s="1"/>
      <c r="H740" s="1"/>
      <c r="I740" s="1"/>
    </row>
    <row r="741" spans="2:9" ht="15.75" customHeight="1" x14ac:dyDescent="0.25">
      <c r="B741" s="1"/>
      <c r="C741" s="1"/>
      <c r="D741" s="1"/>
      <c r="E741" s="1"/>
      <c r="F741" s="1"/>
      <c r="G741" s="1"/>
      <c r="H741" s="1"/>
      <c r="I741" s="1"/>
    </row>
    <row r="742" spans="2:9" ht="15.75" customHeight="1" x14ac:dyDescent="0.25">
      <c r="B742" s="1"/>
      <c r="C742" s="1"/>
      <c r="D742" s="1"/>
      <c r="E742" s="1"/>
      <c r="F742" s="1"/>
      <c r="G742" s="1"/>
      <c r="H742" s="1"/>
      <c r="I742" s="1"/>
    </row>
    <row r="743" spans="2:9" ht="15.75" customHeight="1" x14ac:dyDescent="0.25">
      <c r="B743" s="1"/>
      <c r="C743" s="1"/>
      <c r="D743" s="1"/>
      <c r="E743" s="1"/>
      <c r="F743" s="1"/>
      <c r="G743" s="1"/>
      <c r="H743" s="1"/>
      <c r="I743" s="1"/>
    </row>
    <row r="744" spans="2:9" ht="15.75" customHeight="1" x14ac:dyDescent="0.25">
      <c r="B744" s="1"/>
      <c r="C744" s="1"/>
      <c r="D744" s="1"/>
      <c r="E744" s="1"/>
      <c r="F744" s="1"/>
      <c r="G744" s="1"/>
      <c r="H744" s="1"/>
      <c r="I744" s="1"/>
    </row>
    <row r="745" spans="2:9" ht="15.75" customHeight="1" x14ac:dyDescent="0.25">
      <c r="B745" s="1"/>
      <c r="C745" s="1"/>
      <c r="D745" s="1"/>
      <c r="E745" s="1"/>
      <c r="F745" s="1"/>
      <c r="G745" s="1"/>
      <c r="H745" s="1"/>
      <c r="I745" s="1"/>
    </row>
    <row r="746" spans="2:9" ht="15.75" customHeight="1" x14ac:dyDescent="0.25">
      <c r="B746" s="1"/>
      <c r="C746" s="1"/>
      <c r="D746" s="1"/>
      <c r="E746" s="1"/>
      <c r="F746" s="1"/>
      <c r="G746" s="1"/>
      <c r="H746" s="1"/>
      <c r="I746" s="1"/>
    </row>
    <row r="747" spans="2:9" ht="15.75" customHeight="1" x14ac:dyDescent="0.25">
      <c r="B747" s="1"/>
      <c r="C747" s="1"/>
      <c r="D747" s="1"/>
      <c r="E747" s="1"/>
      <c r="F747" s="1"/>
      <c r="G747" s="1"/>
      <c r="H747" s="1"/>
      <c r="I747" s="1"/>
    </row>
    <row r="748" spans="2:9" ht="15.75" customHeight="1" x14ac:dyDescent="0.25">
      <c r="B748" s="1"/>
      <c r="C748" s="1"/>
      <c r="D748" s="1"/>
      <c r="E748" s="1"/>
      <c r="F748" s="1"/>
      <c r="G748" s="1"/>
      <c r="H748" s="1"/>
      <c r="I748" s="1"/>
    </row>
    <row r="749" spans="2:9" ht="15.75" customHeight="1" x14ac:dyDescent="0.25">
      <c r="B749" s="1"/>
      <c r="C749" s="1"/>
      <c r="D749" s="1"/>
      <c r="E749" s="1"/>
      <c r="F749" s="1"/>
      <c r="G749" s="1"/>
      <c r="H749" s="1"/>
      <c r="I749" s="1"/>
    </row>
    <row r="750" spans="2:9" ht="15.75" customHeight="1" x14ac:dyDescent="0.25">
      <c r="B750" s="1"/>
      <c r="C750" s="1"/>
      <c r="D750" s="1"/>
      <c r="E750" s="1"/>
      <c r="F750" s="1"/>
      <c r="G750" s="1"/>
      <c r="H750" s="1"/>
      <c r="I750" s="1"/>
    </row>
    <row r="751" spans="2:9" ht="15.75" customHeight="1" x14ac:dyDescent="0.25">
      <c r="B751" s="1"/>
      <c r="C751" s="1"/>
      <c r="D751" s="1"/>
      <c r="E751" s="1"/>
      <c r="F751" s="1"/>
      <c r="G751" s="1"/>
      <c r="H751" s="1"/>
      <c r="I751" s="1"/>
    </row>
    <row r="752" spans="2:9" ht="15.75" customHeight="1" x14ac:dyDescent="0.25">
      <c r="B752" s="1"/>
      <c r="C752" s="1"/>
      <c r="D752" s="1"/>
      <c r="E752" s="1"/>
      <c r="F752" s="1"/>
      <c r="G752" s="1"/>
      <c r="H752" s="1"/>
      <c r="I752" s="1"/>
    </row>
    <row r="753" spans="2:9" ht="15.75" customHeight="1" x14ac:dyDescent="0.25">
      <c r="B753" s="1"/>
      <c r="C753" s="1"/>
      <c r="D753" s="1"/>
      <c r="E753" s="1"/>
      <c r="F753" s="1"/>
      <c r="G753" s="1"/>
      <c r="H753" s="1"/>
      <c r="I753" s="1"/>
    </row>
    <row r="754" spans="2:9" ht="15.75" customHeight="1" x14ac:dyDescent="0.25">
      <c r="B754" s="1"/>
      <c r="C754" s="1"/>
      <c r="D754" s="1"/>
      <c r="E754" s="1"/>
      <c r="F754" s="1"/>
      <c r="G754" s="1"/>
      <c r="H754" s="1"/>
      <c r="I754" s="1"/>
    </row>
    <row r="755" spans="2:9" ht="15.75" customHeight="1" x14ac:dyDescent="0.25">
      <c r="B755" s="1"/>
      <c r="C755" s="1"/>
      <c r="D755" s="1"/>
      <c r="E755" s="1"/>
      <c r="F755" s="1"/>
      <c r="G755" s="1"/>
      <c r="H755" s="1"/>
      <c r="I755" s="1"/>
    </row>
    <row r="756" spans="2:9" ht="15.75" customHeight="1" x14ac:dyDescent="0.25">
      <c r="B756" s="1"/>
      <c r="C756" s="1"/>
      <c r="D756" s="1"/>
      <c r="E756" s="1"/>
      <c r="F756" s="1"/>
      <c r="G756" s="1"/>
      <c r="H756" s="1"/>
      <c r="I756" s="1"/>
    </row>
    <row r="757" spans="2:9" ht="15.75" customHeight="1" x14ac:dyDescent="0.25">
      <c r="B757" s="1"/>
      <c r="C757" s="1"/>
      <c r="D757" s="1"/>
      <c r="E757" s="1"/>
      <c r="F757" s="1"/>
      <c r="G757" s="1"/>
      <c r="H757" s="1"/>
      <c r="I757" s="1"/>
    </row>
    <row r="758" spans="2:9" ht="15.75" customHeight="1" x14ac:dyDescent="0.25">
      <c r="B758" s="1"/>
      <c r="C758" s="1"/>
      <c r="D758" s="1"/>
      <c r="E758" s="1"/>
      <c r="F758" s="1"/>
      <c r="G758" s="1"/>
      <c r="H758" s="1"/>
      <c r="I758" s="1"/>
    </row>
    <row r="759" spans="2:9" ht="15.75" customHeight="1" x14ac:dyDescent="0.25">
      <c r="B759" s="1"/>
      <c r="C759" s="1"/>
      <c r="D759" s="1"/>
      <c r="E759" s="1"/>
      <c r="F759" s="1"/>
      <c r="G759" s="1"/>
      <c r="H759" s="1"/>
      <c r="I759" s="1"/>
    </row>
    <row r="760" spans="2:9" ht="15.75" customHeight="1" x14ac:dyDescent="0.25">
      <c r="B760" s="1"/>
      <c r="C760" s="1"/>
      <c r="D760" s="1"/>
      <c r="E760" s="1"/>
      <c r="F760" s="1"/>
      <c r="G760" s="1"/>
      <c r="H760" s="1"/>
      <c r="I760" s="1"/>
    </row>
    <row r="761" spans="2:9" ht="15.75" customHeight="1" x14ac:dyDescent="0.25">
      <c r="B761" s="1"/>
      <c r="C761" s="1"/>
      <c r="D761" s="1"/>
      <c r="E761" s="1"/>
      <c r="F761" s="1"/>
      <c r="G761" s="1"/>
      <c r="H761" s="1"/>
      <c r="I761" s="1"/>
    </row>
    <row r="762" spans="2:9" ht="15.75" customHeight="1" x14ac:dyDescent="0.25">
      <c r="B762" s="1"/>
      <c r="C762" s="1"/>
      <c r="D762" s="1"/>
      <c r="E762" s="1"/>
      <c r="F762" s="1"/>
      <c r="G762" s="1"/>
      <c r="H762" s="1"/>
      <c r="I762" s="1"/>
    </row>
    <row r="763" spans="2:9" ht="15.75" customHeight="1" x14ac:dyDescent="0.25">
      <c r="B763" s="1"/>
      <c r="C763" s="1"/>
      <c r="D763" s="1"/>
      <c r="E763" s="1"/>
      <c r="F763" s="1"/>
      <c r="G763" s="1"/>
      <c r="H763" s="1"/>
      <c r="I763" s="1"/>
    </row>
    <row r="764" spans="2:9" ht="15.75" customHeight="1" x14ac:dyDescent="0.25">
      <c r="B764" s="1"/>
      <c r="C764" s="1"/>
      <c r="D764" s="1"/>
      <c r="E764" s="1"/>
      <c r="F764" s="1"/>
      <c r="G764" s="1"/>
      <c r="H764" s="1"/>
      <c r="I764" s="1"/>
    </row>
    <row r="765" spans="2:9" ht="15.75" customHeight="1" x14ac:dyDescent="0.25">
      <c r="B765" s="1"/>
      <c r="C765" s="1"/>
      <c r="D765" s="1"/>
      <c r="E765" s="1"/>
      <c r="F765" s="1"/>
      <c r="G765" s="1"/>
      <c r="H765" s="1"/>
      <c r="I765" s="1"/>
    </row>
    <row r="766" spans="2:9" ht="15.75" customHeight="1" x14ac:dyDescent="0.25">
      <c r="B766" s="1"/>
      <c r="C766" s="1"/>
      <c r="D766" s="1"/>
      <c r="E766" s="1"/>
      <c r="F766" s="1"/>
      <c r="G766" s="1"/>
      <c r="H766" s="1"/>
      <c r="I766" s="1"/>
    </row>
    <row r="767" spans="2:9" ht="15.75" customHeight="1" x14ac:dyDescent="0.25">
      <c r="B767" s="1"/>
      <c r="C767" s="1"/>
      <c r="D767" s="1"/>
      <c r="E767" s="1"/>
      <c r="F767" s="1"/>
      <c r="G767" s="1"/>
      <c r="H767" s="1"/>
      <c r="I767" s="1"/>
    </row>
    <row r="768" spans="2:9" ht="15.75" customHeight="1" x14ac:dyDescent="0.25">
      <c r="B768" s="1"/>
      <c r="C768" s="1"/>
      <c r="D768" s="1"/>
      <c r="E768" s="1"/>
      <c r="F768" s="1"/>
      <c r="G768" s="1"/>
      <c r="H768" s="1"/>
      <c r="I768" s="1"/>
    </row>
    <row r="769" spans="2:9" ht="15.75" customHeight="1" x14ac:dyDescent="0.25">
      <c r="B769" s="1"/>
      <c r="C769" s="1"/>
      <c r="D769" s="1"/>
      <c r="E769" s="1"/>
      <c r="F769" s="1"/>
      <c r="G769" s="1"/>
      <c r="H769" s="1"/>
      <c r="I769" s="1"/>
    </row>
    <row r="770" spans="2:9" ht="15.75" customHeight="1" x14ac:dyDescent="0.25">
      <c r="B770" s="1"/>
      <c r="C770" s="1"/>
      <c r="D770" s="1"/>
      <c r="E770" s="1"/>
      <c r="F770" s="1"/>
      <c r="G770" s="1"/>
      <c r="H770" s="1"/>
      <c r="I770" s="1"/>
    </row>
    <row r="771" spans="2:9" ht="15.75" customHeight="1" x14ac:dyDescent="0.25">
      <c r="B771" s="1"/>
      <c r="C771" s="1"/>
      <c r="D771" s="1"/>
      <c r="E771" s="1"/>
      <c r="F771" s="1"/>
      <c r="G771" s="1"/>
      <c r="H771" s="1"/>
      <c r="I771" s="1"/>
    </row>
    <row r="772" spans="2:9" ht="15.75" customHeight="1" x14ac:dyDescent="0.25">
      <c r="B772" s="1"/>
      <c r="C772" s="1"/>
      <c r="D772" s="1"/>
      <c r="E772" s="1"/>
      <c r="F772" s="1"/>
      <c r="G772" s="1"/>
      <c r="H772" s="1"/>
      <c r="I772" s="1"/>
    </row>
    <row r="773" spans="2:9" ht="15.75" customHeight="1" x14ac:dyDescent="0.25">
      <c r="B773" s="1"/>
      <c r="C773" s="1"/>
      <c r="D773" s="1"/>
      <c r="E773" s="1"/>
      <c r="F773" s="1"/>
      <c r="G773" s="1"/>
      <c r="H773" s="1"/>
      <c r="I773" s="1"/>
    </row>
    <row r="774" spans="2:9" ht="15.75" customHeight="1" x14ac:dyDescent="0.25">
      <c r="B774" s="1"/>
      <c r="C774" s="1"/>
      <c r="D774" s="1"/>
      <c r="E774" s="1"/>
      <c r="F774" s="1"/>
      <c r="G774" s="1"/>
      <c r="H774" s="1"/>
      <c r="I774" s="1"/>
    </row>
    <row r="775" spans="2:9" ht="15.75" customHeight="1" x14ac:dyDescent="0.25">
      <c r="B775" s="1"/>
      <c r="C775" s="1"/>
      <c r="D775" s="1"/>
      <c r="E775" s="1"/>
      <c r="F775" s="1"/>
      <c r="G775" s="1"/>
      <c r="H775" s="1"/>
      <c r="I775" s="1"/>
    </row>
    <row r="776" spans="2:9" ht="15.75" customHeight="1" x14ac:dyDescent="0.25">
      <c r="B776" s="1"/>
      <c r="C776" s="1"/>
      <c r="D776" s="1"/>
      <c r="E776" s="1"/>
      <c r="F776" s="1"/>
      <c r="G776" s="1"/>
      <c r="H776" s="1"/>
      <c r="I776" s="1"/>
    </row>
    <row r="777" spans="2:9" ht="15.75" customHeight="1" x14ac:dyDescent="0.25">
      <c r="B777" s="1"/>
      <c r="C777" s="1"/>
      <c r="D777" s="1"/>
      <c r="E777" s="1"/>
      <c r="F777" s="1"/>
      <c r="G777" s="1"/>
      <c r="H777" s="1"/>
      <c r="I777" s="1"/>
    </row>
    <row r="778" spans="2:9" ht="15.75" customHeight="1" x14ac:dyDescent="0.25">
      <c r="B778" s="1"/>
      <c r="C778" s="1"/>
      <c r="D778" s="1"/>
      <c r="E778" s="1"/>
      <c r="F778" s="1"/>
      <c r="G778" s="1"/>
      <c r="H778" s="1"/>
      <c r="I778" s="1"/>
    </row>
    <row r="779" spans="2:9" ht="15.75" customHeight="1" x14ac:dyDescent="0.25">
      <c r="B779" s="1"/>
      <c r="C779" s="1"/>
      <c r="D779" s="1"/>
      <c r="E779" s="1"/>
      <c r="F779" s="1"/>
      <c r="G779" s="1"/>
      <c r="H779" s="1"/>
      <c r="I779" s="1"/>
    </row>
    <row r="780" spans="2:9" ht="15.75" customHeight="1" x14ac:dyDescent="0.25">
      <c r="B780" s="1"/>
      <c r="C780" s="1"/>
      <c r="D780" s="1"/>
      <c r="E780" s="1"/>
      <c r="F780" s="1"/>
      <c r="G780" s="1"/>
      <c r="H780" s="1"/>
      <c r="I780" s="1"/>
    </row>
    <row r="781" spans="2:9" ht="15.75" customHeight="1" x14ac:dyDescent="0.25">
      <c r="B781" s="1"/>
      <c r="C781" s="1"/>
      <c r="D781" s="1"/>
      <c r="E781" s="1"/>
      <c r="F781" s="1"/>
      <c r="G781" s="1"/>
      <c r="H781" s="1"/>
      <c r="I781" s="1"/>
    </row>
    <row r="782" spans="2:9" ht="15.75" customHeight="1" x14ac:dyDescent="0.25">
      <c r="B782" s="1"/>
      <c r="C782" s="1"/>
      <c r="D782" s="1"/>
      <c r="E782" s="1"/>
      <c r="F782" s="1"/>
      <c r="G782" s="1"/>
      <c r="H782" s="1"/>
      <c r="I782" s="1"/>
    </row>
    <row r="783" spans="2:9" ht="15.75" customHeight="1" x14ac:dyDescent="0.25">
      <c r="B783" s="1"/>
      <c r="C783" s="1"/>
      <c r="D783" s="1"/>
      <c r="E783" s="1"/>
      <c r="F783" s="1"/>
      <c r="G783" s="1"/>
      <c r="H783" s="1"/>
      <c r="I783" s="1"/>
    </row>
    <row r="784" spans="2:9" ht="15.75" customHeight="1" x14ac:dyDescent="0.25">
      <c r="B784" s="1"/>
      <c r="C784" s="1"/>
      <c r="D784" s="1"/>
      <c r="E784" s="1"/>
      <c r="F784" s="1"/>
      <c r="G784" s="1"/>
      <c r="H784" s="1"/>
      <c r="I784" s="1"/>
    </row>
    <row r="785" spans="2:9" ht="15.75" customHeight="1" x14ac:dyDescent="0.25">
      <c r="B785" s="1"/>
      <c r="C785" s="1"/>
      <c r="D785" s="1"/>
      <c r="E785" s="1"/>
      <c r="F785" s="1"/>
      <c r="G785" s="1"/>
      <c r="H785" s="1"/>
      <c r="I785" s="1"/>
    </row>
    <row r="786" spans="2:9" ht="15.75" customHeight="1" x14ac:dyDescent="0.25">
      <c r="B786" s="1"/>
      <c r="C786" s="1"/>
      <c r="D786" s="1"/>
      <c r="E786" s="1"/>
      <c r="F786" s="1"/>
      <c r="G786" s="1"/>
      <c r="H786" s="1"/>
      <c r="I786" s="1"/>
    </row>
    <row r="787" spans="2:9" ht="15.75" customHeight="1" x14ac:dyDescent="0.25">
      <c r="B787" s="1"/>
      <c r="C787" s="1"/>
      <c r="D787" s="1"/>
      <c r="E787" s="1"/>
      <c r="F787" s="1"/>
      <c r="G787" s="1"/>
      <c r="H787" s="1"/>
      <c r="I787" s="1"/>
    </row>
    <row r="788" spans="2:9" ht="15.75" customHeight="1" x14ac:dyDescent="0.25">
      <c r="B788" s="1"/>
      <c r="C788" s="1"/>
      <c r="D788" s="1"/>
      <c r="E788" s="1"/>
      <c r="F788" s="1"/>
      <c r="G788" s="1"/>
      <c r="H788" s="1"/>
      <c r="I788" s="1"/>
    </row>
    <row r="789" spans="2:9" ht="15.75" customHeight="1" x14ac:dyDescent="0.25">
      <c r="B789" s="1"/>
      <c r="C789" s="1"/>
      <c r="D789" s="1"/>
      <c r="E789" s="1"/>
      <c r="F789" s="1"/>
      <c r="G789" s="1"/>
      <c r="H789" s="1"/>
      <c r="I789" s="1"/>
    </row>
    <row r="790" spans="2:9" ht="15.75" customHeight="1" x14ac:dyDescent="0.25">
      <c r="B790" s="1"/>
      <c r="C790" s="1"/>
      <c r="D790" s="1"/>
      <c r="E790" s="1"/>
      <c r="F790" s="1"/>
      <c r="G790" s="1"/>
      <c r="H790" s="1"/>
      <c r="I790" s="1"/>
    </row>
    <row r="791" spans="2:9" ht="15.75" customHeight="1" x14ac:dyDescent="0.25">
      <c r="B791" s="1"/>
      <c r="C791" s="1"/>
      <c r="D791" s="1"/>
      <c r="E791" s="1"/>
      <c r="F791" s="1"/>
      <c r="G791" s="1"/>
      <c r="H791" s="1"/>
      <c r="I791" s="1"/>
    </row>
    <row r="792" spans="2:9" ht="15.75" customHeight="1" x14ac:dyDescent="0.25">
      <c r="B792" s="1"/>
      <c r="C792" s="1"/>
      <c r="D792" s="1"/>
      <c r="E792" s="1"/>
      <c r="F792" s="1"/>
      <c r="G792" s="1"/>
      <c r="H792" s="1"/>
      <c r="I792" s="1"/>
    </row>
    <row r="793" spans="2:9" ht="15.75" customHeight="1" x14ac:dyDescent="0.25">
      <c r="B793" s="1"/>
      <c r="C793" s="1"/>
      <c r="D793" s="1"/>
      <c r="E793" s="1"/>
      <c r="F793" s="1"/>
      <c r="G793" s="1"/>
      <c r="H793" s="1"/>
      <c r="I793" s="1"/>
    </row>
    <row r="794" spans="2:9" ht="15.75" customHeight="1" x14ac:dyDescent="0.25">
      <c r="B794" s="1"/>
      <c r="C794" s="1"/>
      <c r="D794" s="1"/>
      <c r="E794" s="1"/>
      <c r="F794" s="1"/>
      <c r="G794" s="1"/>
      <c r="H794" s="1"/>
      <c r="I794" s="1"/>
    </row>
    <row r="795" spans="2:9" ht="15.75" customHeight="1" x14ac:dyDescent="0.25">
      <c r="B795" s="1"/>
      <c r="C795" s="1"/>
      <c r="D795" s="1"/>
      <c r="E795" s="1"/>
      <c r="F795" s="1"/>
      <c r="G795" s="1"/>
      <c r="H795" s="1"/>
      <c r="I795" s="1"/>
    </row>
    <row r="796" spans="2:9" ht="15.75" customHeight="1" x14ac:dyDescent="0.25">
      <c r="B796" s="1"/>
      <c r="C796" s="1"/>
      <c r="D796" s="1"/>
      <c r="E796" s="1"/>
      <c r="F796" s="1"/>
      <c r="G796" s="1"/>
      <c r="H796" s="1"/>
      <c r="I796" s="1"/>
    </row>
    <row r="797" spans="2:9" ht="15.75" customHeight="1" x14ac:dyDescent="0.25">
      <c r="B797" s="1"/>
      <c r="C797" s="1"/>
      <c r="D797" s="1"/>
      <c r="E797" s="1"/>
      <c r="F797" s="1"/>
      <c r="G797" s="1"/>
      <c r="H797" s="1"/>
      <c r="I797" s="1"/>
    </row>
    <row r="798" spans="2:9" ht="15.75" customHeight="1" x14ac:dyDescent="0.25">
      <c r="B798" s="1"/>
      <c r="C798" s="1"/>
      <c r="D798" s="1"/>
      <c r="E798" s="1"/>
      <c r="F798" s="1"/>
      <c r="G798" s="1"/>
      <c r="H798" s="1"/>
      <c r="I798" s="1"/>
    </row>
    <row r="799" spans="2:9" ht="15.75" customHeight="1" x14ac:dyDescent="0.25">
      <c r="B799" s="1"/>
      <c r="C799" s="1"/>
      <c r="D799" s="1"/>
      <c r="E799" s="1"/>
      <c r="F799" s="1"/>
      <c r="G799" s="1"/>
      <c r="H799" s="1"/>
      <c r="I799" s="1"/>
    </row>
    <row r="800" spans="2:9" ht="15.75" customHeight="1" x14ac:dyDescent="0.25">
      <c r="B800" s="1"/>
      <c r="C800" s="1"/>
      <c r="D800" s="1"/>
      <c r="E800" s="1"/>
      <c r="F800" s="1"/>
      <c r="G800" s="1"/>
      <c r="H800" s="1"/>
      <c r="I800" s="1"/>
    </row>
    <row r="801" spans="2:9" ht="15.75" customHeight="1" x14ac:dyDescent="0.25">
      <c r="B801" s="1"/>
      <c r="C801" s="1"/>
      <c r="D801" s="1"/>
      <c r="E801" s="1"/>
      <c r="F801" s="1"/>
      <c r="G801" s="1"/>
      <c r="H801" s="1"/>
      <c r="I801" s="1"/>
    </row>
    <row r="802" spans="2:9" ht="15.75" customHeight="1" x14ac:dyDescent="0.25">
      <c r="B802" s="1"/>
      <c r="C802" s="1"/>
      <c r="D802" s="1"/>
      <c r="E802" s="1"/>
      <c r="F802" s="1"/>
      <c r="G802" s="1"/>
      <c r="H802" s="1"/>
      <c r="I802" s="1"/>
    </row>
    <row r="803" spans="2:9" ht="15.75" customHeight="1" x14ac:dyDescent="0.25">
      <c r="B803" s="1"/>
      <c r="C803" s="1"/>
      <c r="D803" s="1"/>
      <c r="E803" s="1"/>
      <c r="F803" s="1"/>
      <c r="G803" s="1"/>
      <c r="H803" s="1"/>
      <c r="I803" s="1"/>
    </row>
    <row r="804" spans="2:9" ht="15.75" customHeight="1" x14ac:dyDescent="0.25">
      <c r="B804" s="1"/>
      <c r="C804" s="1"/>
      <c r="D804" s="1"/>
      <c r="E804" s="1"/>
      <c r="F804" s="1"/>
      <c r="G804" s="1"/>
      <c r="H804" s="1"/>
      <c r="I804" s="1"/>
    </row>
    <row r="805" spans="2:9" ht="15.75" customHeight="1" x14ac:dyDescent="0.25">
      <c r="B805" s="1"/>
      <c r="C805" s="1"/>
      <c r="D805" s="1"/>
      <c r="E805" s="1"/>
      <c r="F805" s="1"/>
      <c r="G805" s="1"/>
      <c r="H805" s="1"/>
      <c r="I805" s="1"/>
    </row>
    <row r="806" spans="2:9" ht="15.75" customHeight="1" x14ac:dyDescent="0.25">
      <c r="B806" s="1"/>
      <c r="C806" s="1"/>
      <c r="D806" s="1"/>
      <c r="E806" s="1"/>
      <c r="F806" s="1"/>
      <c r="G806" s="1"/>
      <c r="H806" s="1"/>
      <c r="I806" s="1"/>
    </row>
    <row r="807" spans="2:9" ht="15.75" customHeight="1" x14ac:dyDescent="0.25">
      <c r="B807" s="1"/>
      <c r="C807" s="1"/>
      <c r="D807" s="1"/>
      <c r="E807" s="1"/>
      <c r="F807" s="1"/>
      <c r="G807" s="1"/>
      <c r="H807" s="1"/>
      <c r="I807" s="1"/>
    </row>
    <row r="808" spans="2:9" ht="15.75" customHeight="1" x14ac:dyDescent="0.25">
      <c r="B808" s="1"/>
      <c r="C808" s="1"/>
      <c r="D808" s="1"/>
      <c r="E808" s="1"/>
      <c r="F808" s="1"/>
      <c r="G808" s="1"/>
      <c r="H808" s="1"/>
      <c r="I808" s="1"/>
    </row>
    <row r="809" spans="2:9" ht="15.75" customHeight="1" x14ac:dyDescent="0.25">
      <c r="B809" s="1"/>
      <c r="C809" s="1"/>
      <c r="D809" s="1"/>
      <c r="E809" s="1"/>
      <c r="F809" s="1"/>
      <c r="G809" s="1"/>
      <c r="H809" s="1"/>
      <c r="I809" s="1"/>
    </row>
    <row r="810" spans="2:9" ht="15.75" customHeight="1" x14ac:dyDescent="0.25">
      <c r="B810" s="1"/>
      <c r="C810" s="1"/>
      <c r="D810" s="1"/>
      <c r="E810" s="1"/>
      <c r="F810" s="1"/>
      <c r="G810" s="1"/>
      <c r="H810" s="1"/>
      <c r="I810" s="1"/>
    </row>
    <row r="811" spans="2:9" ht="15.75" customHeight="1" x14ac:dyDescent="0.25">
      <c r="B811" s="1"/>
      <c r="C811" s="1"/>
      <c r="D811" s="1"/>
      <c r="E811" s="1"/>
      <c r="F811" s="1"/>
      <c r="G811" s="1"/>
      <c r="H811" s="1"/>
      <c r="I811" s="1"/>
    </row>
    <row r="812" spans="2:9" ht="15.75" customHeight="1" x14ac:dyDescent="0.25">
      <c r="B812" s="1"/>
      <c r="C812" s="1"/>
      <c r="D812" s="1"/>
      <c r="E812" s="1"/>
      <c r="F812" s="1"/>
      <c r="G812" s="1"/>
      <c r="H812" s="1"/>
      <c r="I812" s="1"/>
    </row>
    <row r="813" spans="2:9" ht="15.75" customHeight="1" x14ac:dyDescent="0.25">
      <c r="B813" s="1"/>
      <c r="C813" s="1"/>
      <c r="D813" s="1"/>
      <c r="E813" s="1"/>
      <c r="F813" s="1"/>
      <c r="G813" s="1"/>
      <c r="H813" s="1"/>
      <c r="I813" s="1"/>
    </row>
    <row r="814" spans="2:9" ht="15.75" customHeight="1" x14ac:dyDescent="0.25">
      <c r="B814" s="1"/>
      <c r="C814" s="1"/>
      <c r="D814" s="1"/>
      <c r="E814" s="1"/>
      <c r="F814" s="1"/>
      <c r="G814" s="1"/>
      <c r="H814" s="1"/>
      <c r="I814" s="1"/>
    </row>
    <row r="815" spans="2:9" ht="15.75" customHeight="1" x14ac:dyDescent="0.25">
      <c r="B815" s="1"/>
      <c r="C815" s="1"/>
      <c r="D815" s="1"/>
      <c r="E815" s="1"/>
      <c r="F815" s="1"/>
      <c r="G815" s="1"/>
      <c r="H815" s="1"/>
      <c r="I815" s="1"/>
    </row>
    <row r="816" spans="2:9" ht="15.75" customHeight="1" x14ac:dyDescent="0.25">
      <c r="B816" s="1"/>
      <c r="C816" s="1"/>
      <c r="D816" s="1"/>
      <c r="E816" s="1"/>
      <c r="F816" s="1"/>
      <c r="G816" s="1"/>
      <c r="H816" s="1"/>
      <c r="I816" s="1"/>
    </row>
    <row r="817" spans="2:9" ht="15.75" customHeight="1" x14ac:dyDescent="0.25">
      <c r="B817" s="1"/>
      <c r="C817" s="1"/>
      <c r="D817" s="1"/>
      <c r="E817" s="1"/>
      <c r="F817" s="1"/>
      <c r="G817" s="1"/>
      <c r="H817" s="1"/>
      <c r="I817" s="1"/>
    </row>
    <row r="818" spans="2:9" ht="15.75" customHeight="1" x14ac:dyDescent="0.25">
      <c r="B818" s="1"/>
      <c r="C818" s="1"/>
      <c r="D818" s="1"/>
      <c r="E818" s="1"/>
      <c r="F818" s="1"/>
      <c r="G818" s="1"/>
      <c r="H818" s="1"/>
      <c r="I818" s="1"/>
    </row>
    <row r="819" spans="2:9" ht="15.75" customHeight="1" x14ac:dyDescent="0.25">
      <c r="B819" s="1"/>
      <c r="C819" s="1"/>
      <c r="D819" s="1"/>
      <c r="E819" s="1"/>
      <c r="F819" s="1"/>
      <c r="G819" s="1"/>
      <c r="H819" s="1"/>
      <c r="I819" s="1"/>
    </row>
    <row r="820" spans="2:9" ht="15.75" customHeight="1" x14ac:dyDescent="0.25">
      <c r="B820" s="1"/>
      <c r="C820" s="1"/>
      <c r="D820" s="1"/>
      <c r="E820" s="1"/>
      <c r="F820" s="1"/>
      <c r="G820" s="1"/>
      <c r="H820" s="1"/>
      <c r="I820" s="1"/>
    </row>
    <row r="821" spans="2:9" ht="15.75" customHeight="1" x14ac:dyDescent="0.25">
      <c r="B821" s="1"/>
      <c r="C821" s="1"/>
      <c r="D821" s="1"/>
      <c r="E821" s="1"/>
      <c r="F821" s="1"/>
      <c r="G821" s="1"/>
      <c r="H821" s="1"/>
      <c r="I821" s="1"/>
    </row>
    <row r="822" spans="2:9" ht="15.75" customHeight="1" x14ac:dyDescent="0.25">
      <c r="B822" s="1"/>
      <c r="C822" s="1"/>
      <c r="D822" s="1"/>
      <c r="E822" s="1"/>
      <c r="F822" s="1"/>
      <c r="G822" s="1"/>
      <c r="H822" s="1"/>
      <c r="I822" s="1"/>
    </row>
    <row r="823" spans="2:9" ht="15.75" customHeight="1" x14ac:dyDescent="0.25">
      <c r="B823" s="1"/>
      <c r="C823" s="1"/>
      <c r="D823" s="1"/>
      <c r="E823" s="1"/>
      <c r="F823" s="1"/>
      <c r="G823" s="1"/>
      <c r="H823" s="1"/>
      <c r="I823" s="1"/>
    </row>
    <row r="824" spans="2:9" ht="15.75" customHeight="1" x14ac:dyDescent="0.25">
      <c r="B824" s="1"/>
      <c r="C824" s="1"/>
      <c r="D824" s="1"/>
      <c r="E824" s="1"/>
      <c r="F824" s="1"/>
      <c r="G824" s="1"/>
      <c r="H824" s="1"/>
      <c r="I824" s="1"/>
    </row>
    <row r="825" spans="2:9" ht="15.75" customHeight="1" x14ac:dyDescent="0.25">
      <c r="B825" s="1"/>
      <c r="C825" s="1"/>
      <c r="D825" s="1"/>
      <c r="E825" s="1"/>
      <c r="F825" s="1"/>
      <c r="G825" s="1"/>
      <c r="H825" s="1"/>
      <c r="I825" s="1"/>
    </row>
    <row r="826" spans="2:9" ht="15.75" customHeight="1" x14ac:dyDescent="0.25">
      <c r="B826" s="1"/>
      <c r="C826" s="1"/>
      <c r="D826" s="1"/>
      <c r="E826" s="1"/>
      <c r="F826" s="1"/>
      <c r="G826" s="1"/>
      <c r="H826" s="1"/>
      <c r="I826" s="1"/>
    </row>
    <row r="827" spans="2:9" ht="15.75" customHeight="1" x14ac:dyDescent="0.25">
      <c r="B827" s="1"/>
      <c r="C827" s="1"/>
      <c r="D827" s="1"/>
      <c r="E827" s="1"/>
      <c r="F827" s="1"/>
      <c r="G827" s="1"/>
      <c r="H827" s="1"/>
      <c r="I827" s="1"/>
    </row>
    <row r="828" spans="2:9" ht="15.75" customHeight="1" x14ac:dyDescent="0.25">
      <c r="B828" s="1"/>
      <c r="C828" s="1"/>
      <c r="D828" s="1"/>
      <c r="E828" s="1"/>
      <c r="F828" s="1"/>
      <c r="G828" s="1"/>
      <c r="H828" s="1"/>
      <c r="I828" s="1"/>
    </row>
    <row r="829" spans="2:9" ht="15.75" customHeight="1" x14ac:dyDescent="0.25">
      <c r="B829" s="1"/>
      <c r="C829" s="1"/>
      <c r="D829" s="1"/>
      <c r="E829" s="1"/>
      <c r="F829" s="1"/>
      <c r="G829" s="1"/>
      <c r="H829" s="1"/>
      <c r="I829" s="1"/>
    </row>
    <row r="830" spans="2:9" ht="15.75" customHeight="1" x14ac:dyDescent="0.25">
      <c r="B830" s="1"/>
      <c r="C830" s="1"/>
      <c r="D830" s="1"/>
      <c r="E830" s="1"/>
      <c r="F830" s="1"/>
      <c r="G830" s="1"/>
      <c r="H830" s="1"/>
      <c r="I830" s="1"/>
    </row>
    <row r="831" spans="2:9" ht="15.75" customHeight="1" x14ac:dyDescent="0.25">
      <c r="B831" s="1"/>
      <c r="C831" s="1"/>
      <c r="D831" s="1"/>
      <c r="E831" s="1"/>
      <c r="F831" s="1"/>
      <c r="G831" s="1"/>
      <c r="H831" s="1"/>
      <c r="I831" s="1"/>
    </row>
    <row r="832" spans="2:9" ht="15.75" customHeight="1" x14ac:dyDescent="0.25">
      <c r="B832" s="1"/>
      <c r="C832" s="1"/>
      <c r="D832" s="1"/>
      <c r="E832" s="1"/>
      <c r="F832" s="1"/>
      <c r="G832" s="1"/>
      <c r="H832" s="1"/>
      <c r="I832" s="1"/>
    </row>
    <row r="833" spans="2:9" ht="15.75" customHeight="1" x14ac:dyDescent="0.25">
      <c r="B833" s="1"/>
      <c r="C833" s="1"/>
      <c r="D833" s="1"/>
      <c r="E833" s="1"/>
      <c r="F833" s="1"/>
      <c r="G833" s="1"/>
      <c r="H833" s="1"/>
      <c r="I833" s="1"/>
    </row>
    <row r="834" spans="2:9" ht="15.75" customHeight="1" x14ac:dyDescent="0.25">
      <c r="B834" s="1"/>
      <c r="C834" s="1"/>
      <c r="D834" s="1"/>
      <c r="E834" s="1"/>
      <c r="F834" s="1"/>
      <c r="G834" s="1"/>
      <c r="H834" s="1"/>
      <c r="I834" s="1"/>
    </row>
    <row r="835" spans="2:9" ht="15.75" customHeight="1" x14ac:dyDescent="0.25">
      <c r="B835" s="1"/>
      <c r="C835" s="1"/>
      <c r="D835" s="1"/>
      <c r="E835" s="1"/>
      <c r="F835" s="1"/>
      <c r="G835" s="1"/>
      <c r="H835" s="1"/>
      <c r="I835" s="1"/>
    </row>
    <row r="836" spans="2:9" ht="15.75" customHeight="1" x14ac:dyDescent="0.25">
      <c r="B836" s="1"/>
      <c r="C836" s="1"/>
      <c r="D836" s="1"/>
      <c r="E836" s="1"/>
      <c r="F836" s="1"/>
      <c r="G836" s="1"/>
      <c r="H836" s="1"/>
      <c r="I836" s="1"/>
    </row>
    <row r="837" spans="2:9" ht="15.75" customHeight="1" x14ac:dyDescent="0.25">
      <c r="B837" s="1"/>
      <c r="C837" s="1"/>
      <c r="D837" s="1"/>
      <c r="E837" s="1"/>
      <c r="F837" s="1"/>
      <c r="G837" s="1"/>
      <c r="H837" s="1"/>
      <c r="I837" s="1"/>
    </row>
    <row r="838" spans="2:9" ht="15.75" customHeight="1" x14ac:dyDescent="0.25">
      <c r="B838" s="1"/>
      <c r="C838" s="1"/>
      <c r="D838" s="1"/>
      <c r="E838" s="1"/>
      <c r="F838" s="1"/>
      <c r="G838" s="1"/>
      <c r="H838" s="1"/>
      <c r="I838" s="1"/>
    </row>
    <row r="839" spans="2:9" ht="15.75" customHeight="1" x14ac:dyDescent="0.25">
      <c r="B839" s="1"/>
      <c r="C839" s="1"/>
      <c r="D839" s="1"/>
      <c r="E839" s="1"/>
      <c r="F839" s="1"/>
      <c r="G839" s="1"/>
      <c r="H839" s="1"/>
      <c r="I839" s="1"/>
    </row>
    <row r="840" spans="2:9" ht="15.75" customHeight="1" x14ac:dyDescent="0.25">
      <c r="B840" s="1"/>
      <c r="C840" s="1"/>
      <c r="D840" s="1"/>
      <c r="E840" s="1"/>
      <c r="F840" s="1"/>
      <c r="G840" s="1"/>
      <c r="H840" s="1"/>
      <c r="I840" s="1"/>
    </row>
    <row r="841" spans="2:9" ht="15.75" customHeight="1" x14ac:dyDescent="0.25">
      <c r="B841" s="1"/>
      <c r="C841" s="1"/>
      <c r="D841" s="1"/>
      <c r="E841" s="1"/>
      <c r="F841" s="1"/>
      <c r="G841" s="1"/>
      <c r="H841" s="1"/>
      <c r="I841" s="1"/>
    </row>
    <row r="842" spans="2:9" ht="15.75" customHeight="1" x14ac:dyDescent="0.25">
      <c r="B842" s="1"/>
      <c r="C842" s="1"/>
      <c r="D842" s="1"/>
      <c r="E842" s="1"/>
      <c r="F842" s="1"/>
      <c r="G842" s="1"/>
      <c r="H842" s="1"/>
      <c r="I842" s="1"/>
    </row>
    <row r="843" spans="2:9" ht="15.75" customHeight="1" x14ac:dyDescent="0.25">
      <c r="B843" s="1"/>
      <c r="C843" s="1"/>
      <c r="D843" s="1"/>
      <c r="E843" s="1"/>
      <c r="F843" s="1"/>
      <c r="G843" s="1"/>
      <c r="H843" s="1"/>
      <c r="I843" s="1"/>
    </row>
    <row r="844" spans="2:9" ht="15.75" customHeight="1" x14ac:dyDescent="0.25">
      <c r="B844" s="1"/>
      <c r="C844" s="1"/>
      <c r="D844" s="1"/>
      <c r="E844" s="1"/>
      <c r="F844" s="1"/>
      <c r="G844" s="1"/>
      <c r="H844" s="1"/>
      <c r="I844" s="1"/>
    </row>
    <row r="845" spans="2:9" ht="15.75" customHeight="1" x14ac:dyDescent="0.25">
      <c r="B845" s="1"/>
      <c r="C845" s="1"/>
      <c r="D845" s="1"/>
      <c r="E845" s="1"/>
      <c r="F845" s="1"/>
      <c r="G845" s="1"/>
      <c r="H845" s="1"/>
      <c r="I845" s="1"/>
    </row>
    <row r="846" spans="2:9" ht="15.75" customHeight="1" x14ac:dyDescent="0.25">
      <c r="B846" s="1"/>
      <c r="C846" s="1"/>
      <c r="D846" s="1"/>
      <c r="E846" s="1"/>
      <c r="F846" s="1"/>
      <c r="G846" s="1"/>
      <c r="H846" s="1"/>
      <c r="I846" s="1"/>
    </row>
    <row r="847" spans="2:9" ht="15.75" customHeight="1" x14ac:dyDescent="0.25">
      <c r="B847" s="1"/>
      <c r="C847" s="1"/>
      <c r="D847" s="1"/>
      <c r="E847" s="1"/>
      <c r="F847" s="1"/>
      <c r="G847" s="1"/>
      <c r="H847" s="1"/>
      <c r="I847" s="1"/>
    </row>
    <row r="848" spans="2:9" ht="15.75" customHeight="1" x14ac:dyDescent="0.25">
      <c r="B848" s="1"/>
      <c r="C848" s="1"/>
      <c r="D848" s="1"/>
      <c r="E848" s="1"/>
      <c r="F848" s="1"/>
      <c r="G848" s="1"/>
      <c r="H848" s="1"/>
      <c r="I848" s="1"/>
    </row>
    <row r="849" spans="2:9" ht="15.75" customHeight="1" x14ac:dyDescent="0.25">
      <c r="B849" s="1"/>
      <c r="C849" s="1"/>
      <c r="D849" s="1"/>
      <c r="E849" s="1"/>
      <c r="F849" s="1"/>
      <c r="G849" s="1"/>
      <c r="H849" s="1"/>
      <c r="I849" s="1"/>
    </row>
    <row r="850" spans="2:9" ht="15.75" customHeight="1" x14ac:dyDescent="0.25">
      <c r="B850" s="1"/>
      <c r="C850" s="1"/>
      <c r="D850" s="1"/>
      <c r="E850" s="1"/>
      <c r="F850" s="1"/>
      <c r="G850" s="1"/>
      <c r="H850" s="1"/>
      <c r="I850" s="1"/>
    </row>
    <row r="851" spans="2:9" ht="15.75" customHeight="1" x14ac:dyDescent="0.25">
      <c r="B851" s="1"/>
      <c r="C851" s="1"/>
      <c r="D851" s="1"/>
      <c r="E851" s="1"/>
      <c r="F851" s="1"/>
      <c r="G851" s="1"/>
      <c r="H851" s="1"/>
      <c r="I851" s="1"/>
    </row>
    <row r="852" spans="2:9" ht="15.75" customHeight="1" x14ac:dyDescent="0.25">
      <c r="B852" s="1"/>
      <c r="C852" s="1"/>
      <c r="D852" s="1"/>
      <c r="E852" s="1"/>
      <c r="F852" s="1"/>
      <c r="G852" s="1"/>
      <c r="H852" s="1"/>
      <c r="I852" s="1"/>
    </row>
    <row r="853" spans="2:9" ht="15.75" customHeight="1" x14ac:dyDescent="0.25">
      <c r="B853" s="1"/>
      <c r="C853" s="1"/>
      <c r="D853" s="1"/>
      <c r="E853" s="1"/>
      <c r="F853" s="1"/>
      <c r="G853" s="1"/>
      <c r="H853" s="1"/>
      <c r="I853" s="1"/>
    </row>
    <row r="854" spans="2:9" ht="15.75" customHeight="1" x14ac:dyDescent="0.25">
      <c r="B854" s="1"/>
      <c r="C854" s="1"/>
      <c r="D854" s="1"/>
      <c r="E854" s="1"/>
      <c r="F854" s="1"/>
      <c r="G854" s="1"/>
      <c r="H854" s="1"/>
      <c r="I854" s="1"/>
    </row>
    <row r="855" spans="2:9" ht="15.75" customHeight="1" x14ac:dyDescent="0.25">
      <c r="B855" s="1"/>
      <c r="C855" s="1"/>
      <c r="D855" s="1"/>
      <c r="E855" s="1"/>
      <c r="F855" s="1"/>
      <c r="G855" s="1"/>
      <c r="H855" s="1"/>
      <c r="I855" s="1"/>
    </row>
    <row r="856" spans="2:9" ht="15.75" customHeight="1" x14ac:dyDescent="0.25">
      <c r="B856" s="1"/>
      <c r="C856" s="1"/>
      <c r="D856" s="1"/>
      <c r="E856" s="1"/>
      <c r="F856" s="1"/>
      <c r="G856" s="1"/>
      <c r="H856" s="1"/>
      <c r="I856" s="1"/>
    </row>
    <row r="857" spans="2:9" ht="15.75" customHeight="1" x14ac:dyDescent="0.25">
      <c r="B857" s="1"/>
      <c r="C857" s="1"/>
      <c r="D857" s="1"/>
      <c r="E857" s="1"/>
      <c r="F857" s="1"/>
      <c r="G857" s="1"/>
      <c r="H857" s="1"/>
      <c r="I857" s="1"/>
    </row>
    <row r="858" spans="2:9" ht="15.75" customHeight="1" x14ac:dyDescent="0.25">
      <c r="B858" s="1"/>
      <c r="C858" s="1"/>
      <c r="D858" s="1"/>
      <c r="E858" s="1"/>
      <c r="F858" s="1"/>
      <c r="G858" s="1"/>
      <c r="H858" s="1"/>
      <c r="I858" s="1"/>
    </row>
    <row r="859" spans="2:9" ht="15.75" customHeight="1" x14ac:dyDescent="0.25">
      <c r="B859" s="1"/>
      <c r="C859" s="1"/>
      <c r="D859" s="1"/>
      <c r="E859" s="1"/>
      <c r="F859" s="1"/>
      <c r="G859" s="1"/>
      <c r="H859" s="1"/>
      <c r="I859" s="1"/>
    </row>
    <row r="860" spans="2:9" ht="15.75" customHeight="1" x14ac:dyDescent="0.25">
      <c r="B860" s="1"/>
      <c r="C860" s="1"/>
      <c r="D860" s="1"/>
      <c r="E860" s="1"/>
      <c r="F860" s="1"/>
      <c r="G860" s="1"/>
      <c r="H860" s="1"/>
      <c r="I860" s="1"/>
    </row>
    <row r="861" spans="2:9" ht="15.75" customHeight="1" x14ac:dyDescent="0.25">
      <c r="B861" s="1"/>
      <c r="C861" s="1"/>
      <c r="D861" s="1"/>
      <c r="E861" s="1"/>
      <c r="F861" s="1"/>
      <c r="G861" s="1"/>
      <c r="H861" s="1"/>
      <c r="I861" s="1"/>
    </row>
    <row r="862" spans="2:9" ht="15.75" customHeight="1" x14ac:dyDescent="0.25">
      <c r="B862" s="1"/>
      <c r="C862" s="1"/>
      <c r="D862" s="1"/>
      <c r="E862" s="1"/>
      <c r="F862" s="1"/>
      <c r="G862" s="1"/>
      <c r="H862" s="1"/>
      <c r="I862" s="1"/>
    </row>
    <row r="863" spans="2:9" ht="15.75" customHeight="1" x14ac:dyDescent="0.25">
      <c r="B863" s="1"/>
      <c r="C863" s="1"/>
      <c r="D863" s="1"/>
      <c r="E863" s="1"/>
      <c r="F863" s="1"/>
      <c r="G863" s="1"/>
      <c r="H863" s="1"/>
      <c r="I863" s="1"/>
    </row>
    <row r="864" spans="2:9" ht="15.75" customHeight="1" x14ac:dyDescent="0.25">
      <c r="B864" s="1"/>
      <c r="C864" s="1"/>
      <c r="D864" s="1"/>
      <c r="E864" s="1"/>
      <c r="F864" s="1"/>
      <c r="G864" s="1"/>
      <c r="H864" s="1"/>
      <c r="I864" s="1"/>
    </row>
    <row r="865" spans="2:9" ht="15.75" customHeight="1" x14ac:dyDescent="0.25">
      <c r="B865" s="1"/>
      <c r="C865" s="1"/>
      <c r="D865" s="1"/>
      <c r="E865" s="1"/>
      <c r="F865" s="1"/>
      <c r="G865" s="1"/>
      <c r="H865" s="1"/>
      <c r="I865" s="1"/>
    </row>
    <row r="866" spans="2:9" ht="15.75" customHeight="1" x14ac:dyDescent="0.25">
      <c r="B866" s="1"/>
      <c r="C866" s="1"/>
      <c r="D866" s="1"/>
      <c r="E866" s="1"/>
      <c r="F866" s="1"/>
      <c r="G866" s="1"/>
      <c r="H866" s="1"/>
      <c r="I866" s="1"/>
    </row>
    <row r="867" spans="2:9" ht="15.75" customHeight="1" x14ac:dyDescent="0.25">
      <c r="B867" s="1"/>
      <c r="C867" s="1"/>
      <c r="D867" s="1"/>
      <c r="E867" s="1"/>
      <c r="F867" s="1"/>
      <c r="G867" s="1"/>
      <c r="H867" s="1"/>
      <c r="I867" s="1"/>
    </row>
    <row r="868" spans="2:9" ht="15.75" customHeight="1" x14ac:dyDescent="0.25">
      <c r="B868" s="1"/>
      <c r="C868" s="1"/>
      <c r="D868" s="1"/>
      <c r="E868" s="1"/>
      <c r="F868" s="1"/>
      <c r="G868" s="1"/>
      <c r="H868" s="1"/>
      <c r="I868" s="1"/>
    </row>
    <row r="869" spans="2:9" ht="15.75" customHeight="1" x14ac:dyDescent="0.25">
      <c r="B869" s="1"/>
      <c r="C869" s="1"/>
      <c r="D869" s="1"/>
      <c r="E869" s="1"/>
      <c r="F869" s="1"/>
      <c r="G869" s="1"/>
      <c r="H869" s="1"/>
      <c r="I869" s="1"/>
    </row>
    <row r="870" spans="2:9" ht="15.75" customHeight="1" x14ac:dyDescent="0.25">
      <c r="B870" s="1"/>
      <c r="C870" s="1"/>
      <c r="D870" s="1"/>
      <c r="E870" s="1"/>
      <c r="F870" s="1"/>
      <c r="G870" s="1"/>
      <c r="H870" s="1"/>
      <c r="I870" s="1"/>
    </row>
    <row r="871" spans="2:9" ht="15.75" customHeight="1" x14ac:dyDescent="0.25">
      <c r="B871" s="1"/>
      <c r="C871" s="1"/>
      <c r="D871" s="1"/>
      <c r="E871" s="1"/>
      <c r="F871" s="1"/>
      <c r="G871" s="1"/>
      <c r="H871" s="1"/>
      <c r="I871" s="1"/>
    </row>
    <row r="872" spans="2:9" ht="15.75" customHeight="1" x14ac:dyDescent="0.25">
      <c r="B872" s="1"/>
      <c r="C872" s="1"/>
      <c r="D872" s="1"/>
      <c r="E872" s="1"/>
      <c r="F872" s="1"/>
      <c r="G872" s="1"/>
      <c r="H872" s="1"/>
      <c r="I872" s="1"/>
    </row>
    <row r="873" spans="2:9" ht="15.75" customHeight="1" x14ac:dyDescent="0.25">
      <c r="B873" s="1"/>
      <c r="C873" s="1"/>
      <c r="D873" s="1"/>
      <c r="E873" s="1"/>
      <c r="F873" s="1"/>
      <c r="G873" s="1"/>
      <c r="H873" s="1"/>
      <c r="I873" s="1"/>
    </row>
    <row r="874" spans="2:9" ht="15.75" customHeight="1" x14ac:dyDescent="0.25">
      <c r="B874" s="1"/>
      <c r="C874" s="1"/>
      <c r="D874" s="1"/>
      <c r="E874" s="1"/>
      <c r="F874" s="1"/>
      <c r="G874" s="1"/>
      <c r="H874" s="1"/>
      <c r="I874" s="1"/>
    </row>
    <row r="875" spans="2:9" ht="15.75" customHeight="1" x14ac:dyDescent="0.25">
      <c r="B875" s="1"/>
      <c r="C875" s="1"/>
      <c r="D875" s="1"/>
      <c r="E875" s="1"/>
      <c r="F875" s="1"/>
      <c r="G875" s="1"/>
      <c r="H875" s="1"/>
      <c r="I875" s="1"/>
    </row>
    <row r="876" spans="2:9" ht="15.75" customHeight="1" x14ac:dyDescent="0.25">
      <c r="B876" s="1"/>
      <c r="C876" s="1"/>
      <c r="D876" s="1"/>
      <c r="E876" s="1"/>
      <c r="F876" s="1"/>
      <c r="G876" s="1"/>
      <c r="H876" s="1"/>
      <c r="I876" s="1"/>
    </row>
    <row r="877" spans="2:9" ht="15.75" customHeight="1" x14ac:dyDescent="0.25">
      <c r="B877" s="1"/>
      <c r="C877" s="1"/>
      <c r="D877" s="1"/>
      <c r="E877" s="1"/>
      <c r="F877" s="1"/>
      <c r="G877" s="1"/>
      <c r="H877" s="1"/>
      <c r="I877" s="1"/>
    </row>
    <row r="878" spans="2:9" ht="15.75" customHeight="1" x14ac:dyDescent="0.25">
      <c r="B878" s="1"/>
      <c r="C878" s="1"/>
      <c r="D878" s="1"/>
      <c r="E878" s="1"/>
      <c r="F878" s="1"/>
      <c r="G878" s="1"/>
      <c r="H878" s="1"/>
      <c r="I878" s="1"/>
    </row>
    <row r="879" spans="2:9" ht="15.75" customHeight="1" x14ac:dyDescent="0.25">
      <c r="B879" s="1"/>
      <c r="C879" s="1"/>
      <c r="D879" s="1"/>
      <c r="E879" s="1"/>
      <c r="F879" s="1"/>
      <c r="G879" s="1"/>
      <c r="H879" s="1"/>
      <c r="I879" s="1"/>
    </row>
    <row r="880" spans="2:9" ht="15.75" customHeight="1" x14ac:dyDescent="0.25">
      <c r="B880" s="1"/>
      <c r="C880" s="1"/>
      <c r="D880" s="1"/>
      <c r="E880" s="1"/>
      <c r="F880" s="1"/>
      <c r="G880" s="1"/>
      <c r="H880" s="1"/>
      <c r="I880" s="1"/>
    </row>
    <row r="881" spans="2:9" ht="15.75" customHeight="1" x14ac:dyDescent="0.25">
      <c r="B881" s="1"/>
      <c r="C881" s="1"/>
      <c r="D881" s="1"/>
      <c r="E881" s="1"/>
      <c r="F881" s="1"/>
      <c r="G881" s="1"/>
      <c r="H881" s="1"/>
      <c r="I881" s="1"/>
    </row>
    <row r="882" spans="2:9" ht="15.75" customHeight="1" x14ac:dyDescent="0.25">
      <c r="B882" s="1"/>
      <c r="C882" s="1"/>
      <c r="D882" s="1"/>
      <c r="E882" s="1"/>
      <c r="F882" s="1"/>
      <c r="G882" s="1"/>
      <c r="H882" s="1"/>
      <c r="I882" s="1"/>
    </row>
    <row r="883" spans="2:9" ht="15.75" customHeight="1" x14ac:dyDescent="0.25">
      <c r="B883" s="1"/>
      <c r="C883" s="1"/>
      <c r="D883" s="1"/>
      <c r="E883" s="1"/>
      <c r="F883" s="1"/>
      <c r="G883" s="1"/>
      <c r="H883" s="1"/>
      <c r="I883" s="1"/>
    </row>
    <row r="884" spans="2:9" ht="15.75" customHeight="1" x14ac:dyDescent="0.25">
      <c r="B884" s="1"/>
      <c r="C884" s="1"/>
      <c r="D884" s="1"/>
      <c r="E884" s="1"/>
      <c r="F884" s="1"/>
      <c r="G884" s="1"/>
      <c r="H884" s="1"/>
      <c r="I884" s="1"/>
    </row>
    <row r="885" spans="2:9" ht="15.75" customHeight="1" x14ac:dyDescent="0.25">
      <c r="B885" s="1"/>
      <c r="C885" s="1"/>
      <c r="D885" s="1"/>
      <c r="E885" s="1"/>
      <c r="F885" s="1"/>
      <c r="G885" s="1"/>
      <c r="H885" s="1"/>
      <c r="I885" s="1"/>
    </row>
    <row r="886" spans="2:9" ht="15.75" customHeight="1" x14ac:dyDescent="0.25">
      <c r="B886" s="1"/>
      <c r="C886" s="1"/>
      <c r="D886" s="1"/>
      <c r="E886" s="1"/>
      <c r="F886" s="1"/>
      <c r="G886" s="1"/>
      <c r="H886" s="1"/>
      <c r="I886" s="1"/>
    </row>
    <row r="887" spans="2:9" ht="15.75" customHeight="1" x14ac:dyDescent="0.25">
      <c r="B887" s="1"/>
      <c r="C887" s="1"/>
      <c r="D887" s="1"/>
      <c r="E887" s="1"/>
      <c r="F887" s="1"/>
      <c r="G887" s="1"/>
      <c r="H887" s="1"/>
      <c r="I887" s="1"/>
    </row>
    <row r="888" spans="2:9" ht="15.75" customHeight="1" x14ac:dyDescent="0.25">
      <c r="B888" s="1"/>
      <c r="C888" s="1"/>
      <c r="D888" s="1"/>
      <c r="E888" s="1"/>
      <c r="F888" s="1"/>
      <c r="G888" s="1"/>
      <c r="H888" s="1"/>
      <c r="I888" s="1"/>
    </row>
    <row r="889" spans="2:9" ht="15.75" customHeight="1" x14ac:dyDescent="0.25">
      <c r="B889" s="1"/>
      <c r="C889" s="1"/>
      <c r="D889" s="1"/>
      <c r="E889" s="1"/>
      <c r="F889" s="1"/>
      <c r="G889" s="1"/>
      <c r="H889" s="1"/>
      <c r="I889" s="1"/>
    </row>
    <row r="890" spans="2:9" ht="15.75" customHeight="1" x14ac:dyDescent="0.25">
      <c r="B890" s="1"/>
      <c r="C890" s="1"/>
      <c r="D890" s="1"/>
      <c r="E890" s="1"/>
      <c r="F890" s="1"/>
      <c r="G890" s="1"/>
      <c r="H890" s="1"/>
      <c r="I890" s="1"/>
    </row>
    <row r="891" spans="2:9" ht="15.75" customHeight="1" x14ac:dyDescent="0.25">
      <c r="B891" s="1"/>
      <c r="C891" s="1"/>
      <c r="D891" s="1"/>
      <c r="E891" s="1"/>
      <c r="F891" s="1"/>
      <c r="G891" s="1"/>
      <c r="H891" s="1"/>
      <c r="I891" s="1"/>
    </row>
    <row r="892" spans="2:9" ht="15.75" customHeight="1" x14ac:dyDescent="0.25">
      <c r="B892" s="1"/>
      <c r="C892" s="1"/>
      <c r="D892" s="1"/>
      <c r="E892" s="1"/>
      <c r="F892" s="1"/>
      <c r="G892" s="1"/>
      <c r="H892" s="1"/>
      <c r="I892" s="1"/>
    </row>
    <row r="893" spans="2:9" ht="15.75" customHeight="1" x14ac:dyDescent="0.25">
      <c r="B893" s="1"/>
      <c r="C893" s="1"/>
      <c r="D893" s="1"/>
      <c r="E893" s="1"/>
      <c r="F893" s="1"/>
      <c r="G893" s="1"/>
      <c r="H893" s="1"/>
      <c r="I893" s="1"/>
    </row>
    <row r="894" spans="2:9" ht="15.75" customHeight="1" x14ac:dyDescent="0.25">
      <c r="B894" s="1"/>
      <c r="C894" s="1"/>
      <c r="D894" s="1"/>
      <c r="E894" s="1"/>
      <c r="F894" s="1"/>
      <c r="G894" s="1"/>
      <c r="H894" s="1"/>
      <c r="I894" s="1"/>
    </row>
    <row r="895" spans="2:9" ht="15.75" customHeight="1" x14ac:dyDescent="0.25">
      <c r="B895" s="1"/>
      <c r="C895" s="1"/>
      <c r="D895" s="1"/>
      <c r="E895" s="1"/>
      <c r="F895" s="1"/>
      <c r="G895" s="1"/>
      <c r="H895" s="1"/>
      <c r="I895" s="1"/>
    </row>
    <row r="896" spans="2:9" ht="15.75" customHeight="1" x14ac:dyDescent="0.25">
      <c r="B896" s="1"/>
      <c r="C896" s="1"/>
      <c r="D896" s="1"/>
      <c r="E896" s="1"/>
      <c r="F896" s="1"/>
      <c r="G896" s="1"/>
      <c r="H896" s="1"/>
      <c r="I896" s="1"/>
    </row>
    <row r="897" spans="2:9" ht="15.75" customHeight="1" x14ac:dyDescent="0.25">
      <c r="B897" s="1"/>
      <c r="C897" s="1"/>
      <c r="D897" s="1"/>
      <c r="E897" s="1"/>
      <c r="F897" s="1"/>
      <c r="G897" s="1"/>
      <c r="H897" s="1"/>
      <c r="I897" s="1"/>
    </row>
    <row r="898" spans="2:9" ht="15.75" customHeight="1" x14ac:dyDescent="0.25">
      <c r="B898" s="1"/>
      <c r="C898" s="1"/>
      <c r="D898" s="1"/>
      <c r="E898" s="1"/>
      <c r="F898" s="1"/>
      <c r="G898" s="1"/>
      <c r="H898" s="1"/>
      <c r="I898" s="1"/>
    </row>
    <row r="899" spans="2:9" ht="15.75" customHeight="1" x14ac:dyDescent="0.25">
      <c r="B899" s="1"/>
      <c r="C899" s="1"/>
      <c r="D899" s="1"/>
      <c r="E899" s="1"/>
      <c r="F899" s="1"/>
      <c r="G899" s="1"/>
      <c r="H899" s="1"/>
      <c r="I899" s="1"/>
    </row>
    <row r="900" spans="2:9" ht="15.75" customHeight="1" x14ac:dyDescent="0.25">
      <c r="B900" s="1"/>
      <c r="C900" s="1"/>
      <c r="D900" s="1"/>
      <c r="E900" s="1"/>
      <c r="F900" s="1"/>
      <c r="G900" s="1"/>
      <c r="H900" s="1"/>
      <c r="I900" s="1"/>
    </row>
    <row r="901" spans="2:9" ht="15.75" customHeight="1" x14ac:dyDescent="0.25">
      <c r="B901" s="1"/>
      <c r="C901" s="1"/>
      <c r="D901" s="1"/>
      <c r="E901" s="1"/>
      <c r="F901" s="1"/>
      <c r="G901" s="1"/>
      <c r="H901" s="1"/>
      <c r="I901" s="1"/>
    </row>
    <row r="902" spans="2:9" ht="15.75" customHeight="1" x14ac:dyDescent="0.25">
      <c r="B902" s="1"/>
      <c r="C902" s="1"/>
      <c r="D902" s="1"/>
      <c r="E902" s="1"/>
      <c r="F902" s="1"/>
      <c r="G902" s="1"/>
      <c r="H902" s="1"/>
      <c r="I902" s="1"/>
    </row>
    <row r="903" spans="2:9" ht="15.75" customHeight="1" x14ac:dyDescent="0.25">
      <c r="B903" s="1"/>
      <c r="C903" s="1"/>
      <c r="D903" s="1"/>
      <c r="E903" s="1"/>
      <c r="F903" s="1"/>
      <c r="G903" s="1"/>
      <c r="H903" s="1"/>
      <c r="I903" s="1"/>
    </row>
    <row r="904" spans="2:9" ht="15.75" customHeight="1" x14ac:dyDescent="0.25">
      <c r="B904" s="1"/>
      <c r="C904" s="1"/>
      <c r="D904" s="1"/>
      <c r="E904" s="1"/>
      <c r="F904" s="1"/>
      <c r="G904" s="1"/>
      <c r="H904" s="1"/>
      <c r="I904" s="1"/>
    </row>
    <row r="905" spans="2:9" ht="15.75" customHeight="1" x14ac:dyDescent="0.25">
      <c r="B905" s="1"/>
      <c r="C905" s="1"/>
      <c r="D905" s="1"/>
      <c r="E905" s="1"/>
      <c r="F905" s="1"/>
      <c r="G905" s="1"/>
      <c r="H905" s="1"/>
      <c r="I905" s="1"/>
    </row>
    <row r="906" spans="2:9" ht="15.75" customHeight="1" x14ac:dyDescent="0.25">
      <c r="B906" s="1"/>
      <c r="C906" s="1"/>
      <c r="D906" s="1"/>
      <c r="E906" s="1"/>
      <c r="F906" s="1"/>
      <c r="G906" s="1"/>
      <c r="H906" s="1"/>
      <c r="I906" s="1"/>
    </row>
    <row r="907" spans="2:9" ht="15.75" customHeight="1" x14ac:dyDescent="0.25">
      <c r="B907" s="1"/>
      <c r="C907" s="1"/>
      <c r="D907" s="1"/>
      <c r="E907" s="1"/>
      <c r="F907" s="1"/>
      <c r="G907" s="1"/>
      <c r="H907" s="1"/>
      <c r="I907" s="1"/>
    </row>
    <row r="908" spans="2:9" ht="15.75" customHeight="1" x14ac:dyDescent="0.25">
      <c r="B908" s="1"/>
      <c r="C908" s="1"/>
      <c r="D908" s="1"/>
      <c r="E908" s="1"/>
      <c r="F908" s="1"/>
      <c r="G908" s="1"/>
      <c r="H908" s="1"/>
      <c r="I908" s="1"/>
    </row>
    <row r="909" spans="2:9" ht="15.75" customHeight="1" x14ac:dyDescent="0.25">
      <c r="B909" s="1"/>
      <c r="C909" s="1"/>
      <c r="D909" s="1"/>
      <c r="E909" s="1"/>
      <c r="F909" s="1"/>
      <c r="G909" s="1"/>
      <c r="H909" s="1"/>
      <c r="I909" s="1"/>
    </row>
    <row r="910" spans="2:9" ht="15.75" customHeight="1" x14ac:dyDescent="0.25">
      <c r="B910" s="1"/>
      <c r="C910" s="1"/>
      <c r="D910" s="1"/>
      <c r="E910" s="1"/>
      <c r="F910" s="1"/>
      <c r="G910" s="1"/>
      <c r="H910" s="1"/>
      <c r="I910" s="1"/>
    </row>
    <row r="911" spans="2:9" ht="15.75" customHeight="1" x14ac:dyDescent="0.25">
      <c r="B911" s="1"/>
      <c r="C911" s="1"/>
      <c r="D911" s="1"/>
      <c r="E911" s="1"/>
      <c r="F911" s="1"/>
      <c r="G911" s="1"/>
      <c r="H911" s="1"/>
      <c r="I911" s="1"/>
    </row>
    <row r="912" spans="2:9" ht="15.75" customHeight="1" x14ac:dyDescent="0.25">
      <c r="B912" s="1"/>
      <c r="C912" s="1"/>
      <c r="D912" s="1"/>
      <c r="E912" s="1"/>
      <c r="F912" s="1"/>
      <c r="G912" s="1"/>
      <c r="H912" s="1"/>
      <c r="I912" s="1"/>
    </row>
    <row r="913" spans="2:9" ht="15.75" customHeight="1" x14ac:dyDescent="0.25">
      <c r="B913" s="1"/>
      <c r="C913" s="1"/>
      <c r="D913" s="1"/>
      <c r="E913" s="1"/>
      <c r="F913" s="1"/>
      <c r="G913" s="1"/>
      <c r="H913" s="1"/>
      <c r="I913" s="1"/>
    </row>
    <row r="914" spans="2:9" ht="15.75" customHeight="1" x14ac:dyDescent="0.25">
      <c r="B914" s="1"/>
      <c r="C914" s="1"/>
      <c r="D914" s="1"/>
      <c r="E914" s="1"/>
      <c r="F914" s="1"/>
      <c r="G914" s="1"/>
      <c r="H914" s="1"/>
      <c r="I914" s="1"/>
    </row>
    <row r="915" spans="2:9" ht="15.75" customHeight="1" x14ac:dyDescent="0.25">
      <c r="B915" s="1"/>
      <c r="C915" s="1"/>
      <c r="D915" s="1"/>
      <c r="E915" s="1"/>
      <c r="F915" s="1"/>
      <c r="G915" s="1"/>
      <c r="H915" s="1"/>
      <c r="I915" s="1"/>
    </row>
    <row r="916" spans="2:9" ht="15.75" customHeight="1" x14ac:dyDescent="0.25">
      <c r="B916" s="1"/>
      <c r="C916" s="1"/>
      <c r="D916" s="1"/>
      <c r="E916" s="1"/>
      <c r="F916" s="1"/>
      <c r="G916" s="1"/>
      <c r="H916" s="1"/>
      <c r="I916" s="1"/>
    </row>
    <row r="917" spans="2:9" ht="15.75" customHeight="1" x14ac:dyDescent="0.25">
      <c r="B917" s="1"/>
      <c r="C917" s="1"/>
      <c r="D917" s="1"/>
      <c r="E917" s="1"/>
      <c r="F917" s="1"/>
      <c r="G917" s="1"/>
      <c r="H917" s="1"/>
      <c r="I917" s="1"/>
    </row>
    <row r="918" spans="2:9" ht="15.75" customHeight="1" x14ac:dyDescent="0.25">
      <c r="B918" s="1"/>
      <c r="C918" s="1"/>
      <c r="D918" s="1"/>
      <c r="E918" s="1"/>
      <c r="F918" s="1"/>
      <c r="G918" s="1"/>
      <c r="H918" s="1"/>
      <c r="I918" s="1"/>
    </row>
    <row r="919" spans="2:9" ht="15.75" customHeight="1" x14ac:dyDescent="0.25">
      <c r="B919" s="1"/>
      <c r="C919" s="1"/>
      <c r="D919" s="1"/>
      <c r="E919" s="1"/>
      <c r="F919" s="1"/>
      <c r="G919" s="1"/>
      <c r="H919" s="1"/>
      <c r="I919" s="1"/>
    </row>
    <row r="920" spans="2:9" ht="15.75" customHeight="1" x14ac:dyDescent="0.25">
      <c r="B920" s="1"/>
      <c r="C920" s="1"/>
      <c r="D920" s="1"/>
      <c r="E920" s="1"/>
      <c r="F920" s="1"/>
      <c r="G920" s="1"/>
      <c r="H920" s="1"/>
      <c r="I920" s="1"/>
    </row>
    <row r="921" spans="2:9" ht="15.75" customHeight="1" x14ac:dyDescent="0.25">
      <c r="B921" s="1"/>
      <c r="C921" s="1"/>
      <c r="D921" s="1"/>
      <c r="E921" s="1"/>
      <c r="F921" s="1"/>
      <c r="G921" s="1"/>
      <c r="H921" s="1"/>
      <c r="I921" s="1"/>
    </row>
    <row r="922" spans="2:9" ht="15.75" customHeight="1" x14ac:dyDescent="0.25">
      <c r="B922" s="1"/>
      <c r="C922" s="1"/>
      <c r="D922" s="1"/>
      <c r="E922" s="1"/>
      <c r="F922" s="1"/>
      <c r="G922" s="1"/>
      <c r="H922" s="1"/>
      <c r="I922" s="1"/>
    </row>
    <row r="923" spans="2:9" ht="15.75" customHeight="1" x14ac:dyDescent="0.25">
      <c r="B923" s="1"/>
      <c r="C923" s="1"/>
      <c r="D923" s="1"/>
      <c r="E923" s="1"/>
      <c r="F923" s="1"/>
      <c r="G923" s="1"/>
      <c r="H923" s="1"/>
      <c r="I923" s="1"/>
    </row>
    <row r="924" spans="2:9" ht="15.75" customHeight="1" x14ac:dyDescent="0.25">
      <c r="B924" s="1"/>
      <c r="C924" s="1"/>
      <c r="D924" s="1"/>
      <c r="E924" s="1"/>
      <c r="F924" s="1"/>
      <c r="G924" s="1"/>
      <c r="H924" s="1"/>
      <c r="I924" s="1"/>
    </row>
    <row r="925" spans="2:9" ht="15.75" customHeight="1" x14ac:dyDescent="0.25">
      <c r="B925" s="1"/>
      <c r="C925" s="1"/>
      <c r="D925" s="1"/>
      <c r="E925" s="1"/>
      <c r="F925" s="1"/>
      <c r="G925" s="1"/>
      <c r="H925" s="1"/>
      <c r="I925" s="1"/>
    </row>
    <row r="926" spans="2:9" ht="15.75" customHeight="1" x14ac:dyDescent="0.25">
      <c r="B926" s="1"/>
      <c r="C926" s="1"/>
      <c r="D926" s="1"/>
      <c r="E926" s="1"/>
      <c r="F926" s="1"/>
      <c r="G926" s="1"/>
      <c r="H926" s="1"/>
      <c r="I926" s="1"/>
    </row>
    <row r="927" spans="2:9" ht="15.75" customHeight="1" x14ac:dyDescent="0.25">
      <c r="B927" s="1"/>
      <c r="C927" s="1"/>
      <c r="D927" s="1"/>
      <c r="E927" s="1"/>
      <c r="F927" s="1"/>
      <c r="G927" s="1"/>
      <c r="H927" s="1"/>
      <c r="I927" s="1"/>
    </row>
    <row r="928" spans="2:9" ht="15.75" customHeight="1" x14ac:dyDescent="0.25">
      <c r="B928" s="1"/>
      <c r="C928" s="1"/>
      <c r="D928" s="1"/>
      <c r="E928" s="1"/>
      <c r="F928" s="1"/>
      <c r="G928" s="1"/>
      <c r="H928" s="1"/>
      <c r="I928" s="1"/>
    </row>
    <row r="929" spans="2:9" ht="15.75" customHeight="1" x14ac:dyDescent="0.25">
      <c r="B929" s="1"/>
      <c r="C929" s="1"/>
      <c r="D929" s="1"/>
      <c r="E929" s="1"/>
      <c r="F929" s="1"/>
      <c r="G929" s="1"/>
      <c r="H929" s="1"/>
      <c r="I929" s="1"/>
    </row>
    <row r="930" spans="2:9" ht="15.75" customHeight="1" x14ac:dyDescent="0.25">
      <c r="B930" s="1"/>
      <c r="C930" s="1"/>
      <c r="D930" s="1"/>
      <c r="E930" s="1"/>
      <c r="F930" s="1"/>
      <c r="G930" s="1"/>
      <c r="H930" s="1"/>
      <c r="I930" s="1"/>
    </row>
    <row r="931" spans="2:9" ht="15.75" customHeight="1" x14ac:dyDescent="0.25">
      <c r="B931" s="1"/>
      <c r="C931" s="1"/>
      <c r="D931" s="1"/>
      <c r="E931" s="1"/>
      <c r="F931" s="1"/>
      <c r="G931" s="1"/>
      <c r="H931" s="1"/>
      <c r="I931" s="1"/>
    </row>
    <row r="932" spans="2:9" ht="15.75" customHeight="1" x14ac:dyDescent="0.25">
      <c r="B932" s="1"/>
      <c r="C932" s="1"/>
      <c r="D932" s="1"/>
      <c r="E932" s="1"/>
      <c r="F932" s="1"/>
      <c r="G932" s="1"/>
      <c r="H932" s="1"/>
      <c r="I932" s="1"/>
    </row>
    <row r="933" spans="2:9" ht="15.75" customHeight="1" x14ac:dyDescent="0.25">
      <c r="B933" s="1"/>
      <c r="C933" s="1"/>
      <c r="D933" s="1"/>
      <c r="E933" s="1"/>
      <c r="F933" s="1"/>
      <c r="G933" s="1"/>
      <c r="H933" s="1"/>
      <c r="I933" s="1"/>
    </row>
    <row r="934" spans="2:9" ht="15.75" customHeight="1" x14ac:dyDescent="0.25">
      <c r="B934" s="1"/>
      <c r="C934" s="1"/>
      <c r="D934" s="1"/>
      <c r="E934" s="1"/>
      <c r="F934" s="1"/>
      <c r="G934" s="1"/>
      <c r="H934" s="1"/>
      <c r="I934" s="1"/>
    </row>
    <row r="935" spans="2:9" ht="15.75" customHeight="1" x14ac:dyDescent="0.25">
      <c r="B935" s="1"/>
      <c r="C935" s="1"/>
      <c r="D935" s="1"/>
      <c r="E935" s="1"/>
      <c r="F935" s="1"/>
      <c r="G935" s="1"/>
      <c r="H935" s="1"/>
      <c r="I935" s="1"/>
    </row>
    <row r="936" spans="2:9" ht="15.75" customHeight="1" x14ac:dyDescent="0.25">
      <c r="B936" s="1"/>
      <c r="C936" s="1"/>
      <c r="D936" s="1"/>
      <c r="E936" s="1"/>
      <c r="F936" s="1"/>
      <c r="G936" s="1"/>
      <c r="H936" s="1"/>
      <c r="I936" s="1"/>
    </row>
    <row r="937" spans="2:9" ht="15.75" customHeight="1" x14ac:dyDescent="0.25">
      <c r="B937" s="1"/>
      <c r="C937" s="1"/>
      <c r="D937" s="1"/>
      <c r="E937" s="1"/>
      <c r="F937" s="1"/>
      <c r="G937" s="1"/>
      <c r="H937" s="1"/>
      <c r="I937" s="1"/>
    </row>
    <row r="938" spans="2:9" ht="15.75" customHeight="1" x14ac:dyDescent="0.25">
      <c r="B938" s="1"/>
      <c r="C938" s="1"/>
      <c r="D938" s="1"/>
      <c r="E938" s="1"/>
      <c r="F938" s="1"/>
      <c r="G938" s="1"/>
      <c r="H938" s="1"/>
      <c r="I938" s="1"/>
    </row>
    <row r="939" spans="2:9" ht="15.75" customHeight="1" x14ac:dyDescent="0.25">
      <c r="B939" s="1"/>
      <c r="C939" s="1"/>
      <c r="D939" s="1"/>
      <c r="E939" s="1"/>
      <c r="F939" s="1"/>
      <c r="G939" s="1"/>
      <c r="H939" s="1"/>
      <c r="I939" s="1"/>
    </row>
    <row r="940" spans="2:9" ht="15.75" customHeight="1" x14ac:dyDescent="0.25">
      <c r="B940" s="1"/>
      <c r="C940" s="1"/>
      <c r="D940" s="1"/>
      <c r="E940" s="1"/>
      <c r="F940" s="1"/>
      <c r="G940" s="1"/>
      <c r="H940" s="1"/>
      <c r="I940" s="1"/>
    </row>
    <row r="941" spans="2:9" ht="15.75" customHeight="1" x14ac:dyDescent="0.25">
      <c r="B941" s="1"/>
      <c r="C941" s="1"/>
      <c r="D941" s="1"/>
      <c r="E941" s="1"/>
      <c r="F941" s="1"/>
      <c r="G941" s="1"/>
      <c r="H941" s="1"/>
      <c r="I941" s="1"/>
    </row>
    <row r="942" spans="2:9" ht="15.75" customHeight="1" x14ac:dyDescent="0.25">
      <c r="B942" s="1"/>
      <c r="C942" s="1"/>
      <c r="D942" s="1"/>
      <c r="E942" s="1"/>
      <c r="F942" s="1"/>
      <c r="G942" s="1"/>
      <c r="H942" s="1"/>
      <c r="I942" s="1"/>
    </row>
    <row r="943" spans="2:9" ht="15.75" customHeight="1" x14ac:dyDescent="0.25">
      <c r="B943" s="1"/>
      <c r="C943" s="1"/>
      <c r="D943" s="1"/>
      <c r="E943" s="1"/>
      <c r="F943" s="1"/>
      <c r="G943" s="1"/>
      <c r="H943" s="1"/>
      <c r="I943" s="1"/>
    </row>
    <row r="944" spans="2:9" ht="15.75" customHeight="1" x14ac:dyDescent="0.25">
      <c r="B944" s="1"/>
      <c r="C944" s="1"/>
      <c r="D944" s="1"/>
      <c r="E944" s="1"/>
      <c r="F944" s="1"/>
      <c r="G944" s="1"/>
      <c r="H944" s="1"/>
      <c r="I944" s="1"/>
    </row>
    <row r="945" spans="2:9" ht="15.75" customHeight="1" x14ac:dyDescent="0.25">
      <c r="B945" s="1"/>
      <c r="C945" s="1"/>
      <c r="D945" s="1"/>
      <c r="E945" s="1"/>
      <c r="F945" s="1"/>
      <c r="G945" s="1"/>
      <c r="H945" s="1"/>
      <c r="I945" s="1"/>
    </row>
    <row r="946" spans="2:9" ht="15.75" customHeight="1" x14ac:dyDescent="0.25">
      <c r="B946" s="1"/>
      <c r="C946" s="1"/>
      <c r="D946" s="1"/>
      <c r="E946" s="1"/>
      <c r="F946" s="1"/>
      <c r="G946" s="1"/>
      <c r="H946" s="1"/>
      <c r="I946" s="1"/>
    </row>
    <row r="947" spans="2:9" ht="15.75" customHeight="1" x14ac:dyDescent="0.25">
      <c r="B947" s="1"/>
      <c r="C947" s="1"/>
      <c r="D947" s="1"/>
      <c r="E947" s="1"/>
      <c r="F947" s="1"/>
      <c r="G947" s="1"/>
      <c r="H947" s="1"/>
      <c r="I947" s="1"/>
    </row>
    <row r="948" spans="2:9" ht="15.75" customHeight="1" x14ac:dyDescent="0.25">
      <c r="B948" s="1"/>
      <c r="C948" s="1"/>
      <c r="D948" s="1"/>
      <c r="E948" s="1"/>
      <c r="F948" s="1"/>
      <c r="G948" s="1"/>
      <c r="H948" s="1"/>
      <c r="I948" s="1"/>
    </row>
    <row r="949" spans="2:9" ht="15.75" customHeight="1" x14ac:dyDescent="0.25">
      <c r="B949" s="1"/>
      <c r="C949" s="1"/>
      <c r="D949" s="1"/>
      <c r="E949" s="1"/>
      <c r="F949" s="1"/>
      <c r="G949" s="1"/>
      <c r="H949" s="1"/>
      <c r="I949" s="1"/>
    </row>
    <row r="950" spans="2:9" ht="15.75" customHeight="1" x14ac:dyDescent="0.25">
      <c r="B950" s="1"/>
      <c r="C950" s="1"/>
      <c r="D950" s="1"/>
      <c r="E950" s="1"/>
      <c r="F950" s="1"/>
      <c r="G950" s="1"/>
      <c r="H950" s="1"/>
      <c r="I950" s="1"/>
    </row>
    <row r="951" spans="2:9" ht="15.75" customHeight="1" x14ac:dyDescent="0.25">
      <c r="B951" s="1"/>
      <c r="C951" s="1"/>
      <c r="D951" s="1"/>
      <c r="E951" s="1"/>
      <c r="F951" s="1"/>
      <c r="G951" s="1"/>
      <c r="H951" s="1"/>
      <c r="I951" s="1"/>
    </row>
    <row r="952" spans="2:9" ht="15.75" customHeight="1" x14ac:dyDescent="0.25">
      <c r="B952" s="1"/>
      <c r="C952" s="1"/>
      <c r="D952" s="1"/>
      <c r="E952" s="1"/>
      <c r="F952" s="1"/>
      <c r="G952" s="1"/>
      <c r="H952" s="1"/>
      <c r="I952" s="1"/>
    </row>
    <row r="953" spans="2:9" ht="15.75" customHeight="1" x14ac:dyDescent="0.25">
      <c r="B953" s="1"/>
      <c r="C953" s="1"/>
      <c r="D953" s="1"/>
      <c r="E953" s="1"/>
      <c r="F953" s="1"/>
      <c r="G953" s="1"/>
      <c r="H953" s="1"/>
      <c r="I953" s="1"/>
    </row>
    <row r="954" spans="2:9" ht="15.75" customHeight="1" x14ac:dyDescent="0.25">
      <c r="B954" s="1"/>
      <c r="C954" s="1"/>
      <c r="D954" s="1"/>
      <c r="E954" s="1"/>
      <c r="F954" s="1"/>
      <c r="G954" s="1"/>
      <c r="H954" s="1"/>
      <c r="I954" s="1"/>
    </row>
    <row r="955" spans="2:9" ht="15.75" customHeight="1" x14ac:dyDescent="0.25">
      <c r="B955" s="1"/>
      <c r="C955" s="1"/>
      <c r="D955" s="1"/>
      <c r="E955" s="1"/>
      <c r="F955" s="1"/>
      <c r="G955" s="1"/>
      <c r="H955" s="1"/>
      <c r="I955" s="1"/>
    </row>
    <row r="956" spans="2:9" ht="15.75" customHeight="1" x14ac:dyDescent="0.25">
      <c r="B956" s="1"/>
      <c r="C956" s="1"/>
      <c r="D956" s="1"/>
      <c r="E956" s="1"/>
      <c r="F956" s="1"/>
      <c r="G956" s="1"/>
      <c r="H956" s="1"/>
      <c r="I956" s="1"/>
    </row>
    <row r="957" spans="2:9" ht="15.75" customHeight="1" x14ac:dyDescent="0.25">
      <c r="B957" s="1"/>
      <c r="C957" s="1"/>
      <c r="D957" s="1"/>
      <c r="E957" s="1"/>
      <c r="F957" s="1"/>
      <c r="G957" s="1"/>
      <c r="H957" s="1"/>
      <c r="I957" s="1"/>
    </row>
    <row r="958" spans="2:9" ht="15.75" customHeight="1" x14ac:dyDescent="0.25">
      <c r="B958" s="1"/>
      <c r="C958" s="1"/>
      <c r="D958" s="1"/>
      <c r="E958" s="1"/>
      <c r="F958" s="1"/>
      <c r="G958" s="1"/>
      <c r="H958" s="1"/>
      <c r="I958" s="1"/>
    </row>
    <row r="959" spans="2:9" ht="15.75" customHeight="1" x14ac:dyDescent="0.25">
      <c r="B959" s="1"/>
      <c r="C959" s="1"/>
      <c r="D959" s="1"/>
      <c r="E959" s="1"/>
      <c r="F959" s="1"/>
      <c r="G959" s="1"/>
      <c r="H959" s="1"/>
      <c r="I959" s="1"/>
    </row>
    <row r="960" spans="2:9" ht="15.75" customHeight="1" x14ac:dyDescent="0.25">
      <c r="B960" s="1"/>
      <c r="C960" s="1"/>
      <c r="D960" s="1"/>
      <c r="E960" s="1"/>
      <c r="F960" s="1"/>
      <c r="G960" s="1"/>
      <c r="H960" s="1"/>
      <c r="I960" s="1"/>
    </row>
    <row r="961" spans="2:9" ht="15.75" customHeight="1" x14ac:dyDescent="0.25">
      <c r="B961" s="1"/>
      <c r="C961" s="1"/>
      <c r="D961" s="1"/>
      <c r="E961" s="1"/>
      <c r="F961" s="1"/>
      <c r="G961" s="1"/>
      <c r="H961" s="1"/>
      <c r="I961" s="1"/>
    </row>
    <row r="962" spans="2:9" ht="15.75" customHeight="1" x14ac:dyDescent="0.25">
      <c r="B962" s="1"/>
      <c r="C962" s="1"/>
      <c r="D962" s="1"/>
      <c r="E962" s="1"/>
      <c r="F962" s="1"/>
      <c r="G962" s="1"/>
      <c r="H962" s="1"/>
      <c r="I962" s="1"/>
    </row>
    <row r="963" spans="2:9" ht="15.75" customHeight="1" x14ac:dyDescent="0.25">
      <c r="B963" s="1"/>
      <c r="C963" s="1"/>
      <c r="D963" s="1"/>
      <c r="E963" s="1"/>
      <c r="F963" s="1"/>
      <c r="G963" s="1"/>
      <c r="H963" s="1"/>
      <c r="I963" s="1"/>
    </row>
    <row r="964" spans="2:9" ht="15.75" customHeight="1" x14ac:dyDescent="0.25">
      <c r="B964" s="1"/>
      <c r="C964" s="1"/>
      <c r="D964" s="1"/>
      <c r="E964" s="1"/>
      <c r="F964" s="1"/>
      <c r="G964" s="1"/>
      <c r="H964" s="1"/>
      <c r="I964" s="1"/>
    </row>
    <row r="965" spans="2:9" ht="15.75" customHeight="1" x14ac:dyDescent="0.25">
      <c r="B965" s="1"/>
      <c r="C965" s="1"/>
      <c r="D965" s="1"/>
      <c r="E965" s="1"/>
      <c r="F965" s="1"/>
      <c r="G965" s="1"/>
      <c r="H965" s="1"/>
      <c r="I965" s="1"/>
    </row>
    <row r="966" spans="2:9" ht="15.75" customHeight="1" x14ac:dyDescent="0.25">
      <c r="B966" s="1"/>
      <c r="C966" s="1"/>
      <c r="D966" s="1"/>
      <c r="E966" s="1"/>
      <c r="F966" s="1"/>
      <c r="G966" s="1"/>
      <c r="H966" s="1"/>
      <c r="I966" s="1"/>
    </row>
    <row r="967" spans="2:9" ht="15.75" customHeight="1" x14ac:dyDescent="0.25">
      <c r="B967" s="1"/>
      <c r="C967" s="1"/>
      <c r="D967" s="1"/>
      <c r="E967" s="1"/>
      <c r="F967" s="1"/>
      <c r="G967" s="1"/>
      <c r="H967" s="1"/>
      <c r="I967" s="1"/>
    </row>
    <row r="968" spans="2:9" ht="15.75" customHeight="1" x14ac:dyDescent="0.25">
      <c r="B968" s="1"/>
      <c r="C968" s="1"/>
      <c r="D968" s="1"/>
      <c r="E968" s="1"/>
      <c r="F968" s="1"/>
      <c r="G968" s="1"/>
      <c r="H968" s="1"/>
      <c r="I968" s="1"/>
    </row>
    <row r="969" spans="2:9" ht="15.75" customHeight="1" x14ac:dyDescent="0.25">
      <c r="B969" s="1"/>
      <c r="C969" s="1"/>
      <c r="D969" s="1"/>
      <c r="E969" s="1"/>
      <c r="F969" s="1"/>
      <c r="G969" s="1"/>
      <c r="H969" s="1"/>
      <c r="I969" s="1"/>
    </row>
    <row r="970" spans="2:9" ht="15.75" customHeight="1" x14ac:dyDescent="0.25">
      <c r="B970" s="1"/>
      <c r="C970" s="1"/>
      <c r="D970" s="1"/>
      <c r="E970" s="1"/>
      <c r="F970" s="1"/>
      <c r="G970" s="1"/>
      <c r="H970" s="1"/>
      <c r="I970" s="1"/>
    </row>
    <row r="971" spans="2:9" ht="15.75" customHeight="1" x14ac:dyDescent="0.25">
      <c r="B971" s="1"/>
      <c r="C971" s="1"/>
      <c r="D971" s="1"/>
      <c r="E971" s="1"/>
      <c r="F971" s="1"/>
      <c r="G971" s="1"/>
      <c r="H971" s="1"/>
      <c r="I971" s="1"/>
    </row>
    <row r="972" spans="2:9" ht="15.75" customHeight="1" x14ac:dyDescent="0.25">
      <c r="B972" s="1"/>
      <c r="C972" s="1"/>
      <c r="D972" s="1"/>
      <c r="E972" s="1"/>
      <c r="F972" s="1"/>
      <c r="G972" s="1"/>
      <c r="H972" s="1"/>
      <c r="I972" s="1"/>
    </row>
    <row r="973" spans="2:9" ht="15.75" customHeight="1" x14ac:dyDescent="0.25">
      <c r="B973" s="1"/>
      <c r="C973" s="1"/>
      <c r="D973" s="1"/>
      <c r="E973" s="1"/>
      <c r="F973" s="1"/>
      <c r="G973" s="1"/>
      <c r="H973" s="1"/>
      <c r="I973" s="1"/>
    </row>
    <row r="974" spans="2:9" ht="15.75" customHeight="1" x14ac:dyDescent="0.25">
      <c r="B974" s="1"/>
      <c r="C974" s="1"/>
      <c r="D974" s="1"/>
      <c r="E974" s="1"/>
      <c r="F974" s="1"/>
      <c r="G974" s="1"/>
      <c r="H974" s="1"/>
      <c r="I974" s="1"/>
    </row>
    <row r="975" spans="2:9" ht="15.75" customHeight="1" x14ac:dyDescent="0.25">
      <c r="B975" s="1"/>
      <c r="C975" s="1"/>
      <c r="D975" s="1"/>
      <c r="E975" s="1"/>
      <c r="F975" s="1"/>
      <c r="G975" s="1"/>
      <c r="H975" s="1"/>
      <c r="I975" s="1"/>
    </row>
    <row r="976" spans="2:9" ht="15.75" customHeight="1" x14ac:dyDescent="0.25">
      <c r="B976" s="1"/>
      <c r="C976" s="1"/>
      <c r="D976" s="1"/>
      <c r="E976" s="1"/>
      <c r="F976" s="1"/>
      <c r="G976" s="1"/>
      <c r="H976" s="1"/>
      <c r="I976" s="1"/>
    </row>
    <row r="977" spans="2:9" ht="15.75" customHeight="1" x14ac:dyDescent="0.25">
      <c r="B977" s="1"/>
      <c r="C977" s="1"/>
      <c r="D977" s="1"/>
      <c r="E977" s="1"/>
      <c r="F977" s="1"/>
      <c r="G977" s="1"/>
      <c r="H977" s="1"/>
      <c r="I977" s="1"/>
    </row>
    <row r="978" spans="2:9" ht="15.75" customHeight="1" x14ac:dyDescent="0.25">
      <c r="B978" s="1"/>
      <c r="C978" s="1"/>
      <c r="D978" s="1"/>
      <c r="E978" s="1"/>
      <c r="F978" s="1"/>
      <c r="G978" s="1"/>
      <c r="H978" s="1"/>
      <c r="I978" s="1"/>
    </row>
    <row r="979" spans="2:9" ht="15.75" customHeight="1" x14ac:dyDescent="0.25">
      <c r="B979" s="1"/>
      <c r="C979" s="1"/>
      <c r="D979" s="1"/>
      <c r="E979" s="1"/>
      <c r="F979" s="1"/>
      <c r="G979" s="1"/>
      <c r="H979" s="1"/>
      <c r="I979" s="1"/>
    </row>
    <row r="980" spans="2:9" ht="15.75" customHeight="1" x14ac:dyDescent="0.25">
      <c r="B980" s="1"/>
      <c r="C980" s="1"/>
      <c r="D980" s="1"/>
      <c r="E980" s="1"/>
      <c r="F980" s="1"/>
      <c r="G980" s="1"/>
      <c r="H980" s="1"/>
      <c r="I980" s="1"/>
    </row>
    <row r="981" spans="2:9" ht="15.75" customHeight="1" x14ac:dyDescent="0.25">
      <c r="B981" s="1"/>
      <c r="C981" s="1"/>
      <c r="D981" s="1"/>
      <c r="E981" s="1"/>
      <c r="F981" s="1"/>
      <c r="G981" s="1"/>
      <c r="H981" s="1"/>
      <c r="I981" s="1"/>
    </row>
    <row r="982" spans="2:9" ht="15.75" customHeight="1" x14ac:dyDescent="0.25">
      <c r="B982" s="1"/>
      <c r="C982" s="1"/>
      <c r="D982" s="1"/>
      <c r="E982" s="1"/>
      <c r="F982" s="1"/>
      <c r="G982" s="1"/>
      <c r="H982" s="1"/>
      <c r="I982" s="1"/>
    </row>
    <row r="983" spans="2:9" ht="15.75" customHeight="1" x14ac:dyDescent="0.25">
      <c r="B983" s="1"/>
      <c r="C983" s="1"/>
      <c r="D983" s="1"/>
      <c r="E983" s="1"/>
      <c r="F983" s="1"/>
      <c r="G983" s="1"/>
      <c r="H983" s="1"/>
      <c r="I983" s="1"/>
    </row>
    <row r="984" spans="2:9" ht="15.75" customHeight="1" x14ac:dyDescent="0.25">
      <c r="B984" s="1"/>
      <c r="C984" s="1"/>
      <c r="D984" s="1"/>
      <c r="E984" s="1"/>
      <c r="F984" s="1"/>
      <c r="G984" s="1"/>
      <c r="H984" s="1"/>
      <c r="I984" s="1"/>
    </row>
    <row r="985" spans="2:9" ht="15.75" customHeight="1" x14ac:dyDescent="0.25">
      <c r="B985" s="1"/>
      <c r="C985" s="1"/>
      <c r="D985" s="1"/>
      <c r="E985" s="1"/>
      <c r="F985" s="1"/>
      <c r="G985" s="1"/>
      <c r="H985" s="1"/>
      <c r="I985" s="1"/>
    </row>
    <row r="986" spans="2:9" ht="15.75" customHeight="1" x14ac:dyDescent="0.25">
      <c r="B986" s="1"/>
      <c r="C986" s="1"/>
      <c r="D986" s="1"/>
      <c r="E986" s="1"/>
      <c r="F986" s="1"/>
      <c r="G986" s="1"/>
      <c r="H986" s="1"/>
      <c r="I986" s="1"/>
    </row>
    <row r="987" spans="2:9" ht="15.75" customHeight="1" x14ac:dyDescent="0.25">
      <c r="B987" s="1"/>
      <c r="C987" s="1"/>
      <c r="D987" s="1"/>
      <c r="E987" s="1"/>
      <c r="F987" s="1"/>
      <c r="G987" s="1"/>
      <c r="H987" s="1"/>
      <c r="I987" s="1"/>
    </row>
    <row r="988" spans="2:9" ht="15.75" customHeight="1" x14ac:dyDescent="0.25">
      <c r="B988" s="1"/>
      <c r="C988" s="1"/>
      <c r="D988" s="1"/>
      <c r="E988" s="1"/>
      <c r="F988" s="1"/>
      <c r="G988" s="1"/>
      <c r="H988" s="1"/>
      <c r="I988" s="1"/>
    </row>
    <row r="989" spans="2:9" ht="15.75" customHeight="1" x14ac:dyDescent="0.25">
      <c r="B989" s="1"/>
      <c r="C989" s="1"/>
      <c r="D989" s="1"/>
      <c r="E989" s="1"/>
      <c r="F989" s="1"/>
      <c r="G989" s="1"/>
      <c r="H989" s="1"/>
      <c r="I989" s="1"/>
    </row>
    <row r="990" spans="2:9" ht="15.75" customHeight="1" x14ac:dyDescent="0.25">
      <c r="B990" s="1"/>
      <c r="C990" s="1"/>
      <c r="D990" s="1"/>
      <c r="E990" s="1"/>
      <c r="F990" s="1"/>
      <c r="G990" s="1"/>
      <c r="H990" s="1"/>
      <c r="I990" s="1"/>
    </row>
    <row r="991" spans="2:9" ht="15.75" customHeight="1" x14ac:dyDescent="0.25">
      <c r="B991" s="1"/>
      <c r="C991" s="1"/>
      <c r="D991" s="1"/>
      <c r="E991" s="1"/>
      <c r="F991" s="1"/>
      <c r="G991" s="1"/>
      <c r="H991" s="1"/>
      <c r="I991" s="1"/>
    </row>
    <row r="992" spans="2:9" ht="15.75" customHeight="1" x14ac:dyDescent="0.25">
      <c r="B992" s="1"/>
      <c r="C992" s="1"/>
      <c r="D992" s="1"/>
      <c r="E992" s="1"/>
      <c r="F992" s="1"/>
      <c r="G992" s="1"/>
      <c r="H992" s="1"/>
      <c r="I992" s="1"/>
    </row>
    <row r="993" spans="2:9" ht="15.75" customHeight="1" x14ac:dyDescent="0.25">
      <c r="B993" s="1"/>
      <c r="C993" s="1"/>
      <c r="D993" s="1"/>
      <c r="E993" s="1"/>
      <c r="F993" s="1"/>
      <c r="G993" s="1"/>
      <c r="H993" s="1"/>
      <c r="I993" s="1"/>
    </row>
    <row r="994" spans="2:9" ht="15.75" customHeight="1" x14ac:dyDescent="0.25">
      <c r="B994" s="1"/>
      <c r="C994" s="1"/>
      <c r="D994" s="1"/>
      <c r="E994" s="1"/>
      <c r="F994" s="1"/>
      <c r="G994" s="1"/>
      <c r="H994" s="1"/>
      <c r="I994" s="1"/>
    </row>
    <row r="995" spans="2:9" ht="15.75" customHeight="1" x14ac:dyDescent="0.25">
      <c r="B995" s="1"/>
      <c r="C995" s="1"/>
      <c r="D995" s="1"/>
      <c r="E995" s="1"/>
      <c r="F995" s="1"/>
      <c r="G995" s="1"/>
      <c r="H995" s="1"/>
      <c r="I995" s="1"/>
    </row>
    <row r="996" spans="2:9" ht="15.75" customHeight="1" x14ac:dyDescent="0.25">
      <c r="B996" s="1"/>
      <c r="C996" s="1"/>
      <c r="D996" s="1"/>
      <c r="E996" s="1"/>
      <c r="F996" s="1"/>
      <c r="G996" s="1"/>
      <c r="H996" s="1"/>
      <c r="I996" s="1"/>
    </row>
    <row r="997" spans="2:9" ht="15.75" customHeight="1" x14ac:dyDescent="0.25">
      <c r="B997" s="1"/>
      <c r="C997" s="1"/>
      <c r="D997" s="1"/>
      <c r="E997" s="1"/>
      <c r="F997" s="1"/>
      <c r="G997" s="1"/>
      <c r="H997" s="1"/>
      <c r="I997" s="1"/>
    </row>
    <row r="998" spans="2:9" ht="15.75" customHeight="1" x14ac:dyDescent="0.25">
      <c r="B998" s="1"/>
      <c r="C998" s="1"/>
      <c r="D998" s="1"/>
      <c r="E998" s="1"/>
      <c r="F998" s="1"/>
      <c r="G998" s="1"/>
      <c r="H998" s="1"/>
      <c r="I998" s="1"/>
    </row>
    <row r="999" spans="2:9" ht="15.75" customHeight="1" x14ac:dyDescent="0.25">
      <c r="B999" s="1"/>
      <c r="C999" s="1"/>
      <c r="D999" s="1"/>
      <c r="E999" s="1"/>
      <c r="F999" s="1"/>
      <c r="G999" s="1"/>
      <c r="H999" s="1"/>
      <c r="I999" s="1"/>
    </row>
    <row r="1000" spans="2:9" ht="15.75" customHeight="1" x14ac:dyDescent="0.25">
      <c r="B1000" s="1"/>
      <c r="C1000" s="1"/>
      <c r="D1000" s="1"/>
      <c r="E1000" s="1"/>
      <c r="F1000" s="1"/>
      <c r="G1000" s="1"/>
      <c r="H1000" s="1"/>
      <c r="I1000" s="1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000"/>
  <sheetViews>
    <sheetView topLeftCell="A530" workbookViewId="0">
      <selection activeCell="C542" sqref="C542"/>
    </sheetView>
  </sheetViews>
  <sheetFormatPr defaultColWidth="14.42578125" defaultRowHeight="15" customHeight="1" x14ac:dyDescent="0.25"/>
  <cols>
    <col min="1" max="1" width="10.7109375" customWidth="1"/>
    <col min="2" max="2" width="10.28515625" customWidth="1"/>
    <col min="3" max="3" width="73.42578125" customWidth="1"/>
    <col min="4" max="4" width="6.140625" customWidth="1"/>
    <col min="5" max="5" width="8.28515625" customWidth="1"/>
    <col min="6" max="6" width="10" customWidth="1"/>
    <col min="7" max="7" width="14.28515625" customWidth="1"/>
    <col min="8" max="8" width="8.7109375" customWidth="1"/>
    <col min="9" max="9" width="13.28515625" customWidth="1"/>
    <col min="10" max="26" width="10.7109375" customWidth="1"/>
  </cols>
  <sheetData>
    <row r="1" spans="2:9" x14ac:dyDescent="0.25">
      <c r="B1" s="1"/>
      <c r="C1" s="1"/>
      <c r="D1" s="1"/>
      <c r="E1" s="1"/>
      <c r="F1" s="1"/>
      <c r="G1" s="2">
        <f>0+G3+0+0+0+0+0+0+0</f>
        <v>7243608.5700000003</v>
      </c>
      <c r="H1" s="1"/>
      <c r="I1" s="2">
        <f>0+I3+0+0+0+0+0+0+0</f>
        <v>1054070.46</v>
      </c>
    </row>
    <row r="2" spans="2:9" x14ac:dyDescent="0.25">
      <c r="B2" s="3" t="s">
        <v>3</v>
      </c>
      <c r="C2" s="3" t="s">
        <v>4</v>
      </c>
      <c r="D2" s="3" t="s">
        <v>5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</row>
    <row r="3" spans="2:9" x14ac:dyDescent="0.25">
      <c r="B3" s="2" t="s">
        <v>14</v>
      </c>
      <c r="C3" s="2" t="s">
        <v>452</v>
      </c>
      <c r="D3" s="1"/>
      <c r="E3" s="1"/>
      <c r="F3" s="1"/>
      <c r="G3" s="2">
        <v>7243608.5700000003</v>
      </c>
      <c r="H3" s="1"/>
      <c r="I3" s="2">
        <v>1054070.46</v>
      </c>
    </row>
    <row r="4" spans="2:9" x14ac:dyDescent="0.25">
      <c r="B4" s="5" t="s">
        <v>16</v>
      </c>
      <c r="C4" s="5" t="s">
        <v>453</v>
      </c>
      <c r="D4" s="1"/>
      <c r="E4" s="1"/>
      <c r="F4" s="1"/>
      <c r="G4" s="5">
        <v>1608617.39</v>
      </c>
      <c r="H4" s="1"/>
      <c r="I4" s="5">
        <v>21315.97</v>
      </c>
    </row>
    <row r="5" spans="2:9" x14ac:dyDescent="0.25">
      <c r="B5" s="7" t="s">
        <v>18</v>
      </c>
      <c r="C5" s="7" t="s">
        <v>454</v>
      </c>
      <c r="D5" s="1"/>
      <c r="E5" s="1"/>
      <c r="F5" s="1"/>
      <c r="G5" s="7">
        <v>184023.88</v>
      </c>
      <c r="H5" s="1"/>
      <c r="I5" s="7">
        <v>2253.5</v>
      </c>
    </row>
    <row r="6" spans="2:9" x14ac:dyDescent="0.25">
      <c r="B6" s="6" t="s">
        <v>455</v>
      </c>
      <c r="C6" s="6" t="s">
        <v>456</v>
      </c>
      <c r="D6" s="6" t="s">
        <v>457</v>
      </c>
      <c r="E6" s="6">
        <v>40.229999999999997</v>
      </c>
      <c r="F6" s="6">
        <v>89.61</v>
      </c>
      <c r="G6" s="6">
        <v>3605.01</v>
      </c>
      <c r="H6" s="6">
        <v>1.63</v>
      </c>
      <c r="I6" s="6">
        <v>65.569999999999993</v>
      </c>
    </row>
    <row r="7" spans="2:9" x14ac:dyDescent="0.25">
      <c r="B7" s="6" t="s">
        <v>458</v>
      </c>
      <c r="C7" s="6" t="s">
        <v>459</v>
      </c>
      <c r="D7" s="6" t="s">
        <v>457</v>
      </c>
      <c r="E7" s="6">
        <v>503.38</v>
      </c>
      <c r="F7" s="6">
        <v>97.85</v>
      </c>
      <c r="G7" s="6">
        <v>49255.73</v>
      </c>
      <c r="H7" s="6">
        <v>1.63</v>
      </c>
      <c r="I7" s="6">
        <v>820.51</v>
      </c>
    </row>
    <row r="8" spans="2:9" x14ac:dyDescent="0.25">
      <c r="B8" s="6" t="s">
        <v>460</v>
      </c>
      <c r="C8" s="6" t="s">
        <v>461</v>
      </c>
      <c r="D8" s="6" t="s">
        <v>457</v>
      </c>
      <c r="E8" s="6">
        <v>197.35</v>
      </c>
      <c r="F8" s="6">
        <v>112.53</v>
      </c>
      <c r="G8" s="6">
        <v>22207.8</v>
      </c>
      <c r="H8" s="6">
        <v>1.63</v>
      </c>
      <c r="I8" s="6">
        <v>321.68</v>
      </c>
    </row>
    <row r="9" spans="2:9" x14ac:dyDescent="0.25">
      <c r="B9" s="6" t="s">
        <v>462</v>
      </c>
      <c r="C9" s="6" t="s">
        <v>463</v>
      </c>
      <c r="D9" s="6" t="s">
        <v>457</v>
      </c>
      <c r="E9" s="6">
        <v>212.12</v>
      </c>
      <c r="F9" s="6">
        <v>107.12</v>
      </c>
      <c r="G9" s="6">
        <v>22722.29</v>
      </c>
      <c r="H9" s="6">
        <v>1.63</v>
      </c>
      <c r="I9" s="6">
        <v>345.76</v>
      </c>
    </row>
    <row r="10" spans="2:9" x14ac:dyDescent="0.25">
      <c r="B10" s="6" t="s">
        <v>464</v>
      </c>
      <c r="C10" s="6" t="s">
        <v>465</v>
      </c>
      <c r="D10" s="6" t="s">
        <v>457</v>
      </c>
      <c r="E10" s="6">
        <v>162.04</v>
      </c>
      <c r="F10" s="6">
        <v>123.19</v>
      </c>
      <c r="G10" s="6">
        <v>19961.71</v>
      </c>
      <c r="H10" s="6">
        <v>1.63</v>
      </c>
      <c r="I10" s="6">
        <v>264.13</v>
      </c>
    </row>
    <row r="11" spans="2:9" x14ac:dyDescent="0.25">
      <c r="B11" s="6" t="s">
        <v>466</v>
      </c>
      <c r="C11" s="6" t="s">
        <v>467</v>
      </c>
      <c r="D11" s="6" t="s">
        <v>457</v>
      </c>
      <c r="E11" s="6">
        <v>219.4</v>
      </c>
      <c r="F11" s="6">
        <v>111.24</v>
      </c>
      <c r="G11" s="6">
        <v>24406.06</v>
      </c>
      <c r="H11" s="6">
        <v>1.63</v>
      </c>
      <c r="I11" s="6">
        <v>357.62</v>
      </c>
    </row>
    <row r="12" spans="2:9" x14ac:dyDescent="0.25">
      <c r="B12" s="6" t="s">
        <v>468</v>
      </c>
      <c r="C12" s="6" t="s">
        <v>469</v>
      </c>
      <c r="D12" s="6" t="s">
        <v>457</v>
      </c>
      <c r="E12" s="6">
        <v>37.549999999999997</v>
      </c>
      <c r="F12" s="6">
        <v>127.93</v>
      </c>
      <c r="G12" s="6">
        <v>4803.7700000000004</v>
      </c>
      <c r="H12" s="6">
        <v>1.63</v>
      </c>
      <c r="I12" s="6">
        <v>61.21</v>
      </c>
    </row>
    <row r="13" spans="2:9" x14ac:dyDescent="0.25">
      <c r="B13" s="6" t="s">
        <v>470</v>
      </c>
      <c r="C13" s="6" t="s">
        <v>471</v>
      </c>
      <c r="D13" s="6" t="s">
        <v>457</v>
      </c>
      <c r="E13" s="6">
        <v>10.44</v>
      </c>
      <c r="F13" s="6">
        <v>195.7</v>
      </c>
      <c r="G13" s="6">
        <v>2043.11</v>
      </c>
      <c r="H13" s="6">
        <v>1.63</v>
      </c>
      <c r="I13" s="6">
        <v>17.02</v>
      </c>
    </row>
    <row r="14" spans="2:9" x14ac:dyDescent="0.25">
      <c r="B14" s="6" t="s">
        <v>472</v>
      </c>
      <c r="C14" s="6" t="s">
        <v>473</v>
      </c>
      <c r="D14" s="6" t="s">
        <v>474</v>
      </c>
      <c r="E14" s="6">
        <v>156.82</v>
      </c>
      <c r="F14" s="6">
        <v>120</v>
      </c>
      <c r="G14" s="6">
        <v>18818.400000000001</v>
      </c>
      <c r="H14" s="6">
        <v>0</v>
      </c>
      <c r="I14" s="6">
        <v>0</v>
      </c>
    </row>
    <row r="15" spans="2:9" x14ac:dyDescent="0.25">
      <c r="B15" s="6" t="s">
        <v>475</v>
      </c>
      <c r="C15" s="6" t="s">
        <v>476</v>
      </c>
      <c r="D15" s="6" t="s">
        <v>112</v>
      </c>
      <c r="E15" s="6">
        <v>20</v>
      </c>
      <c r="F15" s="6">
        <v>810</v>
      </c>
      <c r="G15" s="6">
        <v>16200</v>
      </c>
      <c r="H15" s="6">
        <v>0</v>
      </c>
      <c r="I15" s="6">
        <v>0</v>
      </c>
    </row>
    <row r="16" spans="2:9" x14ac:dyDescent="0.25">
      <c r="B16" s="7" t="s">
        <v>21</v>
      </c>
      <c r="C16" s="7" t="s">
        <v>477</v>
      </c>
      <c r="D16" s="1"/>
      <c r="E16" s="1"/>
      <c r="F16" s="1"/>
      <c r="G16" s="7">
        <v>1353734.17</v>
      </c>
      <c r="H16" s="1"/>
      <c r="I16" s="7">
        <v>19062.47</v>
      </c>
    </row>
    <row r="17" spans="2:9" x14ac:dyDescent="0.25">
      <c r="B17" s="6" t="s">
        <v>145</v>
      </c>
      <c r="C17" s="6" t="s">
        <v>456</v>
      </c>
      <c r="D17" s="6" t="s">
        <v>457</v>
      </c>
      <c r="E17" s="6">
        <v>442.35</v>
      </c>
      <c r="F17" s="6">
        <v>89.61</v>
      </c>
      <c r="G17" s="6">
        <v>39638.980000000003</v>
      </c>
      <c r="H17" s="6">
        <v>1.63</v>
      </c>
      <c r="I17" s="6">
        <v>721.03</v>
      </c>
    </row>
    <row r="18" spans="2:9" x14ac:dyDescent="0.25">
      <c r="B18" s="6" t="s">
        <v>478</v>
      </c>
      <c r="C18" s="6" t="s">
        <v>459</v>
      </c>
      <c r="D18" s="6" t="s">
        <v>457</v>
      </c>
      <c r="E18" s="6">
        <v>4873.2</v>
      </c>
      <c r="F18" s="6">
        <v>97.85</v>
      </c>
      <c r="G18" s="6">
        <v>476842.62</v>
      </c>
      <c r="H18" s="6">
        <v>1.63</v>
      </c>
      <c r="I18" s="6">
        <v>7943.32</v>
      </c>
    </row>
    <row r="19" spans="2:9" x14ac:dyDescent="0.25">
      <c r="B19" s="6" t="s">
        <v>479</v>
      </c>
      <c r="C19" s="6" t="s">
        <v>463</v>
      </c>
      <c r="D19" s="6" t="s">
        <v>457</v>
      </c>
      <c r="E19" s="6">
        <v>4007.73</v>
      </c>
      <c r="F19" s="6">
        <v>107.12</v>
      </c>
      <c r="G19" s="6">
        <v>429308.04</v>
      </c>
      <c r="H19" s="6">
        <v>1.63</v>
      </c>
      <c r="I19" s="6">
        <v>6532.6</v>
      </c>
    </row>
    <row r="20" spans="2:9" x14ac:dyDescent="0.25">
      <c r="B20" s="6" t="s">
        <v>480</v>
      </c>
      <c r="C20" s="6" t="s">
        <v>467</v>
      </c>
      <c r="D20" s="6" t="s">
        <v>457</v>
      </c>
      <c r="E20" s="6">
        <v>2330.5</v>
      </c>
      <c r="F20" s="6">
        <v>111.24</v>
      </c>
      <c r="G20" s="6">
        <v>259244.82</v>
      </c>
      <c r="H20" s="6">
        <v>1.63</v>
      </c>
      <c r="I20" s="6">
        <v>3798.72</v>
      </c>
    </row>
    <row r="21" spans="2:9" ht="15.75" customHeight="1" x14ac:dyDescent="0.25">
      <c r="B21" s="6" t="s">
        <v>481</v>
      </c>
      <c r="C21" s="6" t="s">
        <v>471</v>
      </c>
      <c r="D21" s="6" t="s">
        <v>457</v>
      </c>
      <c r="E21" s="6">
        <v>10.38</v>
      </c>
      <c r="F21" s="6">
        <v>195.7</v>
      </c>
      <c r="G21" s="6">
        <v>2031.37</v>
      </c>
      <c r="H21" s="6">
        <v>1.63</v>
      </c>
      <c r="I21" s="6">
        <v>16.920000000000002</v>
      </c>
    </row>
    <row r="22" spans="2:9" ht="15.75" customHeight="1" x14ac:dyDescent="0.25">
      <c r="B22" s="6" t="s">
        <v>482</v>
      </c>
      <c r="C22" s="6" t="s">
        <v>483</v>
      </c>
      <c r="D22" s="6" t="s">
        <v>474</v>
      </c>
      <c r="E22" s="6">
        <v>670.45</v>
      </c>
      <c r="F22" s="6">
        <v>120</v>
      </c>
      <c r="G22" s="6">
        <v>80454</v>
      </c>
      <c r="H22" s="6">
        <v>0</v>
      </c>
      <c r="I22" s="6">
        <v>0</v>
      </c>
    </row>
    <row r="23" spans="2:9" ht="15.75" customHeight="1" x14ac:dyDescent="0.25">
      <c r="B23" s="6" t="s">
        <v>484</v>
      </c>
      <c r="C23" s="6" t="s">
        <v>476</v>
      </c>
      <c r="D23" s="6" t="s">
        <v>485</v>
      </c>
      <c r="E23" s="6">
        <v>40</v>
      </c>
      <c r="F23" s="6">
        <v>810</v>
      </c>
      <c r="G23" s="6">
        <v>32400</v>
      </c>
      <c r="H23" s="6">
        <v>0</v>
      </c>
      <c r="I23" s="6">
        <v>0</v>
      </c>
    </row>
    <row r="24" spans="2:9" ht="15.75" customHeight="1" x14ac:dyDescent="0.25">
      <c r="B24" s="6" t="s">
        <v>486</v>
      </c>
      <c r="C24" s="6" t="s">
        <v>487</v>
      </c>
      <c r="D24" s="6" t="s">
        <v>105</v>
      </c>
      <c r="E24" s="6">
        <v>8.76</v>
      </c>
      <c r="F24" s="6">
        <v>120</v>
      </c>
      <c r="G24" s="6">
        <v>1051.2</v>
      </c>
      <c r="H24" s="6">
        <v>0</v>
      </c>
      <c r="I24" s="6">
        <v>0</v>
      </c>
    </row>
    <row r="25" spans="2:9" ht="15.75" customHeight="1" x14ac:dyDescent="0.25">
      <c r="B25" s="6" t="s">
        <v>488</v>
      </c>
      <c r="C25" s="6" t="s">
        <v>489</v>
      </c>
      <c r="D25" s="6" t="s">
        <v>105</v>
      </c>
      <c r="E25" s="6">
        <v>54.66</v>
      </c>
      <c r="F25" s="6">
        <v>120</v>
      </c>
      <c r="G25" s="6">
        <v>6559.2</v>
      </c>
      <c r="H25" s="6">
        <v>0</v>
      </c>
      <c r="I25" s="6">
        <v>0</v>
      </c>
    </row>
    <row r="26" spans="2:9" ht="15.75" customHeight="1" x14ac:dyDescent="0.25">
      <c r="B26" s="6" t="s">
        <v>490</v>
      </c>
      <c r="C26" s="6" t="s">
        <v>491</v>
      </c>
      <c r="D26" s="6" t="s">
        <v>105</v>
      </c>
      <c r="E26" s="6">
        <v>190</v>
      </c>
      <c r="F26" s="6">
        <v>120</v>
      </c>
      <c r="G26" s="6">
        <v>22800</v>
      </c>
      <c r="H26" s="6">
        <v>0</v>
      </c>
      <c r="I26" s="6">
        <v>0</v>
      </c>
    </row>
    <row r="27" spans="2:9" ht="15.75" customHeight="1" x14ac:dyDescent="0.25">
      <c r="B27" s="6" t="s">
        <v>492</v>
      </c>
      <c r="C27" s="6" t="s">
        <v>493</v>
      </c>
      <c r="D27" s="6" t="s">
        <v>457</v>
      </c>
      <c r="E27" s="6">
        <v>30.6</v>
      </c>
      <c r="F27" s="6">
        <v>111.24</v>
      </c>
      <c r="G27" s="6">
        <v>3403.94</v>
      </c>
      <c r="H27" s="6">
        <v>1.63</v>
      </c>
      <c r="I27" s="6">
        <v>49.88</v>
      </c>
    </row>
    <row r="28" spans="2:9" ht="15.75" customHeight="1" x14ac:dyDescent="0.25">
      <c r="B28" s="7" t="s">
        <v>23</v>
      </c>
      <c r="C28" s="7" t="s">
        <v>494</v>
      </c>
      <c r="D28" s="1"/>
      <c r="E28" s="1"/>
      <c r="F28" s="1"/>
      <c r="G28" s="7">
        <v>70859.34</v>
      </c>
      <c r="H28" s="1"/>
      <c r="I28" s="7">
        <v>0</v>
      </c>
    </row>
    <row r="29" spans="2:9" ht="15.75" customHeight="1" x14ac:dyDescent="0.25">
      <c r="B29" s="6" t="s">
        <v>495</v>
      </c>
      <c r="C29" s="6" t="s">
        <v>496</v>
      </c>
      <c r="D29" s="6" t="s">
        <v>474</v>
      </c>
      <c r="E29" s="6">
        <v>53.7</v>
      </c>
      <c r="F29" s="6">
        <v>100.46</v>
      </c>
      <c r="G29" s="6">
        <v>5394.7</v>
      </c>
      <c r="H29" s="6">
        <v>0</v>
      </c>
      <c r="I29" s="6">
        <v>0</v>
      </c>
    </row>
    <row r="30" spans="2:9" ht="15.75" customHeight="1" x14ac:dyDescent="0.25">
      <c r="B30" s="6" t="s">
        <v>497</v>
      </c>
      <c r="C30" s="6" t="s">
        <v>498</v>
      </c>
      <c r="D30" s="6" t="s">
        <v>474</v>
      </c>
      <c r="E30" s="6">
        <v>196.11</v>
      </c>
      <c r="F30" s="6">
        <v>90.89</v>
      </c>
      <c r="G30" s="6">
        <v>17824.439999999999</v>
      </c>
      <c r="H30" s="6">
        <v>0</v>
      </c>
      <c r="I30" s="6">
        <v>0</v>
      </c>
    </row>
    <row r="31" spans="2:9" ht="15.75" customHeight="1" x14ac:dyDescent="0.25">
      <c r="B31" s="6" t="s">
        <v>499</v>
      </c>
      <c r="C31" s="6" t="s">
        <v>500</v>
      </c>
      <c r="D31" s="6" t="s">
        <v>474</v>
      </c>
      <c r="E31" s="6">
        <v>316.20999999999998</v>
      </c>
      <c r="F31" s="6">
        <v>150.66</v>
      </c>
      <c r="G31" s="6">
        <v>47640.2</v>
      </c>
      <c r="H31" s="6">
        <v>0</v>
      </c>
      <c r="I31" s="6">
        <v>0</v>
      </c>
    </row>
    <row r="32" spans="2:9" ht="15.75" customHeight="1" x14ac:dyDescent="0.25">
      <c r="B32" s="5" t="s">
        <v>30</v>
      </c>
      <c r="C32" s="5" t="s">
        <v>501</v>
      </c>
      <c r="D32" s="1"/>
      <c r="E32" s="1"/>
      <c r="F32" s="1"/>
      <c r="G32" s="5">
        <v>431611.09</v>
      </c>
      <c r="H32" s="1"/>
      <c r="I32" s="5">
        <v>0</v>
      </c>
    </row>
    <row r="33" spans="2:9" ht="15.75" customHeight="1" x14ac:dyDescent="0.25">
      <c r="B33" s="7" t="s">
        <v>32</v>
      </c>
      <c r="C33" s="7" t="s">
        <v>454</v>
      </c>
      <c r="D33" s="1"/>
      <c r="E33" s="1"/>
      <c r="F33" s="1"/>
      <c r="G33" s="7">
        <v>85049.79</v>
      </c>
      <c r="H33" s="1"/>
      <c r="I33" s="7">
        <v>0</v>
      </c>
    </row>
    <row r="34" spans="2:9" ht="15.75" customHeight="1" x14ac:dyDescent="0.25">
      <c r="B34" s="6" t="s">
        <v>149</v>
      </c>
      <c r="C34" s="6" t="s">
        <v>502</v>
      </c>
      <c r="D34" s="6" t="s">
        <v>457</v>
      </c>
      <c r="E34" s="6">
        <v>61.42</v>
      </c>
      <c r="F34" s="6">
        <v>21.5</v>
      </c>
      <c r="G34" s="6">
        <v>1320.53</v>
      </c>
      <c r="H34" s="6">
        <v>0</v>
      </c>
      <c r="I34" s="6">
        <v>0</v>
      </c>
    </row>
    <row r="35" spans="2:9" ht="15.75" customHeight="1" x14ac:dyDescent="0.25">
      <c r="B35" s="6" t="s">
        <v>151</v>
      </c>
      <c r="C35" s="6" t="s">
        <v>503</v>
      </c>
      <c r="D35" s="6" t="s">
        <v>457</v>
      </c>
      <c r="E35" s="6">
        <v>453.72</v>
      </c>
      <c r="F35" s="6">
        <v>19.27</v>
      </c>
      <c r="G35" s="6">
        <v>8743.18</v>
      </c>
      <c r="H35" s="6">
        <v>0</v>
      </c>
      <c r="I35" s="6">
        <v>0</v>
      </c>
    </row>
    <row r="36" spans="2:9" ht="15.75" customHeight="1" x14ac:dyDescent="0.25">
      <c r="B36" s="6" t="s">
        <v>153</v>
      </c>
      <c r="C36" s="6" t="s">
        <v>504</v>
      </c>
      <c r="D36" s="6" t="s">
        <v>457</v>
      </c>
      <c r="E36" s="6">
        <v>2528.59</v>
      </c>
      <c r="F36" s="6">
        <v>19.27</v>
      </c>
      <c r="G36" s="6">
        <v>48725.93</v>
      </c>
      <c r="H36" s="6">
        <v>0</v>
      </c>
      <c r="I36" s="6">
        <v>0</v>
      </c>
    </row>
    <row r="37" spans="2:9" ht="15.75" customHeight="1" x14ac:dyDescent="0.25">
      <c r="B37" s="6" t="s">
        <v>156</v>
      </c>
      <c r="C37" s="6" t="s">
        <v>505</v>
      </c>
      <c r="D37" s="6" t="s">
        <v>457</v>
      </c>
      <c r="E37" s="6">
        <v>1069.6600000000001</v>
      </c>
      <c r="F37" s="6">
        <v>24.55</v>
      </c>
      <c r="G37" s="6">
        <v>26260.15</v>
      </c>
      <c r="H37" s="6">
        <v>0</v>
      </c>
      <c r="I37" s="6">
        <v>0</v>
      </c>
    </row>
    <row r="38" spans="2:9" ht="15.75" customHeight="1" x14ac:dyDescent="0.25">
      <c r="B38" s="7" t="s">
        <v>35</v>
      </c>
      <c r="C38" s="7" t="s">
        <v>477</v>
      </c>
      <c r="D38" s="1"/>
      <c r="E38" s="1"/>
      <c r="F38" s="1"/>
      <c r="G38" s="7">
        <v>116227.35</v>
      </c>
      <c r="H38" s="1"/>
      <c r="I38" s="7">
        <v>0</v>
      </c>
    </row>
    <row r="39" spans="2:9" ht="15.75" customHeight="1" x14ac:dyDescent="0.25">
      <c r="B39" s="6" t="s">
        <v>159</v>
      </c>
      <c r="C39" s="6" t="s">
        <v>506</v>
      </c>
      <c r="D39" s="6" t="s">
        <v>457</v>
      </c>
      <c r="E39" s="6">
        <v>2733.69</v>
      </c>
      <c r="F39" s="6">
        <v>40.090000000000003</v>
      </c>
      <c r="G39" s="6">
        <v>109593.63</v>
      </c>
      <c r="H39" s="6">
        <v>0</v>
      </c>
      <c r="I39" s="6">
        <v>0</v>
      </c>
    </row>
    <row r="40" spans="2:9" ht="15.75" customHeight="1" x14ac:dyDescent="0.25">
      <c r="B40" s="6" t="s">
        <v>161</v>
      </c>
      <c r="C40" s="6" t="s">
        <v>507</v>
      </c>
      <c r="D40" s="6" t="s">
        <v>457</v>
      </c>
      <c r="E40" s="6">
        <v>128.81</v>
      </c>
      <c r="F40" s="6">
        <v>51.5</v>
      </c>
      <c r="G40" s="6">
        <v>6633.72</v>
      </c>
      <c r="H40" s="6">
        <v>0</v>
      </c>
      <c r="I40" s="6">
        <v>0</v>
      </c>
    </row>
    <row r="41" spans="2:9" ht="15.75" customHeight="1" x14ac:dyDescent="0.25">
      <c r="B41" s="7" t="s">
        <v>37</v>
      </c>
      <c r="C41" s="7" t="s">
        <v>508</v>
      </c>
      <c r="D41" s="1"/>
      <c r="E41" s="1"/>
      <c r="F41" s="1"/>
      <c r="G41" s="7">
        <v>206129.37</v>
      </c>
      <c r="H41" s="1"/>
      <c r="I41" s="7">
        <v>0</v>
      </c>
    </row>
    <row r="42" spans="2:9" ht="15.75" customHeight="1" x14ac:dyDescent="0.25">
      <c r="B42" s="6" t="s">
        <v>167</v>
      </c>
      <c r="C42" s="6" t="s">
        <v>509</v>
      </c>
      <c r="D42" s="6" t="s">
        <v>457</v>
      </c>
      <c r="E42" s="6">
        <v>1181.1199999999999</v>
      </c>
      <c r="F42" s="6">
        <v>58.35</v>
      </c>
      <c r="G42" s="6">
        <v>68918.350000000006</v>
      </c>
      <c r="H42" s="6">
        <v>0</v>
      </c>
      <c r="I42" s="6">
        <v>0</v>
      </c>
    </row>
    <row r="43" spans="2:9" ht="15.75" customHeight="1" x14ac:dyDescent="0.25">
      <c r="B43" s="6" t="s">
        <v>168</v>
      </c>
      <c r="C43" s="6" t="s">
        <v>510</v>
      </c>
      <c r="D43" s="6" t="s">
        <v>457</v>
      </c>
      <c r="E43" s="6">
        <v>682.46</v>
      </c>
      <c r="F43" s="6">
        <v>58.35</v>
      </c>
      <c r="G43" s="6">
        <v>39821.54</v>
      </c>
      <c r="H43" s="6">
        <v>0</v>
      </c>
      <c r="I43" s="6">
        <v>0</v>
      </c>
    </row>
    <row r="44" spans="2:9" ht="15.75" customHeight="1" x14ac:dyDescent="0.25">
      <c r="B44" s="6" t="s">
        <v>169</v>
      </c>
      <c r="C44" s="6" t="s">
        <v>511</v>
      </c>
      <c r="D44" s="6" t="s">
        <v>474</v>
      </c>
      <c r="E44" s="6">
        <v>1366.81</v>
      </c>
      <c r="F44" s="6">
        <v>40.520000000000003</v>
      </c>
      <c r="G44" s="6">
        <v>55383.14</v>
      </c>
      <c r="H44" s="6">
        <v>0</v>
      </c>
      <c r="I44" s="6">
        <v>0</v>
      </c>
    </row>
    <row r="45" spans="2:9" ht="15.75" customHeight="1" x14ac:dyDescent="0.25">
      <c r="B45" s="6" t="s">
        <v>170</v>
      </c>
      <c r="C45" s="6" t="s">
        <v>512</v>
      </c>
      <c r="D45" s="6" t="s">
        <v>457</v>
      </c>
      <c r="E45" s="6">
        <v>626.01</v>
      </c>
      <c r="F45" s="6">
        <v>28.58</v>
      </c>
      <c r="G45" s="6">
        <v>17891.37</v>
      </c>
      <c r="H45" s="6">
        <v>0</v>
      </c>
      <c r="I45" s="6">
        <v>0</v>
      </c>
    </row>
    <row r="46" spans="2:9" ht="15.75" customHeight="1" x14ac:dyDescent="0.25">
      <c r="B46" s="6" t="s">
        <v>513</v>
      </c>
      <c r="C46" s="6" t="s">
        <v>514</v>
      </c>
      <c r="D46" s="6" t="s">
        <v>457</v>
      </c>
      <c r="E46" s="6">
        <v>160.44</v>
      </c>
      <c r="F46" s="6">
        <v>58.35</v>
      </c>
      <c r="G46" s="6">
        <v>9361.67</v>
      </c>
      <c r="H46" s="6">
        <v>0</v>
      </c>
      <c r="I46" s="6">
        <v>0</v>
      </c>
    </row>
    <row r="47" spans="2:9" ht="15.75" customHeight="1" x14ac:dyDescent="0.25">
      <c r="B47" s="6" t="s">
        <v>515</v>
      </c>
      <c r="C47" s="6" t="s">
        <v>516</v>
      </c>
      <c r="D47" s="6" t="s">
        <v>457</v>
      </c>
      <c r="E47" s="6">
        <v>41.25</v>
      </c>
      <c r="F47" s="6">
        <v>40.090000000000003</v>
      </c>
      <c r="G47" s="6">
        <v>1653.71</v>
      </c>
      <c r="H47" s="6">
        <v>0</v>
      </c>
      <c r="I47" s="6">
        <v>0</v>
      </c>
    </row>
    <row r="48" spans="2:9" ht="15.75" customHeight="1" x14ac:dyDescent="0.25">
      <c r="B48" s="6" t="s">
        <v>517</v>
      </c>
      <c r="C48" s="6" t="s">
        <v>518</v>
      </c>
      <c r="D48" s="6" t="s">
        <v>474</v>
      </c>
      <c r="E48" s="6">
        <v>1449.07</v>
      </c>
      <c r="F48" s="6">
        <v>9.0399999999999991</v>
      </c>
      <c r="G48" s="6">
        <v>13099.59</v>
      </c>
      <c r="H48" s="6">
        <v>0</v>
      </c>
      <c r="I48" s="6">
        <v>0</v>
      </c>
    </row>
    <row r="49" spans="2:9" ht="15.75" customHeight="1" x14ac:dyDescent="0.25">
      <c r="B49" s="7" t="s">
        <v>39</v>
      </c>
      <c r="C49" s="7" t="s">
        <v>519</v>
      </c>
      <c r="D49" s="1"/>
      <c r="E49" s="1"/>
      <c r="F49" s="1"/>
      <c r="G49" s="7">
        <v>12941.31</v>
      </c>
      <c r="H49" s="1"/>
      <c r="I49" s="7">
        <v>0</v>
      </c>
    </row>
    <row r="50" spans="2:9" ht="15.75" customHeight="1" x14ac:dyDescent="0.25">
      <c r="B50" s="6" t="s">
        <v>172</v>
      </c>
      <c r="C50" s="6" t="s">
        <v>520</v>
      </c>
      <c r="D50" s="6" t="s">
        <v>457</v>
      </c>
      <c r="E50" s="6">
        <v>599.69000000000005</v>
      </c>
      <c r="F50" s="6">
        <v>21.58</v>
      </c>
      <c r="G50" s="6">
        <v>12941.31</v>
      </c>
      <c r="H50" s="6">
        <v>0</v>
      </c>
      <c r="I50" s="6">
        <v>0</v>
      </c>
    </row>
    <row r="51" spans="2:9" ht="15.75" customHeight="1" x14ac:dyDescent="0.25">
      <c r="B51" s="7" t="s">
        <v>41</v>
      </c>
      <c r="C51" s="7" t="s">
        <v>521</v>
      </c>
      <c r="D51" s="1"/>
      <c r="E51" s="1"/>
      <c r="F51" s="1"/>
      <c r="G51" s="7">
        <v>11263.27</v>
      </c>
      <c r="H51" s="1"/>
      <c r="I51" s="7">
        <v>0</v>
      </c>
    </row>
    <row r="52" spans="2:9" ht="15.75" customHeight="1" x14ac:dyDescent="0.25">
      <c r="B52" s="6" t="s">
        <v>178</v>
      </c>
      <c r="C52" s="6" t="s">
        <v>522</v>
      </c>
      <c r="D52" s="6" t="s">
        <v>457</v>
      </c>
      <c r="E52" s="6">
        <v>392.7</v>
      </c>
      <c r="F52" s="6">
        <v>17.36</v>
      </c>
      <c r="G52" s="6">
        <v>6817.27</v>
      </c>
      <c r="H52" s="6">
        <v>0</v>
      </c>
      <c r="I52" s="6">
        <v>0</v>
      </c>
    </row>
    <row r="53" spans="2:9" ht="15.75" customHeight="1" x14ac:dyDescent="0.25">
      <c r="B53" s="6" t="s">
        <v>180</v>
      </c>
      <c r="C53" s="6" t="s">
        <v>523</v>
      </c>
      <c r="D53" s="6" t="s">
        <v>474</v>
      </c>
      <c r="E53" s="6">
        <v>889.2</v>
      </c>
      <c r="F53" s="6">
        <v>5</v>
      </c>
      <c r="G53" s="6">
        <v>4446</v>
      </c>
      <c r="H53" s="6">
        <v>0</v>
      </c>
      <c r="I53" s="6">
        <v>0</v>
      </c>
    </row>
    <row r="54" spans="2:9" ht="15.75" customHeight="1" x14ac:dyDescent="0.25">
      <c r="B54" s="5" t="s">
        <v>73</v>
      </c>
      <c r="C54" s="5" t="s">
        <v>524</v>
      </c>
      <c r="D54" s="1"/>
      <c r="E54" s="1"/>
      <c r="F54" s="1"/>
      <c r="G54" s="5">
        <v>112729.44</v>
      </c>
      <c r="H54" s="1"/>
      <c r="I54" s="5">
        <v>0</v>
      </c>
    </row>
    <row r="55" spans="2:9" ht="15.75" customHeight="1" x14ac:dyDescent="0.25">
      <c r="B55" s="6" t="s">
        <v>75</v>
      </c>
      <c r="C55" s="6" t="s">
        <v>525</v>
      </c>
      <c r="D55" s="6" t="s">
        <v>474</v>
      </c>
      <c r="E55" s="6">
        <v>3899.96</v>
      </c>
      <c r="F55" s="6">
        <v>18.61</v>
      </c>
      <c r="G55" s="6">
        <v>72578.259999999995</v>
      </c>
      <c r="H55" s="6">
        <v>0</v>
      </c>
      <c r="I55" s="6">
        <v>0</v>
      </c>
    </row>
    <row r="56" spans="2:9" ht="15.75" customHeight="1" x14ac:dyDescent="0.25">
      <c r="B56" s="6" t="s">
        <v>78</v>
      </c>
      <c r="C56" s="6" t="s">
        <v>526</v>
      </c>
      <c r="D56" s="6" t="s">
        <v>34</v>
      </c>
      <c r="E56" s="6">
        <v>571.55999999999995</v>
      </c>
      <c r="F56" s="6">
        <v>11.88</v>
      </c>
      <c r="G56" s="6">
        <v>6790.13</v>
      </c>
      <c r="H56" s="6">
        <v>0</v>
      </c>
      <c r="I56" s="6">
        <v>0</v>
      </c>
    </row>
    <row r="57" spans="2:9" ht="15.75" customHeight="1" x14ac:dyDescent="0.25">
      <c r="B57" s="6" t="s">
        <v>527</v>
      </c>
      <c r="C57" s="6" t="s">
        <v>528</v>
      </c>
      <c r="D57" s="6" t="s">
        <v>485</v>
      </c>
      <c r="E57" s="6">
        <v>23</v>
      </c>
      <c r="F57" s="6">
        <v>84</v>
      </c>
      <c r="G57" s="6">
        <v>1932</v>
      </c>
      <c r="H57" s="6">
        <v>0</v>
      </c>
      <c r="I57" s="6">
        <v>0</v>
      </c>
    </row>
    <row r="58" spans="2:9" ht="15.75" customHeight="1" x14ac:dyDescent="0.25">
      <c r="B58" s="6" t="s">
        <v>529</v>
      </c>
      <c r="C58" s="6" t="s">
        <v>530</v>
      </c>
      <c r="D58" s="6" t="s">
        <v>112</v>
      </c>
      <c r="E58" s="6">
        <v>63</v>
      </c>
      <c r="F58" s="6">
        <v>56.57</v>
      </c>
      <c r="G58" s="6">
        <v>3563.91</v>
      </c>
      <c r="H58" s="6">
        <v>0</v>
      </c>
      <c r="I58" s="6">
        <v>0</v>
      </c>
    </row>
    <row r="59" spans="2:9" ht="15.75" customHeight="1" x14ac:dyDescent="0.25">
      <c r="B59" s="6" t="s">
        <v>531</v>
      </c>
      <c r="C59" s="6" t="s">
        <v>532</v>
      </c>
      <c r="D59" s="6" t="s">
        <v>112</v>
      </c>
      <c r="E59" s="6">
        <v>43</v>
      </c>
      <c r="F59" s="6">
        <v>271.98</v>
      </c>
      <c r="G59" s="6">
        <v>11695.14</v>
      </c>
      <c r="H59" s="6">
        <v>0</v>
      </c>
      <c r="I59" s="6">
        <v>0</v>
      </c>
    </row>
    <row r="60" spans="2:9" ht="15.75" customHeight="1" x14ac:dyDescent="0.25">
      <c r="B60" s="6" t="s">
        <v>533</v>
      </c>
      <c r="C60" s="6" t="s">
        <v>534</v>
      </c>
      <c r="D60" s="6" t="s">
        <v>112</v>
      </c>
      <c r="E60" s="6">
        <v>245</v>
      </c>
      <c r="F60" s="6">
        <v>66</v>
      </c>
      <c r="G60" s="6">
        <v>16170</v>
      </c>
      <c r="H60" s="6">
        <v>0</v>
      </c>
      <c r="I60" s="6">
        <v>0</v>
      </c>
    </row>
    <row r="61" spans="2:9" ht="15.75" customHeight="1" x14ac:dyDescent="0.25">
      <c r="B61" s="5" t="s">
        <v>80</v>
      </c>
      <c r="C61" s="5" t="s">
        <v>535</v>
      </c>
      <c r="D61" s="1"/>
      <c r="E61" s="1"/>
      <c r="F61" s="1"/>
      <c r="G61" s="5">
        <v>253898.09</v>
      </c>
      <c r="H61" s="1"/>
      <c r="I61" s="5">
        <v>0</v>
      </c>
    </row>
    <row r="62" spans="2:9" ht="15.75" customHeight="1" x14ac:dyDescent="0.25">
      <c r="B62" s="7" t="s">
        <v>82</v>
      </c>
      <c r="C62" s="7" t="s">
        <v>536</v>
      </c>
      <c r="D62" s="1"/>
      <c r="E62" s="1"/>
      <c r="F62" s="1"/>
      <c r="G62" s="7">
        <v>32299.86</v>
      </c>
      <c r="H62" s="1"/>
      <c r="I62" s="7">
        <v>0</v>
      </c>
    </row>
    <row r="63" spans="2:9" ht="15.75" customHeight="1" x14ac:dyDescent="0.25">
      <c r="B63" s="6" t="s">
        <v>537</v>
      </c>
      <c r="C63" s="6" t="s">
        <v>538</v>
      </c>
      <c r="D63" s="6" t="s">
        <v>457</v>
      </c>
      <c r="E63" s="6">
        <v>401.44</v>
      </c>
      <c r="F63" s="6">
        <v>80.459999999999994</v>
      </c>
      <c r="G63" s="6">
        <v>32299.86</v>
      </c>
      <c r="H63" s="6">
        <v>0</v>
      </c>
      <c r="I63" s="6">
        <v>0</v>
      </c>
    </row>
    <row r="64" spans="2:9" ht="15.75" customHeight="1" x14ac:dyDescent="0.25">
      <c r="B64" s="7" t="s">
        <v>84</v>
      </c>
      <c r="C64" s="7" t="s">
        <v>454</v>
      </c>
      <c r="D64" s="1"/>
      <c r="E64" s="1"/>
      <c r="F64" s="1"/>
      <c r="G64" s="7">
        <v>24035.88</v>
      </c>
      <c r="H64" s="1"/>
      <c r="I64" s="7">
        <v>0</v>
      </c>
    </row>
    <row r="65" spans="2:9" ht="15.75" customHeight="1" x14ac:dyDescent="0.25">
      <c r="B65" s="6" t="s">
        <v>539</v>
      </c>
      <c r="C65" s="6" t="s">
        <v>540</v>
      </c>
      <c r="D65" s="6" t="s">
        <v>457</v>
      </c>
      <c r="E65" s="6">
        <v>839.43</v>
      </c>
      <c r="F65" s="6">
        <v>21.24</v>
      </c>
      <c r="G65" s="6">
        <v>17829.490000000002</v>
      </c>
      <c r="H65" s="6">
        <v>0</v>
      </c>
      <c r="I65" s="6">
        <v>0</v>
      </c>
    </row>
    <row r="66" spans="2:9" ht="15.75" customHeight="1" x14ac:dyDescent="0.25">
      <c r="B66" s="6" t="s">
        <v>541</v>
      </c>
      <c r="C66" s="6" t="s">
        <v>542</v>
      </c>
      <c r="D66" s="6" t="s">
        <v>457</v>
      </c>
      <c r="E66" s="6">
        <v>247.76</v>
      </c>
      <c r="F66" s="6">
        <v>25.05</v>
      </c>
      <c r="G66" s="6">
        <v>6206.39</v>
      </c>
      <c r="H66" s="6">
        <v>0</v>
      </c>
      <c r="I66" s="6">
        <v>0</v>
      </c>
    </row>
    <row r="67" spans="2:9" ht="15.75" customHeight="1" x14ac:dyDescent="0.25">
      <c r="B67" s="7" t="s">
        <v>86</v>
      </c>
      <c r="C67" s="7" t="s">
        <v>543</v>
      </c>
      <c r="D67" s="1"/>
      <c r="E67" s="1"/>
      <c r="F67" s="1"/>
      <c r="G67" s="7">
        <v>141032.26999999999</v>
      </c>
      <c r="H67" s="1"/>
      <c r="I67" s="7">
        <v>0</v>
      </c>
    </row>
    <row r="68" spans="2:9" ht="15.75" customHeight="1" x14ac:dyDescent="0.25">
      <c r="B68" s="6" t="s">
        <v>544</v>
      </c>
      <c r="C68" s="6" t="s">
        <v>545</v>
      </c>
      <c r="D68" s="6" t="s">
        <v>457</v>
      </c>
      <c r="E68" s="6">
        <v>5700.03</v>
      </c>
      <c r="F68" s="6">
        <v>7.84</v>
      </c>
      <c r="G68" s="6">
        <v>44688.24</v>
      </c>
      <c r="H68" s="6">
        <v>0</v>
      </c>
      <c r="I68" s="6">
        <v>0</v>
      </c>
    </row>
    <row r="69" spans="2:9" ht="15.75" customHeight="1" x14ac:dyDescent="0.25">
      <c r="B69" s="6" t="s">
        <v>546</v>
      </c>
      <c r="C69" s="6" t="s">
        <v>547</v>
      </c>
      <c r="D69" s="6" t="s">
        <v>457</v>
      </c>
      <c r="E69" s="6">
        <v>1993.58</v>
      </c>
      <c r="F69" s="6">
        <v>46.54</v>
      </c>
      <c r="G69" s="6">
        <v>92781.21</v>
      </c>
      <c r="H69" s="6">
        <v>0</v>
      </c>
      <c r="I69" s="6">
        <v>0</v>
      </c>
    </row>
    <row r="70" spans="2:9" ht="15.75" customHeight="1" x14ac:dyDescent="0.25">
      <c r="B70" s="6" t="s">
        <v>548</v>
      </c>
      <c r="C70" s="6" t="s">
        <v>549</v>
      </c>
      <c r="D70" s="6" t="s">
        <v>457</v>
      </c>
      <c r="E70" s="6">
        <v>69.599999999999994</v>
      </c>
      <c r="F70" s="6">
        <v>51.19</v>
      </c>
      <c r="G70" s="6">
        <v>3562.82</v>
      </c>
      <c r="H70" s="6">
        <v>0</v>
      </c>
      <c r="I70" s="6">
        <v>0</v>
      </c>
    </row>
    <row r="71" spans="2:9" ht="15.75" customHeight="1" x14ac:dyDescent="0.25">
      <c r="B71" s="7" t="s">
        <v>88</v>
      </c>
      <c r="C71" s="7" t="s">
        <v>298</v>
      </c>
      <c r="D71" s="1"/>
      <c r="E71" s="1"/>
      <c r="F71" s="1"/>
      <c r="G71" s="7">
        <v>33865.68</v>
      </c>
      <c r="H71" s="1"/>
      <c r="I71" s="7">
        <v>0</v>
      </c>
    </row>
    <row r="72" spans="2:9" ht="15.75" customHeight="1" x14ac:dyDescent="0.25">
      <c r="B72" s="6" t="s">
        <v>550</v>
      </c>
      <c r="C72" s="6" t="s">
        <v>551</v>
      </c>
      <c r="D72" s="6" t="s">
        <v>457</v>
      </c>
      <c r="E72" s="6">
        <v>790.7</v>
      </c>
      <c r="F72" s="6">
        <v>42.83</v>
      </c>
      <c r="G72" s="6">
        <v>33865.68</v>
      </c>
      <c r="H72" s="6">
        <v>0</v>
      </c>
      <c r="I72" s="6">
        <v>0</v>
      </c>
    </row>
    <row r="73" spans="2:9" ht="15.75" customHeight="1" x14ac:dyDescent="0.25">
      <c r="B73" s="7" t="s">
        <v>552</v>
      </c>
      <c r="C73" s="7" t="s">
        <v>553</v>
      </c>
      <c r="D73" s="1"/>
      <c r="E73" s="1"/>
      <c r="F73" s="1"/>
      <c r="G73" s="7">
        <v>22664.400000000001</v>
      </c>
      <c r="H73" s="1"/>
      <c r="I73" s="7">
        <v>0</v>
      </c>
    </row>
    <row r="74" spans="2:9" ht="15.75" customHeight="1" x14ac:dyDescent="0.25">
      <c r="B74" s="6" t="s">
        <v>554</v>
      </c>
      <c r="C74" s="6" t="s">
        <v>555</v>
      </c>
      <c r="D74" s="6" t="s">
        <v>457</v>
      </c>
      <c r="E74" s="6">
        <v>184.32</v>
      </c>
      <c r="F74" s="6">
        <v>120</v>
      </c>
      <c r="G74" s="6">
        <v>22118.400000000001</v>
      </c>
      <c r="H74" s="6">
        <v>0</v>
      </c>
      <c r="I74" s="6">
        <v>0</v>
      </c>
    </row>
    <row r="75" spans="2:9" ht="15.75" customHeight="1" x14ac:dyDescent="0.25">
      <c r="B75" s="6" t="s">
        <v>556</v>
      </c>
      <c r="C75" s="6" t="s">
        <v>557</v>
      </c>
      <c r="D75" s="6" t="s">
        <v>558</v>
      </c>
      <c r="E75" s="6">
        <v>4.55</v>
      </c>
      <c r="F75" s="6">
        <v>120</v>
      </c>
      <c r="G75" s="6">
        <v>546</v>
      </c>
      <c r="H75" s="6">
        <v>0</v>
      </c>
      <c r="I75" s="6">
        <v>0</v>
      </c>
    </row>
    <row r="76" spans="2:9" ht="15.75" customHeight="1" x14ac:dyDescent="0.25">
      <c r="B76" s="5" t="s">
        <v>90</v>
      </c>
      <c r="C76" s="5" t="s">
        <v>559</v>
      </c>
      <c r="D76" s="1"/>
      <c r="E76" s="1"/>
      <c r="F76" s="1"/>
      <c r="G76" s="5">
        <v>558565.06000000006</v>
      </c>
      <c r="H76" s="1"/>
      <c r="I76" s="5">
        <v>207766.86</v>
      </c>
    </row>
    <row r="77" spans="2:9" ht="15.75" customHeight="1" x14ac:dyDescent="0.25">
      <c r="B77" s="7" t="s">
        <v>92</v>
      </c>
      <c r="C77" s="7" t="s">
        <v>560</v>
      </c>
      <c r="D77" s="1"/>
      <c r="E77" s="1"/>
      <c r="F77" s="1"/>
      <c r="G77" s="7">
        <v>149000.14000000001</v>
      </c>
      <c r="H77" s="1"/>
      <c r="I77" s="7">
        <v>0</v>
      </c>
    </row>
    <row r="78" spans="2:9" ht="15.75" customHeight="1" x14ac:dyDescent="0.25">
      <c r="B78" s="6" t="s">
        <v>561</v>
      </c>
      <c r="C78" s="6" t="s">
        <v>562</v>
      </c>
      <c r="D78" s="6" t="s">
        <v>457</v>
      </c>
      <c r="E78" s="6">
        <v>595.20000000000005</v>
      </c>
      <c r="F78" s="6">
        <v>25.36</v>
      </c>
      <c r="G78" s="6">
        <v>15094.27</v>
      </c>
      <c r="H78" s="6">
        <v>0</v>
      </c>
      <c r="I78" s="6">
        <v>0</v>
      </c>
    </row>
    <row r="79" spans="2:9" ht="15.75" customHeight="1" x14ac:dyDescent="0.25">
      <c r="B79" s="6" t="s">
        <v>563</v>
      </c>
      <c r="C79" s="6" t="s">
        <v>564</v>
      </c>
      <c r="D79" s="6" t="s">
        <v>457</v>
      </c>
      <c r="E79" s="6">
        <v>5280.2</v>
      </c>
      <c r="F79" s="6">
        <v>25.36</v>
      </c>
      <c r="G79" s="6">
        <v>133905.87</v>
      </c>
      <c r="H79" s="6">
        <v>0</v>
      </c>
      <c r="I79" s="6">
        <v>0</v>
      </c>
    </row>
    <row r="80" spans="2:9" ht="15.75" customHeight="1" x14ac:dyDescent="0.25">
      <c r="B80" s="7" t="s">
        <v>94</v>
      </c>
      <c r="C80" s="7" t="s">
        <v>454</v>
      </c>
      <c r="D80" s="1"/>
      <c r="E80" s="1"/>
      <c r="F80" s="1"/>
      <c r="G80" s="7">
        <v>131135.37</v>
      </c>
      <c r="H80" s="1"/>
      <c r="I80" s="7">
        <v>0</v>
      </c>
    </row>
    <row r="81" spans="2:9" ht="15.75" customHeight="1" x14ac:dyDescent="0.25">
      <c r="B81" s="6" t="s">
        <v>565</v>
      </c>
      <c r="C81" s="6" t="s">
        <v>566</v>
      </c>
      <c r="D81" s="6" t="s">
        <v>457</v>
      </c>
      <c r="E81" s="6">
        <v>294.33</v>
      </c>
      <c r="F81" s="6">
        <v>80.459999999999994</v>
      </c>
      <c r="G81" s="6">
        <v>23681.79</v>
      </c>
      <c r="H81" s="6">
        <v>0</v>
      </c>
      <c r="I81" s="6">
        <v>0</v>
      </c>
    </row>
    <row r="82" spans="2:9" ht="15.75" customHeight="1" x14ac:dyDescent="0.25">
      <c r="B82" s="6" t="s">
        <v>567</v>
      </c>
      <c r="C82" s="6" t="s">
        <v>568</v>
      </c>
      <c r="D82" s="6" t="s">
        <v>457</v>
      </c>
      <c r="E82" s="6">
        <v>3444.21</v>
      </c>
      <c r="F82" s="6">
        <v>14.68</v>
      </c>
      <c r="G82" s="6">
        <v>50561</v>
      </c>
      <c r="H82" s="6">
        <v>0</v>
      </c>
      <c r="I82" s="6">
        <v>0</v>
      </c>
    </row>
    <row r="83" spans="2:9" ht="15.75" customHeight="1" x14ac:dyDescent="0.25">
      <c r="B83" s="6" t="s">
        <v>569</v>
      </c>
      <c r="C83" s="6" t="s">
        <v>570</v>
      </c>
      <c r="D83" s="6" t="s">
        <v>457</v>
      </c>
      <c r="E83" s="6">
        <v>594.08000000000004</v>
      </c>
      <c r="F83" s="6">
        <v>64.680000000000007</v>
      </c>
      <c r="G83" s="6">
        <v>38425.089999999997</v>
      </c>
      <c r="H83" s="6">
        <v>0</v>
      </c>
      <c r="I83" s="6">
        <v>0</v>
      </c>
    </row>
    <row r="84" spans="2:9" ht="15.75" customHeight="1" x14ac:dyDescent="0.25">
      <c r="B84" s="6" t="s">
        <v>571</v>
      </c>
      <c r="C84" s="6" t="s">
        <v>572</v>
      </c>
      <c r="D84" s="6" t="s">
        <v>457</v>
      </c>
      <c r="E84" s="6">
        <v>386.43</v>
      </c>
      <c r="F84" s="6">
        <v>47.79</v>
      </c>
      <c r="G84" s="6">
        <v>18467.490000000002</v>
      </c>
      <c r="H84" s="6">
        <v>0</v>
      </c>
      <c r="I84" s="6">
        <v>0</v>
      </c>
    </row>
    <row r="85" spans="2:9" ht="15.75" customHeight="1" x14ac:dyDescent="0.25">
      <c r="B85" s="7" t="s">
        <v>573</v>
      </c>
      <c r="C85" s="7" t="s">
        <v>574</v>
      </c>
      <c r="D85" s="1"/>
      <c r="E85" s="1"/>
      <c r="F85" s="1"/>
      <c r="G85" s="7">
        <v>50318.28</v>
      </c>
      <c r="H85" s="1"/>
      <c r="I85" s="7">
        <v>12246.56</v>
      </c>
    </row>
    <row r="86" spans="2:9" ht="15.75" customHeight="1" x14ac:dyDescent="0.25">
      <c r="B86" s="6" t="s">
        <v>575</v>
      </c>
      <c r="C86" s="6" t="s">
        <v>576</v>
      </c>
      <c r="D86" s="6" t="s">
        <v>457</v>
      </c>
      <c r="E86" s="6">
        <v>132</v>
      </c>
      <c r="F86" s="6">
        <v>87.53</v>
      </c>
      <c r="G86" s="6">
        <v>11553.96</v>
      </c>
      <c r="H86" s="6">
        <v>0</v>
      </c>
      <c r="I86" s="6">
        <v>0</v>
      </c>
    </row>
    <row r="87" spans="2:9" ht="15.75" customHeight="1" x14ac:dyDescent="0.25">
      <c r="B87" s="6" t="s">
        <v>577</v>
      </c>
      <c r="C87" s="6" t="s">
        <v>578</v>
      </c>
      <c r="D87" s="6" t="s">
        <v>457</v>
      </c>
      <c r="E87" s="6">
        <v>18.89</v>
      </c>
      <c r="F87" s="6">
        <v>87.53</v>
      </c>
      <c r="G87" s="6">
        <v>1653.44</v>
      </c>
      <c r="H87" s="6">
        <v>0</v>
      </c>
      <c r="I87" s="6">
        <v>0</v>
      </c>
    </row>
    <row r="88" spans="2:9" ht="15.75" customHeight="1" x14ac:dyDescent="0.25">
      <c r="B88" s="6" t="s">
        <v>579</v>
      </c>
      <c r="C88" s="6" t="s">
        <v>580</v>
      </c>
      <c r="D88" s="6" t="s">
        <v>457</v>
      </c>
      <c r="E88" s="6">
        <v>8.75</v>
      </c>
      <c r="F88" s="6">
        <v>69.400000000000006</v>
      </c>
      <c r="G88" s="6">
        <v>607.25</v>
      </c>
      <c r="H88" s="6">
        <v>0</v>
      </c>
      <c r="I88" s="6">
        <v>0</v>
      </c>
    </row>
    <row r="89" spans="2:9" ht="15.75" customHeight="1" x14ac:dyDescent="0.25">
      <c r="B89" s="6" t="s">
        <v>581</v>
      </c>
      <c r="C89" s="6" t="s">
        <v>582</v>
      </c>
      <c r="D89" s="6" t="s">
        <v>457</v>
      </c>
      <c r="E89" s="6">
        <v>7.87</v>
      </c>
      <c r="F89" s="6">
        <v>69.400000000000006</v>
      </c>
      <c r="G89" s="6">
        <v>546.17999999999995</v>
      </c>
      <c r="H89" s="6">
        <v>0</v>
      </c>
      <c r="I89" s="6">
        <v>0</v>
      </c>
    </row>
    <row r="90" spans="2:9" ht="15.75" customHeight="1" x14ac:dyDescent="0.25">
      <c r="B90" s="6" t="s">
        <v>583</v>
      </c>
      <c r="C90" s="6" t="s">
        <v>584</v>
      </c>
      <c r="D90" s="6" t="s">
        <v>457</v>
      </c>
      <c r="E90" s="6">
        <v>3.56</v>
      </c>
      <c r="F90" s="6">
        <v>69.400000000000006</v>
      </c>
      <c r="G90" s="6">
        <v>247.06</v>
      </c>
      <c r="H90" s="6">
        <v>0</v>
      </c>
      <c r="I90" s="6">
        <v>0</v>
      </c>
    </row>
    <row r="91" spans="2:9" ht="15.75" customHeight="1" x14ac:dyDescent="0.25">
      <c r="B91" s="6" t="s">
        <v>585</v>
      </c>
      <c r="C91" s="6" t="s">
        <v>586</v>
      </c>
      <c r="D91" s="6" t="s">
        <v>457</v>
      </c>
      <c r="E91" s="6">
        <v>46.25</v>
      </c>
      <c r="F91" s="6">
        <v>78.239999999999995</v>
      </c>
      <c r="G91" s="6">
        <v>3618.6</v>
      </c>
      <c r="H91" s="6">
        <v>88.81</v>
      </c>
      <c r="I91" s="6">
        <v>4107.46</v>
      </c>
    </row>
    <row r="92" spans="2:9" ht="15.75" customHeight="1" x14ac:dyDescent="0.25">
      <c r="B92" s="6" t="s">
        <v>587</v>
      </c>
      <c r="C92" s="6" t="s">
        <v>588</v>
      </c>
      <c r="D92" s="6" t="s">
        <v>457</v>
      </c>
      <c r="E92" s="6">
        <v>43.67</v>
      </c>
      <c r="F92" s="6">
        <v>78.239999999999995</v>
      </c>
      <c r="G92" s="6">
        <v>3416.74</v>
      </c>
      <c r="H92" s="6">
        <v>88.81</v>
      </c>
      <c r="I92" s="6">
        <v>3878.33</v>
      </c>
    </row>
    <row r="93" spans="2:9" ht="15.75" customHeight="1" x14ac:dyDescent="0.25">
      <c r="B93" s="6" t="s">
        <v>589</v>
      </c>
      <c r="C93" s="6" t="s">
        <v>590</v>
      </c>
      <c r="D93" s="6" t="s">
        <v>457</v>
      </c>
      <c r="E93" s="6">
        <v>263.44</v>
      </c>
      <c r="F93" s="6">
        <v>87.53</v>
      </c>
      <c r="G93" s="6">
        <v>23058.9</v>
      </c>
      <c r="H93" s="6">
        <v>0</v>
      </c>
      <c r="I93" s="6">
        <v>0</v>
      </c>
    </row>
    <row r="94" spans="2:9" ht="15.75" customHeight="1" x14ac:dyDescent="0.25">
      <c r="B94" s="6" t="s">
        <v>591</v>
      </c>
      <c r="C94" s="6" t="s">
        <v>592</v>
      </c>
      <c r="D94" s="6" t="s">
        <v>457</v>
      </c>
      <c r="E94" s="6">
        <v>55.66</v>
      </c>
      <c r="F94" s="6">
        <v>78.239999999999995</v>
      </c>
      <c r="G94" s="6">
        <v>4354.84</v>
      </c>
      <c r="H94" s="6">
        <v>76.55</v>
      </c>
      <c r="I94" s="6">
        <v>4260.7700000000004</v>
      </c>
    </row>
    <row r="95" spans="2:9" ht="15.75" customHeight="1" x14ac:dyDescent="0.25">
      <c r="B95" s="6" t="s">
        <v>593</v>
      </c>
      <c r="C95" s="6" t="s">
        <v>594</v>
      </c>
      <c r="D95" s="6" t="s">
        <v>457</v>
      </c>
      <c r="E95" s="6">
        <v>2.77</v>
      </c>
      <c r="F95" s="6">
        <v>87.53</v>
      </c>
      <c r="G95" s="6">
        <v>242.46</v>
      </c>
      <c r="H95" s="6">
        <v>0</v>
      </c>
      <c r="I95" s="6">
        <v>0</v>
      </c>
    </row>
    <row r="96" spans="2:9" ht="15.75" customHeight="1" x14ac:dyDescent="0.25">
      <c r="B96" s="6" t="s">
        <v>595</v>
      </c>
      <c r="C96" s="6" t="s">
        <v>596</v>
      </c>
      <c r="D96" s="6" t="s">
        <v>457</v>
      </c>
      <c r="E96" s="6">
        <v>8.0299999999999994</v>
      </c>
      <c r="F96" s="6">
        <v>87.53</v>
      </c>
      <c r="G96" s="6">
        <v>702.87</v>
      </c>
      <c r="H96" s="6">
        <v>0</v>
      </c>
      <c r="I96" s="6">
        <v>0</v>
      </c>
    </row>
    <row r="97" spans="2:9" ht="15.75" customHeight="1" x14ac:dyDescent="0.25">
      <c r="B97" s="6" t="s">
        <v>597</v>
      </c>
      <c r="C97" s="6" t="s">
        <v>598</v>
      </c>
      <c r="D97" s="6" t="s">
        <v>457</v>
      </c>
      <c r="E97" s="6">
        <v>3.61</v>
      </c>
      <c r="F97" s="6">
        <v>87.53</v>
      </c>
      <c r="G97" s="6">
        <v>315.98</v>
      </c>
      <c r="H97" s="6">
        <v>0</v>
      </c>
      <c r="I97" s="6">
        <v>0</v>
      </c>
    </row>
    <row r="98" spans="2:9" ht="15.75" customHeight="1" x14ac:dyDescent="0.25">
      <c r="B98" s="7" t="s">
        <v>599</v>
      </c>
      <c r="C98" s="7" t="s">
        <v>600</v>
      </c>
      <c r="D98" s="1"/>
      <c r="E98" s="1"/>
      <c r="F98" s="1"/>
      <c r="G98" s="7">
        <v>135851.15</v>
      </c>
      <c r="H98" s="1"/>
      <c r="I98" s="7">
        <v>6759.55</v>
      </c>
    </row>
    <row r="99" spans="2:9" ht="15.75" customHeight="1" x14ac:dyDescent="0.25">
      <c r="B99" s="6" t="s">
        <v>601</v>
      </c>
      <c r="C99" s="6" t="s">
        <v>602</v>
      </c>
      <c r="D99" s="6" t="s">
        <v>457</v>
      </c>
      <c r="E99" s="6">
        <v>426.47</v>
      </c>
      <c r="F99" s="6">
        <v>41.24</v>
      </c>
      <c r="G99" s="6">
        <v>17587.62</v>
      </c>
      <c r="H99" s="6">
        <v>15.85</v>
      </c>
      <c r="I99" s="6">
        <v>6759.55</v>
      </c>
    </row>
    <row r="100" spans="2:9" ht="15.75" customHeight="1" x14ac:dyDescent="0.25">
      <c r="B100" s="6" t="s">
        <v>603</v>
      </c>
      <c r="C100" s="6" t="s">
        <v>604</v>
      </c>
      <c r="D100" s="6" t="s">
        <v>457</v>
      </c>
      <c r="E100" s="6">
        <v>1351.12</v>
      </c>
      <c r="F100" s="6">
        <v>87.53</v>
      </c>
      <c r="G100" s="6">
        <v>118263.53</v>
      </c>
      <c r="H100" s="6">
        <v>0</v>
      </c>
      <c r="I100" s="6">
        <v>0</v>
      </c>
    </row>
    <row r="101" spans="2:9" ht="15.75" customHeight="1" x14ac:dyDescent="0.25">
      <c r="B101" s="7" t="s">
        <v>605</v>
      </c>
      <c r="C101" s="7" t="s">
        <v>606</v>
      </c>
      <c r="D101" s="1"/>
      <c r="E101" s="1"/>
      <c r="F101" s="1"/>
      <c r="G101" s="7">
        <v>7041.19</v>
      </c>
      <c r="H101" s="1"/>
      <c r="I101" s="7">
        <v>188760.75</v>
      </c>
    </row>
    <row r="102" spans="2:9" ht="15.75" customHeight="1" x14ac:dyDescent="0.25">
      <c r="B102" s="6" t="s">
        <v>607</v>
      </c>
      <c r="C102" s="6" t="s">
        <v>608</v>
      </c>
      <c r="D102" s="6" t="s">
        <v>474</v>
      </c>
      <c r="E102" s="6">
        <v>104.22</v>
      </c>
      <c r="F102" s="6">
        <v>13.35</v>
      </c>
      <c r="G102" s="6">
        <v>1391.34</v>
      </c>
      <c r="H102" s="6">
        <v>0</v>
      </c>
      <c r="I102" s="6">
        <v>0</v>
      </c>
    </row>
    <row r="103" spans="2:9" ht="15.75" customHeight="1" x14ac:dyDescent="0.25">
      <c r="B103" s="6" t="s">
        <v>609</v>
      </c>
      <c r="C103" s="6" t="s">
        <v>610</v>
      </c>
      <c r="D103" s="6" t="s">
        <v>474</v>
      </c>
      <c r="E103" s="6">
        <v>407.05</v>
      </c>
      <c r="F103" s="6">
        <v>13.88</v>
      </c>
      <c r="G103" s="6">
        <v>5649.85</v>
      </c>
      <c r="H103" s="6">
        <v>0</v>
      </c>
      <c r="I103" s="6">
        <v>0</v>
      </c>
    </row>
    <row r="104" spans="2:9" ht="15.75" customHeight="1" x14ac:dyDescent="0.25">
      <c r="B104" s="6" t="s">
        <v>611</v>
      </c>
      <c r="C104" s="6" t="s">
        <v>612</v>
      </c>
      <c r="D104" s="6" t="s">
        <v>457</v>
      </c>
      <c r="E104" s="6">
        <v>1830.72</v>
      </c>
      <c r="F104" s="6">
        <v>0</v>
      </c>
      <c r="G104" s="6">
        <v>0</v>
      </c>
      <c r="H104" s="6">
        <v>52.97</v>
      </c>
      <c r="I104" s="6">
        <v>96973.24</v>
      </c>
    </row>
    <row r="105" spans="2:9" ht="15.75" customHeight="1" x14ac:dyDescent="0.25">
      <c r="B105" s="6" t="s">
        <v>613</v>
      </c>
      <c r="C105" s="6" t="s">
        <v>614</v>
      </c>
      <c r="D105" s="6" t="s">
        <v>457</v>
      </c>
      <c r="E105" s="6">
        <v>1837.22</v>
      </c>
      <c r="F105" s="6">
        <v>0</v>
      </c>
      <c r="G105" s="6">
        <v>0</v>
      </c>
      <c r="H105" s="6">
        <v>49.96</v>
      </c>
      <c r="I105" s="6">
        <v>91787.51</v>
      </c>
    </row>
    <row r="106" spans="2:9" ht="15.75" customHeight="1" x14ac:dyDescent="0.25">
      <c r="B106" s="7" t="s">
        <v>615</v>
      </c>
      <c r="C106" s="7" t="s">
        <v>616</v>
      </c>
      <c r="D106" s="1"/>
      <c r="E106" s="1"/>
      <c r="F106" s="1"/>
      <c r="G106" s="7">
        <v>49534.93</v>
      </c>
      <c r="H106" s="1"/>
      <c r="I106" s="7">
        <v>0</v>
      </c>
    </row>
    <row r="107" spans="2:9" ht="15.75" customHeight="1" x14ac:dyDescent="0.25">
      <c r="B107" s="6" t="s">
        <v>617</v>
      </c>
      <c r="C107" s="6" t="s">
        <v>618</v>
      </c>
      <c r="D107" s="6" t="s">
        <v>34</v>
      </c>
      <c r="E107" s="6">
        <v>409</v>
      </c>
      <c r="F107" s="6">
        <v>56.1</v>
      </c>
      <c r="G107" s="6">
        <v>22944.9</v>
      </c>
      <c r="H107" s="6">
        <v>0</v>
      </c>
      <c r="I107" s="6">
        <v>0</v>
      </c>
    </row>
    <row r="108" spans="2:9" ht="15.75" customHeight="1" x14ac:dyDescent="0.25">
      <c r="B108" s="6" t="s">
        <v>619</v>
      </c>
      <c r="C108" s="6" t="s">
        <v>620</v>
      </c>
      <c r="D108" s="6" t="s">
        <v>457</v>
      </c>
      <c r="E108" s="6">
        <v>72.5</v>
      </c>
      <c r="F108" s="6">
        <v>90.96</v>
      </c>
      <c r="G108" s="6">
        <v>6594.6</v>
      </c>
      <c r="H108" s="6">
        <v>0</v>
      </c>
      <c r="I108" s="6">
        <v>0</v>
      </c>
    </row>
    <row r="109" spans="2:9" ht="15.75" customHeight="1" x14ac:dyDescent="0.25">
      <c r="B109" s="6" t="s">
        <v>621</v>
      </c>
      <c r="C109" s="6" t="s">
        <v>622</v>
      </c>
      <c r="D109" s="6" t="s">
        <v>474</v>
      </c>
      <c r="E109" s="6">
        <v>78.75</v>
      </c>
      <c r="F109" s="6">
        <v>38.99</v>
      </c>
      <c r="G109" s="6">
        <v>3070.46</v>
      </c>
      <c r="H109" s="6">
        <v>0</v>
      </c>
      <c r="I109" s="6">
        <v>0</v>
      </c>
    </row>
    <row r="110" spans="2:9" ht="15.75" customHeight="1" x14ac:dyDescent="0.25">
      <c r="B110" s="6" t="s">
        <v>623</v>
      </c>
      <c r="C110" s="6" t="s">
        <v>624</v>
      </c>
      <c r="D110" s="6" t="s">
        <v>474</v>
      </c>
      <c r="E110" s="6">
        <v>409</v>
      </c>
      <c r="F110" s="6">
        <v>32.909999999999997</v>
      </c>
      <c r="G110" s="6">
        <v>13460.19</v>
      </c>
      <c r="H110" s="6">
        <v>0</v>
      </c>
      <c r="I110" s="6">
        <v>0</v>
      </c>
    </row>
    <row r="111" spans="2:9" ht="15.75" customHeight="1" x14ac:dyDescent="0.25">
      <c r="B111" s="6" t="s">
        <v>625</v>
      </c>
      <c r="C111" s="6" t="s">
        <v>626</v>
      </c>
      <c r="D111" s="6" t="s">
        <v>457</v>
      </c>
      <c r="E111" s="6">
        <v>72.5</v>
      </c>
      <c r="F111" s="6">
        <v>47.79</v>
      </c>
      <c r="G111" s="6">
        <v>3464.78</v>
      </c>
      <c r="H111" s="6">
        <v>0</v>
      </c>
      <c r="I111" s="6">
        <v>0</v>
      </c>
    </row>
    <row r="112" spans="2:9" ht="15.75" customHeight="1" x14ac:dyDescent="0.25">
      <c r="B112" s="7" t="s">
        <v>627</v>
      </c>
      <c r="C112" s="7" t="s">
        <v>628</v>
      </c>
      <c r="D112" s="1"/>
      <c r="E112" s="1"/>
      <c r="F112" s="1"/>
      <c r="G112" s="7">
        <v>35684</v>
      </c>
      <c r="H112" s="1"/>
      <c r="I112" s="7">
        <v>0</v>
      </c>
    </row>
    <row r="113" spans="2:9" ht="15.75" customHeight="1" x14ac:dyDescent="0.25">
      <c r="B113" s="6" t="s">
        <v>629</v>
      </c>
      <c r="C113" s="6" t="s">
        <v>630</v>
      </c>
      <c r="D113" s="6" t="s">
        <v>105</v>
      </c>
      <c r="E113" s="6">
        <v>6488</v>
      </c>
      <c r="F113" s="6">
        <v>5.5</v>
      </c>
      <c r="G113" s="6">
        <v>35684</v>
      </c>
      <c r="H113" s="6">
        <v>0</v>
      </c>
      <c r="I113" s="6">
        <v>0</v>
      </c>
    </row>
    <row r="114" spans="2:9" ht="15.75" customHeight="1" x14ac:dyDescent="0.25">
      <c r="B114" s="5" t="s">
        <v>96</v>
      </c>
      <c r="C114" s="5" t="s">
        <v>631</v>
      </c>
      <c r="D114" s="1"/>
      <c r="E114" s="1"/>
      <c r="F114" s="1"/>
      <c r="G114" s="5">
        <v>278742.8</v>
      </c>
      <c r="H114" s="1"/>
      <c r="I114" s="5">
        <v>120326.49</v>
      </c>
    </row>
    <row r="115" spans="2:9" ht="15.75" customHeight="1" x14ac:dyDescent="0.25">
      <c r="B115" s="7" t="s">
        <v>98</v>
      </c>
      <c r="C115" s="7" t="s">
        <v>632</v>
      </c>
      <c r="D115" s="1"/>
      <c r="E115" s="1"/>
      <c r="F115" s="1"/>
      <c r="G115" s="7">
        <v>18281.84</v>
      </c>
      <c r="H115" s="1"/>
      <c r="I115" s="7">
        <v>15947.61</v>
      </c>
    </row>
    <row r="116" spans="2:9" ht="15.75" customHeight="1" x14ac:dyDescent="0.25">
      <c r="B116" s="6" t="s">
        <v>633</v>
      </c>
      <c r="C116" s="6" t="s">
        <v>634</v>
      </c>
      <c r="D116" s="6" t="s">
        <v>457</v>
      </c>
      <c r="E116" s="6">
        <v>24.74</v>
      </c>
      <c r="F116" s="6">
        <v>69.400000000000006</v>
      </c>
      <c r="G116" s="6">
        <v>1716.96</v>
      </c>
      <c r="H116" s="6">
        <v>0</v>
      </c>
      <c r="I116" s="6">
        <v>0</v>
      </c>
    </row>
    <row r="117" spans="2:9" ht="15.75" customHeight="1" x14ac:dyDescent="0.25">
      <c r="B117" s="6" t="s">
        <v>635</v>
      </c>
      <c r="C117" s="6" t="s">
        <v>636</v>
      </c>
      <c r="D117" s="6" t="s">
        <v>457</v>
      </c>
      <c r="E117" s="6">
        <v>17.829999999999998</v>
      </c>
      <c r="F117" s="6">
        <v>70.97</v>
      </c>
      <c r="G117" s="6">
        <v>1265.4000000000001</v>
      </c>
      <c r="H117" s="6">
        <v>0</v>
      </c>
      <c r="I117" s="6">
        <v>0</v>
      </c>
    </row>
    <row r="118" spans="2:9" ht="15.75" customHeight="1" x14ac:dyDescent="0.25">
      <c r="B118" s="6" t="s">
        <v>637</v>
      </c>
      <c r="C118" s="6" t="s">
        <v>638</v>
      </c>
      <c r="D118" s="6" t="s">
        <v>457</v>
      </c>
      <c r="E118" s="6">
        <v>22.8</v>
      </c>
      <c r="F118" s="6">
        <v>78.239999999999995</v>
      </c>
      <c r="G118" s="6">
        <v>1783.87</v>
      </c>
      <c r="H118" s="6">
        <v>88.81</v>
      </c>
      <c r="I118" s="6">
        <v>2024.87</v>
      </c>
    </row>
    <row r="119" spans="2:9" ht="15.75" customHeight="1" x14ac:dyDescent="0.25">
      <c r="B119" s="6" t="s">
        <v>639</v>
      </c>
      <c r="C119" s="6" t="s">
        <v>640</v>
      </c>
      <c r="D119" s="6" t="s">
        <v>457</v>
      </c>
      <c r="E119" s="6">
        <v>14.28</v>
      </c>
      <c r="F119" s="6">
        <v>87.53</v>
      </c>
      <c r="G119" s="6">
        <v>1249.93</v>
      </c>
      <c r="H119" s="6">
        <v>0</v>
      </c>
      <c r="I119" s="6">
        <v>0</v>
      </c>
    </row>
    <row r="120" spans="2:9" ht="15.75" customHeight="1" x14ac:dyDescent="0.25">
      <c r="B120" s="6" t="s">
        <v>641</v>
      </c>
      <c r="C120" s="6" t="s">
        <v>642</v>
      </c>
      <c r="D120" s="6" t="s">
        <v>457</v>
      </c>
      <c r="E120" s="6">
        <v>156.77000000000001</v>
      </c>
      <c r="F120" s="6">
        <v>78.239999999999995</v>
      </c>
      <c r="G120" s="6">
        <v>12265.68</v>
      </c>
      <c r="H120" s="6">
        <v>88.81</v>
      </c>
      <c r="I120" s="6">
        <v>13922.74</v>
      </c>
    </row>
    <row r="121" spans="2:9" ht="15.75" customHeight="1" x14ac:dyDescent="0.25">
      <c r="B121" s="7" t="s">
        <v>100</v>
      </c>
      <c r="C121" s="7" t="s">
        <v>643</v>
      </c>
      <c r="D121" s="1"/>
      <c r="E121" s="1"/>
      <c r="F121" s="1"/>
      <c r="G121" s="7">
        <v>122092.64</v>
      </c>
      <c r="H121" s="1"/>
      <c r="I121" s="7">
        <v>103498.51</v>
      </c>
    </row>
    <row r="122" spans="2:9" ht="15.75" customHeight="1" x14ac:dyDescent="0.25">
      <c r="B122" s="6" t="s">
        <v>644</v>
      </c>
      <c r="C122" s="6" t="s">
        <v>645</v>
      </c>
      <c r="D122" s="6" t="s">
        <v>457</v>
      </c>
      <c r="E122" s="6">
        <v>240.24</v>
      </c>
      <c r="F122" s="6">
        <v>45.24</v>
      </c>
      <c r="G122" s="6">
        <v>10868.46</v>
      </c>
      <c r="H122" s="6">
        <v>42.78</v>
      </c>
      <c r="I122" s="6">
        <v>10277.469999999999</v>
      </c>
    </row>
    <row r="123" spans="2:9" ht="15.75" customHeight="1" x14ac:dyDescent="0.25">
      <c r="B123" s="6" t="s">
        <v>646</v>
      </c>
      <c r="C123" s="6" t="s">
        <v>647</v>
      </c>
      <c r="D123" s="6" t="s">
        <v>457</v>
      </c>
      <c r="E123" s="6">
        <v>1044.18</v>
      </c>
      <c r="F123" s="6">
        <v>45.24</v>
      </c>
      <c r="G123" s="6">
        <v>47238.7</v>
      </c>
      <c r="H123" s="6">
        <v>42.78</v>
      </c>
      <c r="I123" s="6">
        <v>44670.02</v>
      </c>
    </row>
    <row r="124" spans="2:9" ht="15.75" customHeight="1" x14ac:dyDescent="0.25">
      <c r="B124" s="6" t="s">
        <v>648</v>
      </c>
      <c r="C124" s="6" t="s">
        <v>649</v>
      </c>
      <c r="D124" s="6" t="s">
        <v>457</v>
      </c>
      <c r="E124" s="6">
        <v>20.23</v>
      </c>
      <c r="F124" s="6">
        <v>45.24</v>
      </c>
      <c r="G124" s="6">
        <v>915.21</v>
      </c>
      <c r="H124" s="6">
        <v>42.78</v>
      </c>
      <c r="I124" s="6">
        <v>865.44</v>
      </c>
    </row>
    <row r="125" spans="2:9" ht="15.75" customHeight="1" x14ac:dyDescent="0.25">
      <c r="B125" s="6" t="s">
        <v>650</v>
      </c>
      <c r="C125" s="6" t="s">
        <v>651</v>
      </c>
      <c r="D125" s="6" t="s">
        <v>457</v>
      </c>
      <c r="E125" s="6">
        <v>1114.67</v>
      </c>
      <c r="F125" s="6">
        <v>45.24</v>
      </c>
      <c r="G125" s="6">
        <v>50427.67</v>
      </c>
      <c r="H125" s="6">
        <v>42.78</v>
      </c>
      <c r="I125" s="6">
        <v>47685.58</v>
      </c>
    </row>
    <row r="126" spans="2:9" ht="15.75" customHeight="1" x14ac:dyDescent="0.25">
      <c r="B126" s="6" t="s">
        <v>652</v>
      </c>
      <c r="C126" s="6" t="s">
        <v>653</v>
      </c>
      <c r="D126" s="6" t="s">
        <v>457</v>
      </c>
      <c r="E126" s="6">
        <v>178.14</v>
      </c>
      <c r="F126" s="6">
        <v>70.97</v>
      </c>
      <c r="G126" s="6">
        <v>12642.6</v>
      </c>
      <c r="H126" s="6">
        <v>0</v>
      </c>
      <c r="I126" s="6">
        <v>0</v>
      </c>
    </row>
    <row r="127" spans="2:9" ht="15.75" customHeight="1" x14ac:dyDescent="0.25">
      <c r="B127" s="7" t="s">
        <v>103</v>
      </c>
      <c r="C127" s="7" t="s">
        <v>654</v>
      </c>
      <c r="D127" s="1"/>
      <c r="E127" s="1"/>
      <c r="F127" s="1"/>
      <c r="G127" s="7">
        <v>14776.34</v>
      </c>
      <c r="H127" s="1"/>
      <c r="I127" s="7">
        <v>880.37</v>
      </c>
    </row>
    <row r="128" spans="2:9" ht="15.75" customHeight="1" x14ac:dyDescent="0.25">
      <c r="B128" s="6" t="s">
        <v>655</v>
      </c>
      <c r="C128" s="6" t="s">
        <v>656</v>
      </c>
      <c r="D128" s="6" t="s">
        <v>474</v>
      </c>
      <c r="E128" s="6">
        <v>137.22999999999999</v>
      </c>
      <c r="F128" s="6">
        <v>24.22</v>
      </c>
      <c r="G128" s="6">
        <v>3323.71</v>
      </c>
      <c r="H128" s="6">
        <v>0</v>
      </c>
      <c r="I128" s="6">
        <v>0</v>
      </c>
    </row>
    <row r="129" spans="2:9" ht="15.75" customHeight="1" x14ac:dyDescent="0.25">
      <c r="B129" s="6" t="s">
        <v>657</v>
      </c>
      <c r="C129" s="6" t="s">
        <v>658</v>
      </c>
      <c r="D129" s="6" t="s">
        <v>474</v>
      </c>
      <c r="E129" s="6">
        <v>5.0999999999999996</v>
      </c>
      <c r="F129" s="6">
        <v>24.22</v>
      </c>
      <c r="G129" s="6">
        <v>123.52</v>
      </c>
      <c r="H129" s="6">
        <v>0</v>
      </c>
      <c r="I129" s="6">
        <v>0</v>
      </c>
    </row>
    <row r="130" spans="2:9" ht="15.75" customHeight="1" x14ac:dyDescent="0.25">
      <c r="B130" s="6" t="s">
        <v>659</v>
      </c>
      <c r="C130" s="6" t="s">
        <v>660</v>
      </c>
      <c r="D130" s="6" t="s">
        <v>474</v>
      </c>
      <c r="E130" s="6">
        <v>13.9</v>
      </c>
      <c r="F130" s="6">
        <v>22.33</v>
      </c>
      <c r="G130" s="6">
        <v>310.39</v>
      </c>
      <c r="H130" s="6">
        <v>0</v>
      </c>
      <c r="I130" s="6">
        <v>0</v>
      </c>
    </row>
    <row r="131" spans="2:9" ht="15.75" customHeight="1" x14ac:dyDescent="0.25">
      <c r="B131" s="6" t="s">
        <v>661</v>
      </c>
      <c r="C131" s="6" t="s">
        <v>662</v>
      </c>
      <c r="D131" s="6" t="s">
        <v>474</v>
      </c>
      <c r="E131" s="6">
        <v>5.85</v>
      </c>
      <c r="F131" s="6">
        <v>22.33</v>
      </c>
      <c r="G131" s="6">
        <v>130.63</v>
      </c>
      <c r="H131" s="6">
        <v>0</v>
      </c>
      <c r="I131" s="6">
        <v>0</v>
      </c>
    </row>
    <row r="132" spans="2:9" ht="15.75" customHeight="1" x14ac:dyDescent="0.25">
      <c r="B132" s="6" t="s">
        <v>663</v>
      </c>
      <c r="C132" s="6" t="s">
        <v>664</v>
      </c>
      <c r="D132" s="6" t="s">
        <v>474</v>
      </c>
      <c r="E132" s="6">
        <v>39.07</v>
      </c>
      <c r="F132" s="6">
        <v>24.22</v>
      </c>
      <c r="G132" s="6">
        <v>946.28</v>
      </c>
      <c r="H132" s="6">
        <v>0</v>
      </c>
      <c r="I132" s="6">
        <v>0</v>
      </c>
    </row>
    <row r="133" spans="2:9" ht="15.75" customHeight="1" x14ac:dyDescent="0.25">
      <c r="B133" s="6" t="s">
        <v>665</v>
      </c>
      <c r="C133" s="6" t="s">
        <v>666</v>
      </c>
      <c r="D133" s="6" t="s">
        <v>474</v>
      </c>
      <c r="E133" s="6">
        <v>76.14</v>
      </c>
      <c r="F133" s="6">
        <v>19.39</v>
      </c>
      <c r="G133" s="6">
        <v>1476.35</v>
      </c>
      <c r="H133" s="6">
        <v>8.9</v>
      </c>
      <c r="I133" s="6">
        <v>677.65</v>
      </c>
    </row>
    <row r="134" spans="2:9" ht="15.75" customHeight="1" x14ac:dyDescent="0.25">
      <c r="B134" s="6" t="s">
        <v>667</v>
      </c>
      <c r="C134" s="6" t="s">
        <v>668</v>
      </c>
      <c r="D134" s="6" t="s">
        <v>474</v>
      </c>
      <c r="E134" s="6">
        <v>313.36</v>
      </c>
      <c r="F134" s="6">
        <v>24.22</v>
      </c>
      <c r="G134" s="6">
        <v>7589.58</v>
      </c>
      <c r="H134" s="6">
        <v>0</v>
      </c>
      <c r="I134" s="6">
        <v>0</v>
      </c>
    </row>
    <row r="135" spans="2:9" ht="15.75" customHeight="1" x14ac:dyDescent="0.25">
      <c r="B135" s="6" t="s">
        <v>669</v>
      </c>
      <c r="C135" s="6" t="s">
        <v>670</v>
      </c>
      <c r="D135" s="6" t="s">
        <v>474</v>
      </c>
      <c r="E135" s="6">
        <v>23.6</v>
      </c>
      <c r="F135" s="6">
        <v>19.39</v>
      </c>
      <c r="G135" s="6">
        <v>457.6</v>
      </c>
      <c r="H135" s="6">
        <v>8.59</v>
      </c>
      <c r="I135" s="6">
        <v>202.72</v>
      </c>
    </row>
    <row r="136" spans="2:9" ht="15.75" customHeight="1" x14ac:dyDescent="0.25">
      <c r="B136" s="6" t="s">
        <v>671</v>
      </c>
      <c r="C136" s="6" t="s">
        <v>672</v>
      </c>
      <c r="D136" s="6" t="s">
        <v>474</v>
      </c>
      <c r="E136" s="6">
        <v>10.45</v>
      </c>
      <c r="F136" s="6">
        <v>24.22</v>
      </c>
      <c r="G136" s="6">
        <v>253.1</v>
      </c>
      <c r="H136" s="6">
        <v>0</v>
      </c>
      <c r="I136" s="6">
        <v>0</v>
      </c>
    </row>
    <row r="137" spans="2:9" ht="15.75" customHeight="1" x14ac:dyDescent="0.25">
      <c r="B137" s="6" t="s">
        <v>673</v>
      </c>
      <c r="C137" s="6" t="s">
        <v>674</v>
      </c>
      <c r="D137" s="6" t="s">
        <v>474</v>
      </c>
      <c r="E137" s="6">
        <v>6.82</v>
      </c>
      <c r="F137" s="6">
        <v>24.22</v>
      </c>
      <c r="G137" s="6">
        <v>165.18</v>
      </c>
      <c r="H137" s="6">
        <v>0</v>
      </c>
      <c r="I137" s="6">
        <v>0</v>
      </c>
    </row>
    <row r="138" spans="2:9" ht="15.75" customHeight="1" x14ac:dyDescent="0.25">
      <c r="B138" s="7" t="s">
        <v>106</v>
      </c>
      <c r="C138" s="7" t="s">
        <v>675</v>
      </c>
      <c r="D138" s="1"/>
      <c r="E138" s="1"/>
      <c r="F138" s="1"/>
      <c r="G138" s="7">
        <v>123591.98</v>
      </c>
      <c r="H138" s="1"/>
      <c r="I138" s="7">
        <v>0</v>
      </c>
    </row>
    <row r="139" spans="2:9" ht="15.75" customHeight="1" x14ac:dyDescent="0.25">
      <c r="B139" s="6" t="s">
        <v>676</v>
      </c>
      <c r="C139" s="6" t="s">
        <v>677</v>
      </c>
      <c r="D139" s="6" t="s">
        <v>474</v>
      </c>
      <c r="E139" s="6">
        <v>653</v>
      </c>
      <c r="F139" s="6">
        <v>23.2</v>
      </c>
      <c r="G139" s="6">
        <v>15149.6</v>
      </c>
      <c r="H139" s="6">
        <v>0</v>
      </c>
      <c r="I139" s="6">
        <v>0</v>
      </c>
    </row>
    <row r="140" spans="2:9" ht="15.75" customHeight="1" x14ac:dyDescent="0.25">
      <c r="B140" s="6" t="s">
        <v>678</v>
      </c>
      <c r="C140" s="6" t="s">
        <v>679</v>
      </c>
      <c r="D140" s="6" t="s">
        <v>474</v>
      </c>
      <c r="E140" s="6">
        <v>1223.93</v>
      </c>
      <c r="F140" s="6">
        <v>24.22</v>
      </c>
      <c r="G140" s="6">
        <v>29643.58</v>
      </c>
      <c r="H140" s="6">
        <v>0</v>
      </c>
      <c r="I140" s="6">
        <v>0</v>
      </c>
    </row>
    <row r="141" spans="2:9" ht="15.75" customHeight="1" x14ac:dyDescent="0.25">
      <c r="B141" s="6" t="s">
        <v>680</v>
      </c>
      <c r="C141" s="6" t="s">
        <v>681</v>
      </c>
      <c r="D141" s="6" t="s">
        <v>474</v>
      </c>
      <c r="E141" s="6">
        <v>3396.5</v>
      </c>
      <c r="F141" s="6">
        <v>23.2</v>
      </c>
      <c r="G141" s="6">
        <v>78798.8</v>
      </c>
      <c r="H141" s="6">
        <v>0</v>
      </c>
      <c r="I141" s="6">
        <v>0</v>
      </c>
    </row>
    <row r="142" spans="2:9" ht="15.75" customHeight="1" x14ac:dyDescent="0.25">
      <c r="B142" s="5" t="s">
        <v>108</v>
      </c>
      <c r="C142" s="5" t="s">
        <v>682</v>
      </c>
      <c r="D142" s="1"/>
      <c r="E142" s="1"/>
      <c r="F142" s="1"/>
      <c r="G142" s="5">
        <v>56645.75</v>
      </c>
      <c r="H142" s="1"/>
      <c r="I142" s="5">
        <v>0</v>
      </c>
    </row>
    <row r="143" spans="2:9" ht="15.75" customHeight="1" x14ac:dyDescent="0.25">
      <c r="B143" s="6" t="s">
        <v>110</v>
      </c>
      <c r="C143" s="6" t="s">
        <v>683</v>
      </c>
      <c r="D143" s="6" t="s">
        <v>558</v>
      </c>
      <c r="E143" s="6">
        <v>250.82</v>
      </c>
      <c r="F143" s="6">
        <v>55.8</v>
      </c>
      <c r="G143" s="6">
        <v>13995.76</v>
      </c>
      <c r="H143" s="6">
        <v>0</v>
      </c>
      <c r="I143" s="6">
        <v>0</v>
      </c>
    </row>
    <row r="144" spans="2:9" ht="15.75" customHeight="1" x14ac:dyDescent="0.25">
      <c r="B144" s="6" t="s">
        <v>684</v>
      </c>
      <c r="C144" s="6" t="s">
        <v>685</v>
      </c>
      <c r="D144" s="6" t="s">
        <v>457</v>
      </c>
      <c r="E144" s="6">
        <v>361.41</v>
      </c>
      <c r="F144" s="6">
        <v>118.01</v>
      </c>
      <c r="G144" s="6">
        <v>42649.99</v>
      </c>
      <c r="H144" s="6">
        <v>0</v>
      </c>
      <c r="I144" s="6">
        <v>0</v>
      </c>
    </row>
    <row r="145" spans="2:9" ht="15.75" customHeight="1" x14ac:dyDescent="0.25">
      <c r="B145" s="5" t="s">
        <v>113</v>
      </c>
      <c r="C145" s="5" t="s">
        <v>686</v>
      </c>
      <c r="D145" s="1"/>
      <c r="E145" s="1"/>
      <c r="F145" s="1"/>
      <c r="G145" s="5">
        <v>681611.9</v>
      </c>
      <c r="H145" s="1"/>
      <c r="I145" s="5">
        <v>0</v>
      </c>
    </row>
    <row r="146" spans="2:9" ht="15.75" customHeight="1" x14ac:dyDescent="0.25">
      <c r="B146" s="6" t="s">
        <v>115</v>
      </c>
      <c r="C146" s="6" t="s">
        <v>687</v>
      </c>
      <c r="D146" s="6" t="s">
        <v>485</v>
      </c>
      <c r="E146" s="6">
        <v>34</v>
      </c>
      <c r="F146" s="6">
        <v>816.96</v>
      </c>
      <c r="G146" s="6">
        <v>27776.639999999999</v>
      </c>
      <c r="H146" s="6">
        <v>0</v>
      </c>
      <c r="I146" s="6">
        <v>0</v>
      </c>
    </row>
    <row r="147" spans="2:9" ht="15.75" customHeight="1" x14ac:dyDescent="0.25">
      <c r="B147" s="6" t="s">
        <v>688</v>
      </c>
      <c r="C147" s="6" t="s">
        <v>689</v>
      </c>
      <c r="D147" s="6" t="s">
        <v>485</v>
      </c>
      <c r="E147" s="6">
        <v>119</v>
      </c>
      <c r="F147" s="6">
        <v>1431.41</v>
      </c>
      <c r="G147" s="6">
        <v>170337.79</v>
      </c>
      <c r="H147" s="6">
        <v>0</v>
      </c>
      <c r="I147" s="6">
        <v>0</v>
      </c>
    </row>
    <row r="148" spans="2:9" ht="15.75" customHeight="1" x14ac:dyDescent="0.25">
      <c r="B148" s="6" t="s">
        <v>690</v>
      </c>
      <c r="C148" s="6" t="s">
        <v>691</v>
      </c>
      <c r="D148" s="6" t="s">
        <v>485</v>
      </c>
      <c r="E148" s="6">
        <v>113</v>
      </c>
      <c r="F148" s="6">
        <v>1448.66</v>
      </c>
      <c r="G148" s="6">
        <v>163698.57999999999</v>
      </c>
      <c r="H148" s="6">
        <v>0</v>
      </c>
      <c r="I148" s="6">
        <v>0</v>
      </c>
    </row>
    <row r="149" spans="2:9" ht="15.75" customHeight="1" x14ac:dyDescent="0.25">
      <c r="B149" s="6" t="s">
        <v>692</v>
      </c>
      <c r="C149" s="6" t="s">
        <v>693</v>
      </c>
      <c r="D149" s="6" t="s">
        <v>485</v>
      </c>
      <c r="E149" s="6">
        <v>42</v>
      </c>
      <c r="F149" s="6">
        <v>1471.66</v>
      </c>
      <c r="G149" s="6">
        <v>61809.72</v>
      </c>
      <c r="H149" s="6">
        <v>0</v>
      </c>
      <c r="I149" s="6">
        <v>0</v>
      </c>
    </row>
    <row r="150" spans="2:9" ht="15.75" customHeight="1" x14ac:dyDescent="0.25">
      <c r="B150" s="6" t="s">
        <v>694</v>
      </c>
      <c r="C150" s="6" t="s">
        <v>695</v>
      </c>
      <c r="D150" s="6" t="s">
        <v>485</v>
      </c>
      <c r="E150" s="6">
        <v>1</v>
      </c>
      <c r="F150" s="6">
        <v>17080</v>
      </c>
      <c r="G150" s="6">
        <v>17080</v>
      </c>
      <c r="H150" s="6">
        <v>0</v>
      </c>
      <c r="I150" s="6">
        <v>0</v>
      </c>
    </row>
    <row r="151" spans="2:9" ht="15.75" customHeight="1" x14ac:dyDescent="0.25">
      <c r="B151" s="6" t="s">
        <v>696</v>
      </c>
      <c r="C151" s="6" t="s">
        <v>697</v>
      </c>
      <c r="D151" s="6" t="s">
        <v>485</v>
      </c>
      <c r="E151" s="6">
        <v>33</v>
      </c>
      <c r="F151" s="6">
        <v>1414.16</v>
      </c>
      <c r="G151" s="6">
        <v>46667.28</v>
      </c>
      <c r="H151" s="6">
        <v>0</v>
      </c>
      <c r="I151" s="6">
        <v>0</v>
      </c>
    </row>
    <row r="152" spans="2:9" ht="15.75" customHeight="1" x14ac:dyDescent="0.25">
      <c r="B152" s="6" t="s">
        <v>698</v>
      </c>
      <c r="C152" s="6" t="s">
        <v>699</v>
      </c>
      <c r="D152" s="6" t="s">
        <v>485</v>
      </c>
      <c r="E152" s="6">
        <v>12</v>
      </c>
      <c r="F152" s="6">
        <v>1414.16</v>
      </c>
      <c r="G152" s="6">
        <v>16969.919999999998</v>
      </c>
      <c r="H152" s="6">
        <v>0</v>
      </c>
      <c r="I152" s="6">
        <v>0</v>
      </c>
    </row>
    <row r="153" spans="2:9" ht="15.75" customHeight="1" x14ac:dyDescent="0.25">
      <c r="B153" s="6" t="s">
        <v>700</v>
      </c>
      <c r="C153" s="6" t="s">
        <v>701</v>
      </c>
      <c r="D153" s="6" t="s">
        <v>485</v>
      </c>
      <c r="E153" s="6">
        <v>1</v>
      </c>
      <c r="F153" s="6">
        <v>2195.81</v>
      </c>
      <c r="G153" s="6">
        <v>2195.81</v>
      </c>
      <c r="H153" s="6">
        <v>0</v>
      </c>
      <c r="I153" s="6">
        <v>0</v>
      </c>
    </row>
    <row r="154" spans="2:9" ht="15.75" customHeight="1" x14ac:dyDescent="0.25">
      <c r="B154" s="6" t="s">
        <v>702</v>
      </c>
      <c r="C154" s="6" t="s">
        <v>703</v>
      </c>
      <c r="D154" s="6" t="s">
        <v>112</v>
      </c>
      <c r="E154" s="6">
        <v>1</v>
      </c>
      <c r="F154" s="6">
        <v>2200.41</v>
      </c>
      <c r="G154" s="6">
        <v>2200.41</v>
      </c>
      <c r="H154" s="6">
        <v>0</v>
      </c>
      <c r="I154" s="6">
        <v>0</v>
      </c>
    </row>
    <row r="155" spans="2:9" ht="15.75" customHeight="1" x14ac:dyDescent="0.25">
      <c r="B155" s="6" t="s">
        <v>704</v>
      </c>
      <c r="C155" s="6" t="s">
        <v>705</v>
      </c>
      <c r="D155" s="6" t="s">
        <v>112</v>
      </c>
      <c r="E155" s="6">
        <v>1</v>
      </c>
      <c r="F155" s="6">
        <v>2200.41</v>
      </c>
      <c r="G155" s="6">
        <v>2200.41</v>
      </c>
      <c r="H155" s="6">
        <v>0</v>
      </c>
      <c r="I155" s="6">
        <v>0</v>
      </c>
    </row>
    <row r="156" spans="2:9" ht="15.75" customHeight="1" x14ac:dyDescent="0.25">
      <c r="B156" s="6" t="s">
        <v>706</v>
      </c>
      <c r="C156" s="6" t="s">
        <v>707</v>
      </c>
      <c r="D156" s="6" t="s">
        <v>112</v>
      </c>
      <c r="E156" s="6">
        <v>18</v>
      </c>
      <c r="F156" s="6">
        <v>806.38</v>
      </c>
      <c r="G156" s="6">
        <v>14514.84</v>
      </c>
      <c r="H156" s="6">
        <v>0</v>
      </c>
      <c r="I156" s="6">
        <v>0</v>
      </c>
    </row>
    <row r="157" spans="2:9" ht="15.75" customHeight="1" x14ac:dyDescent="0.25">
      <c r="B157" s="6" t="s">
        <v>708</v>
      </c>
      <c r="C157" s="6" t="s">
        <v>709</v>
      </c>
      <c r="D157" s="6" t="s">
        <v>485</v>
      </c>
      <c r="E157" s="6">
        <v>14</v>
      </c>
      <c r="F157" s="6">
        <v>743.13</v>
      </c>
      <c r="G157" s="6">
        <v>10403.82</v>
      </c>
      <c r="H157" s="6">
        <v>0</v>
      </c>
      <c r="I157" s="6">
        <v>0</v>
      </c>
    </row>
    <row r="158" spans="2:9" ht="15.75" customHeight="1" x14ac:dyDescent="0.25">
      <c r="B158" s="6" t="s">
        <v>710</v>
      </c>
      <c r="C158" s="6" t="s">
        <v>711</v>
      </c>
      <c r="D158" s="6" t="s">
        <v>112</v>
      </c>
      <c r="E158" s="6">
        <v>3</v>
      </c>
      <c r="F158" s="6">
        <v>2200.41</v>
      </c>
      <c r="G158" s="6">
        <v>6601.23</v>
      </c>
      <c r="H158" s="6">
        <v>0</v>
      </c>
      <c r="I158" s="6">
        <v>0</v>
      </c>
    </row>
    <row r="159" spans="2:9" ht="15.75" customHeight="1" x14ac:dyDescent="0.25">
      <c r="B159" s="6" t="s">
        <v>712</v>
      </c>
      <c r="C159" s="6" t="s">
        <v>713</v>
      </c>
      <c r="D159" s="6" t="s">
        <v>112</v>
      </c>
      <c r="E159" s="6">
        <v>7</v>
      </c>
      <c r="F159" s="6">
        <v>2267.11</v>
      </c>
      <c r="G159" s="6">
        <v>15869.77</v>
      </c>
      <c r="H159" s="6">
        <v>0</v>
      </c>
      <c r="I159" s="6">
        <v>0</v>
      </c>
    </row>
    <row r="160" spans="2:9" ht="15.75" customHeight="1" x14ac:dyDescent="0.25">
      <c r="B160" s="6" t="s">
        <v>714</v>
      </c>
      <c r="C160" s="6" t="s">
        <v>715</v>
      </c>
      <c r="D160" s="6" t="s">
        <v>485</v>
      </c>
      <c r="E160" s="6">
        <v>18</v>
      </c>
      <c r="F160" s="6">
        <v>1454.41</v>
      </c>
      <c r="G160" s="6">
        <v>26179.38</v>
      </c>
      <c r="H160" s="6">
        <v>0</v>
      </c>
      <c r="I160" s="6">
        <v>0</v>
      </c>
    </row>
    <row r="161" spans="2:9" ht="15.75" customHeight="1" x14ac:dyDescent="0.25">
      <c r="B161" s="6" t="s">
        <v>716</v>
      </c>
      <c r="C161" s="6" t="s">
        <v>717</v>
      </c>
      <c r="D161" s="6" t="s">
        <v>485</v>
      </c>
      <c r="E161" s="6">
        <v>1</v>
      </c>
      <c r="F161" s="6">
        <v>858.13</v>
      </c>
      <c r="G161" s="6">
        <v>858.13</v>
      </c>
      <c r="H161" s="6">
        <v>0</v>
      </c>
      <c r="I161" s="6">
        <v>0</v>
      </c>
    </row>
    <row r="162" spans="2:9" ht="15.75" customHeight="1" x14ac:dyDescent="0.25">
      <c r="B162" s="6" t="s">
        <v>718</v>
      </c>
      <c r="C162" s="6" t="s">
        <v>719</v>
      </c>
      <c r="D162" s="6" t="s">
        <v>112</v>
      </c>
      <c r="E162" s="6">
        <v>9</v>
      </c>
      <c r="F162" s="6">
        <v>858.13</v>
      </c>
      <c r="G162" s="6">
        <v>7723.17</v>
      </c>
      <c r="H162" s="6">
        <v>0</v>
      </c>
      <c r="I162" s="6">
        <v>0</v>
      </c>
    </row>
    <row r="163" spans="2:9" ht="15.75" customHeight="1" x14ac:dyDescent="0.25">
      <c r="B163" s="6" t="s">
        <v>720</v>
      </c>
      <c r="C163" s="6" t="s">
        <v>721</v>
      </c>
      <c r="D163" s="6" t="s">
        <v>20</v>
      </c>
      <c r="E163" s="6">
        <v>1</v>
      </c>
      <c r="F163" s="6">
        <v>11525</v>
      </c>
      <c r="G163" s="6">
        <v>11525</v>
      </c>
      <c r="H163" s="6">
        <v>0</v>
      </c>
      <c r="I163" s="6">
        <v>0</v>
      </c>
    </row>
    <row r="164" spans="2:9" ht="15.75" customHeight="1" x14ac:dyDescent="0.25">
      <c r="B164" s="6" t="s">
        <v>722</v>
      </c>
      <c r="C164" s="6" t="s">
        <v>723</v>
      </c>
      <c r="D164" s="6" t="s">
        <v>485</v>
      </c>
      <c r="E164" s="6">
        <v>11</v>
      </c>
      <c r="F164" s="6">
        <v>7000</v>
      </c>
      <c r="G164" s="6">
        <v>77000</v>
      </c>
      <c r="H164" s="6">
        <v>0</v>
      </c>
      <c r="I164" s="6">
        <v>0</v>
      </c>
    </row>
    <row r="165" spans="2:9" ht="15.75" customHeight="1" x14ac:dyDescent="0.25">
      <c r="B165" s="5" t="s">
        <v>117</v>
      </c>
      <c r="C165" s="5" t="s">
        <v>724</v>
      </c>
      <c r="D165" s="1"/>
      <c r="E165" s="1"/>
      <c r="F165" s="1"/>
      <c r="G165" s="5">
        <v>6615</v>
      </c>
      <c r="H165" s="1"/>
      <c r="I165" s="5">
        <v>20287.7</v>
      </c>
    </row>
    <row r="166" spans="2:9" ht="15.75" customHeight="1" x14ac:dyDescent="0.25">
      <c r="B166" s="6" t="s">
        <v>119</v>
      </c>
      <c r="C166" s="6" t="s">
        <v>725</v>
      </c>
      <c r="D166" s="6" t="s">
        <v>485</v>
      </c>
      <c r="E166" s="6">
        <v>35</v>
      </c>
      <c r="F166" s="6">
        <v>0</v>
      </c>
      <c r="G166" s="6">
        <v>0</v>
      </c>
      <c r="H166" s="6">
        <v>6.5</v>
      </c>
      <c r="I166" s="6">
        <v>227.5</v>
      </c>
    </row>
    <row r="167" spans="2:9" ht="15.75" customHeight="1" x14ac:dyDescent="0.25">
      <c r="B167" s="6" t="s">
        <v>121</v>
      </c>
      <c r="C167" s="6" t="s">
        <v>726</v>
      </c>
      <c r="D167" s="6" t="s">
        <v>485</v>
      </c>
      <c r="E167" s="6">
        <v>346</v>
      </c>
      <c r="F167" s="6">
        <v>0</v>
      </c>
      <c r="G167" s="6">
        <v>0</v>
      </c>
      <c r="H167" s="6">
        <v>31</v>
      </c>
      <c r="I167" s="6">
        <v>10726</v>
      </c>
    </row>
    <row r="168" spans="2:9" ht="15.75" customHeight="1" x14ac:dyDescent="0.25">
      <c r="B168" s="6" t="s">
        <v>123</v>
      </c>
      <c r="C168" s="6" t="s">
        <v>727</v>
      </c>
      <c r="D168" s="6" t="s">
        <v>485</v>
      </c>
      <c r="E168" s="6">
        <v>49</v>
      </c>
      <c r="F168" s="6">
        <v>0</v>
      </c>
      <c r="G168" s="6">
        <v>0</v>
      </c>
      <c r="H168" s="6">
        <v>45</v>
      </c>
      <c r="I168" s="6">
        <v>2205</v>
      </c>
    </row>
    <row r="169" spans="2:9" ht="15.75" customHeight="1" x14ac:dyDescent="0.25">
      <c r="B169" s="6" t="s">
        <v>125</v>
      </c>
      <c r="C169" s="6" t="s">
        <v>728</v>
      </c>
      <c r="D169" s="6" t="s">
        <v>485</v>
      </c>
      <c r="E169" s="6">
        <v>43</v>
      </c>
      <c r="F169" s="6">
        <v>0</v>
      </c>
      <c r="G169" s="6">
        <v>0</v>
      </c>
      <c r="H169" s="6">
        <v>36</v>
      </c>
      <c r="I169" s="6">
        <v>1548</v>
      </c>
    </row>
    <row r="170" spans="2:9" ht="15.75" customHeight="1" x14ac:dyDescent="0.25">
      <c r="B170" s="6" t="s">
        <v>127</v>
      </c>
      <c r="C170" s="6" t="s">
        <v>729</v>
      </c>
      <c r="D170" s="6" t="s">
        <v>485</v>
      </c>
      <c r="E170" s="6">
        <v>18</v>
      </c>
      <c r="F170" s="6">
        <v>0</v>
      </c>
      <c r="G170" s="6">
        <v>0</v>
      </c>
      <c r="H170" s="6">
        <v>11.2</v>
      </c>
      <c r="I170" s="6">
        <v>201.6</v>
      </c>
    </row>
    <row r="171" spans="2:9" ht="15.75" customHeight="1" x14ac:dyDescent="0.25">
      <c r="B171" s="6" t="s">
        <v>129</v>
      </c>
      <c r="C171" s="6" t="s">
        <v>730</v>
      </c>
      <c r="D171" s="6" t="s">
        <v>485</v>
      </c>
      <c r="E171" s="6">
        <v>408</v>
      </c>
      <c r="F171" s="6">
        <v>0</v>
      </c>
      <c r="G171" s="6">
        <v>0</v>
      </c>
      <c r="H171" s="6">
        <v>2.7</v>
      </c>
      <c r="I171" s="6">
        <v>1101.5999999999999</v>
      </c>
    </row>
    <row r="172" spans="2:9" ht="15.75" customHeight="1" x14ac:dyDescent="0.25">
      <c r="B172" s="6" t="s">
        <v>131</v>
      </c>
      <c r="C172" s="6" t="s">
        <v>731</v>
      </c>
      <c r="D172" s="6" t="s">
        <v>485</v>
      </c>
      <c r="E172" s="6">
        <v>49</v>
      </c>
      <c r="F172" s="6">
        <v>135</v>
      </c>
      <c r="G172" s="6">
        <v>6615</v>
      </c>
      <c r="H172" s="6">
        <v>0</v>
      </c>
      <c r="I172" s="6">
        <v>0</v>
      </c>
    </row>
    <row r="173" spans="2:9" ht="15.75" customHeight="1" x14ac:dyDescent="0.25">
      <c r="B173" s="6" t="s">
        <v>133</v>
      </c>
      <c r="C173" s="6" t="s">
        <v>732</v>
      </c>
      <c r="D173" s="6" t="s">
        <v>485</v>
      </c>
      <c r="E173" s="6">
        <v>690</v>
      </c>
      <c r="F173" s="6">
        <v>0</v>
      </c>
      <c r="G173" s="6">
        <v>0</v>
      </c>
      <c r="H173" s="6">
        <v>6.2</v>
      </c>
      <c r="I173" s="6">
        <v>4278</v>
      </c>
    </row>
    <row r="174" spans="2:9" ht="15.75" customHeight="1" x14ac:dyDescent="0.25">
      <c r="B174" s="5" t="s">
        <v>135</v>
      </c>
      <c r="C174" s="5" t="s">
        <v>733</v>
      </c>
      <c r="D174" s="1"/>
      <c r="E174" s="1"/>
      <c r="F174" s="1"/>
      <c r="G174" s="5">
        <v>1082539.25</v>
      </c>
      <c r="H174" s="1"/>
      <c r="I174" s="5">
        <v>0</v>
      </c>
    </row>
    <row r="175" spans="2:9" ht="15.75" customHeight="1" x14ac:dyDescent="0.25">
      <c r="B175" s="7" t="s">
        <v>137</v>
      </c>
      <c r="C175" s="7" t="s">
        <v>734</v>
      </c>
      <c r="D175" s="1"/>
      <c r="E175" s="1"/>
      <c r="F175" s="1"/>
      <c r="G175" s="7">
        <v>18878.84</v>
      </c>
      <c r="H175" s="1"/>
      <c r="I175" s="7">
        <v>0</v>
      </c>
    </row>
    <row r="176" spans="2:9" ht="15.75" customHeight="1" x14ac:dyDescent="0.25">
      <c r="B176" s="6" t="s">
        <v>735</v>
      </c>
      <c r="C176" s="6" t="s">
        <v>736</v>
      </c>
      <c r="D176" s="6" t="s">
        <v>485</v>
      </c>
      <c r="E176" s="6">
        <v>15</v>
      </c>
      <c r="F176" s="6">
        <v>459.09</v>
      </c>
      <c r="G176" s="6">
        <v>6886.35</v>
      </c>
      <c r="H176" s="6">
        <v>0</v>
      </c>
      <c r="I176" s="6">
        <v>0</v>
      </c>
    </row>
    <row r="177" spans="2:9" ht="15.75" customHeight="1" x14ac:dyDescent="0.25">
      <c r="B177" s="6" t="s">
        <v>737</v>
      </c>
      <c r="C177" s="6" t="s">
        <v>738</v>
      </c>
      <c r="D177" s="6" t="s">
        <v>485</v>
      </c>
      <c r="E177" s="6">
        <v>11</v>
      </c>
      <c r="F177" s="6">
        <v>700.3</v>
      </c>
      <c r="G177" s="6">
        <v>7703.3</v>
      </c>
      <c r="H177" s="6">
        <v>0</v>
      </c>
      <c r="I177" s="6">
        <v>0</v>
      </c>
    </row>
    <row r="178" spans="2:9" ht="15.75" customHeight="1" x14ac:dyDescent="0.25">
      <c r="B178" s="6" t="s">
        <v>739</v>
      </c>
      <c r="C178" s="6" t="s">
        <v>740</v>
      </c>
      <c r="D178" s="6" t="s">
        <v>485</v>
      </c>
      <c r="E178" s="6">
        <v>1</v>
      </c>
      <c r="F178" s="6">
        <v>340.09</v>
      </c>
      <c r="G178" s="6">
        <v>340.09</v>
      </c>
      <c r="H178" s="6">
        <v>0</v>
      </c>
      <c r="I178" s="6">
        <v>0</v>
      </c>
    </row>
    <row r="179" spans="2:9" ht="15.75" customHeight="1" x14ac:dyDescent="0.25">
      <c r="B179" s="6" t="s">
        <v>741</v>
      </c>
      <c r="C179" s="6" t="s">
        <v>742</v>
      </c>
      <c r="D179" s="6" t="s">
        <v>485</v>
      </c>
      <c r="E179" s="6">
        <v>10</v>
      </c>
      <c r="F179" s="6">
        <v>159.78</v>
      </c>
      <c r="G179" s="6">
        <v>1597.8</v>
      </c>
      <c r="H179" s="6">
        <v>0</v>
      </c>
      <c r="I179" s="6">
        <v>0</v>
      </c>
    </row>
    <row r="180" spans="2:9" ht="15.75" customHeight="1" x14ac:dyDescent="0.25">
      <c r="B180" s="6" t="s">
        <v>743</v>
      </c>
      <c r="C180" s="6" t="s">
        <v>744</v>
      </c>
      <c r="D180" s="6" t="s">
        <v>485</v>
      </c>
      <c r="E180" s="6">
        <v>10</v>
      </c>
      <c r="F180" s="6">
        <v>235.13</v>
      </c>
      <c r="G180" s="6">
        <v>2351.3000000000002</v>
      </c>
      <c r="H180" s="6">
        <v>0</v>
      </c>
      <c r="I180" s="6">
        <v>0</v>
      </c>
    </row>
    <row r="181" spans="2:9" ht="15.75" customHeight="1" x14ac:dyDescent="0.25">
      <c r="B181" s="7" t="s">
        <v>139</v>
      </c>
      <c r="C181" s="7" t="s">
        <v>734</v>
      </c>
      <c r="D181" s="1"/>
      <c r="E181" s="1"/>
      <c r="F181" s="1"/>
      <c r="G181" s="7">
        <v>11375.64</v>
      </c>
      <c r="H181" s="1"/>
      <c r="I181" s="7">
        <v>0</v>
      </c>
    </row>
    <row r="182" spans="2:9" ht="15.75" customHeight="1" x14ac:dyDescent="0.25">
      <c r="B182" s="6" t="s">
        <v>745</v>
      </c>
      <c r="C182" s="6" t="s">
        <v>746</v>
      </c>
      <c r="D182" s="6" t="s">
        <v>474</v>
      </c>
      <c r="E182" s="6">
        <v>18</v>
      </c>
      <c r="F182" s="6">
        <v>631.98</v>
      </c>
      <c r="G182" s="6">
        <v>11375.64</v>
      </c>
      <c r="H182" s="6">
        <v>0</v>
      </c>
      <c r="I182" s="6">
        <v>0</v>
      </c>
    </row>
    <row r="183" spans="2:9" ht="15.75" customHeight="1" x14ac:dyDescent="0.25">
      <c r="B183" s="7" t="s">
        <v>747</v>
      </c>
      <c r="C183" s="7" t="s">
        <v>748</v>
      </c>
      <c r="D183" s="1"/>
      <c r="E183" s="1"/>
      <c r="F183" s="1"/>
      <c r="G183" s="7">
        <v>81568.5</v>
      </c>
      <c r="H183" s="1"/>
      <c r="I183" s="7">
        <v>0</v>
      </c>
    </row>
    <row r="184" spans="2:9" ht="15.75" customHeight="1" x14ac:dyDescent="0.25">
      <c r="B184" s="6" t="s">
        <v>749</v>
      </c>
      <c r="C184" s="6" t="s">
        <v>750</v>
      </c>
      <c r="D184" s="6" t="s">
        <v>34</v>
      </c>
      <c r="E184" s="6">
        <v>8.5</v>
      </c>
      <c r="F184" s="6">
        <v>470</v>
      </c>
      <c r="G184" s="6">
        <v>3995</v>
      </c>
      <c r="H184" s="6">
        <v>0</v>
      </c>
      <c r="I184" s="6">
        <v>0</v>
      </c>
    </row>
    <row r="185" spans="2:9" ht="15.75" customHeight="1" x14ac:dyDescent="0.25">
      <c r="B185" s="6" t="s">
        <v>751</v>
      </c>
      <c r="C185" s="6" t="s">
        <v>752</v>
      </c>
      <c r="D185" s="6" t="s">
        <v>34</v>
      </c>
      <c r="E185" s="6">
        <v>2.7</v>
      </c>
      <c r="F185" s="6">
        <v>470</v>
      </c>
      <c r="G185" s="6">
        <v>1269</v>
      </c>
      <c r="H185" s="6">
        <v>0</v>
      </c>
      <c r="I185" s="6">
        <v>0</v>
      </c>
    </row>
    <row r="186" spans="2:9" ht="15.75" customHeight="1" x14ac:dyDescent="0.25">
      <c r="B186" s="6" t="s">
        <v>753</v>
      </c>
      <c r="C186" s="6" t="s">
        <v>754</v>
      </c>
      <c r="D186" s="6" t="s">
        <v>34</v>
      </c>
      <c r="E186" s="6">
        <v>2.63</v>
      </c>
      <c r="F186" s="6">
        <v>470</v>
      </c>
      <c r="G186" s="6">
        <v>1236.0999999999999</v>
      </c>
      <c r="H186" s="6">
        <v>0</v>
      </c>
      <c r="I186" s="6">
        <v>0</v>
      </c>
    </row>
    <row r="187" spans="2:9" ht="15.75" customHeight="1" x14ac:dyDescent="0.25">
      <c r="B187" s="6" t="s">
        <v>755</v>
      </c>
      <c r="C187" s="6" t="s">
        <v>756</v>
      </c>
      <c r="D187" s="6" t="s">
        <v>34</v>
      </c>
      <c r="E187" s="6">
        <v>2.4500000000000002</v>
      </c>
      <c r="F187" s="6">
        <v>470</v>
      </c>
      <c r="G187" s="6">
        <v>1151.5</v>
      </c>
      <c r="H187" s="6">
        <v>0</v>
      </c>
      <c r="I187" s="6">
        <v>0</v>
      </c>
    </row>
    <row r="188" spans="2:9" ht="15.75" customHeight="1" x14ac:dyDescent="0.25">
      <c r="B188" s="6" t="s">
        <v>757</v>
      </c>
      <c r="C188" s="6" t="s">
        <v>758</v>
      </c>
      <c r="D188" s="6" t="s">
        <v>34</v>
      </c>
      <c r="E188" s="6">
        <v>2.6</v>
      </c>
      <c r="F188" s="6">
        <v>470</v>
      </c>
      <c r="G188" s="6">
        <v>1222</v>
      </c>
      <c r="H188" s="6">
        <v>0</v>
      </c>
      <c r="I188" s="6">
        <v>0</v>
      </c>
    </row>
    <row r="189" spans="2:9" ht="15.75" customHeight="1" x14ac:dyDescent="0.25">
      <c r="B189" s="6" t="s">
        <v>759</v>
      </c>
      <c r="C189" s="6" t="s">
        <v>760</v>
      </c>
      <c r="D189" s="6" t="s">
        <v>34</v>
      </c>
      <c r="E189" s="6">
        <v>2.7</v>
      </c>
      <c r="F189" s="6">
        <v>470</v>
      </c>
      <c r="G189" s="6">
        <v>1269</v>
      </c>
      <c r="H189" s="6">
        <v>0</v>
      </c>
      <c r="I189" s="6">
        <v>0</v>
      </c>
    </row>
    <row r="190" spans="2:9" ht="15.75" customHeight="1" x14ac:dyDescent="0.25">
      <c r="B190" s="6" t="s">
        <v>761</v>
      </c>
      <c r="C190" s="6" t="s">
        <v>762</v>
      </c>
      <c r="D190" s="6" t="s">
        <v>34</v>
      </c>
      <c r="E190" s="6">
        <v>1.4</v>
      </c>
      <c r="F190" s="6">
        <v>470</v>
      </c>
      <c r="G190" s="6">
        <v>658</v>
      </c>
      <c r="H190" s="6">
        <v>0</v>
      </c>
      <c r="I190" s="6">
        <v>0</v>
      </c>
    </row>
    <row r="191" spans="2:9" ht="15.75" customHeight="1" x14ac:dyDescent="0.25">
      <c r="B191" s="6" t="s">
        <v>763</v>
      </c>
      <c r="C191" s="6" t="s">
        <v>764</v>
      </c>
      <c r="D191" s="6" t="s">
        <v>34</v>
      </c>
      <c r="E191" s="6">
        <v>3.33</v>
      </c>
      <c r="F191" s="6">
        <v>470</v>
      </c>
      <c r="G191" s="6">
        <v>1565.1</v>
      </c>
      <c r="H191" s="6">
        <v>0</v>
      </c>
      <c r="I191" s="6">
        <v>0</v>
      </c>
    </row>
    <row r="192" spans="2:9" ht="15.75" customHeight="1" x14ac:dyDescent="0.25">
      <c r="B192" s="6" t="s">
        <v>765</v>
      </c>
      <c r="C192" s="6" t="s">
        <v>766</v>
      </c>
      <c r="D192" s="6" t="s">
        <v>34</v>
      </c>
      <c r="E192" s="6">
        <v>8.5</v>
      </c>
      <c r="F192" s="6">
        <v>470</v>
      </c>
      <c r="G192" s="6">
        <v>3995</v>
      </c>
      <c r="H192" s="6">
        <v>0</v>
      </c>
      <c r="I192" s="6">
        <v>0</v>
      </c>
    </row>
    <row r="193" spans="2:9" ht="15.75" customHeight="1" x14ac:dyDescent="0.25">
      <c r="B193" s="6" t="s">
        <v>767</v>
      </c>
      <c r="C193" s="6" t="s">
        <v>768</v>
      </c>
      <c r="D193" s="6" t="s">
        <v>34</v>
      </c>
      <c r="E193" s="6">
        <v>2.4500000000000002</v>
      </c>
      <c r="F193" s="6">
        <v>470</v>
      </c>
      <c r="G193" s="6">
        <v>1151.5</v>
      </c>
      <c r="H193" s="6">
        <v>0</v>
      </c>
      <c r="I193" s="6">
        <v>0</v>
      </c>
    </row>
    <row r="194" spans="2:9" ht="15.75" customHeight="1" x14ac:dyDescent="0.25">
      <c r="B194" s="6" t="s">
        <v>769</v>
      </c>
      <c r="C194" s="6" t="s">
        <v>770</v>
      </c>
      <c r="D194" s="6" t="s">
        <v>34</v>
      </c>
      <c r="E194" s="6">
        <v>2.73</v>
      </c>
      <c r="F194" s="6">
        <v>470</v>
      </c>
      <c r="G194" s="6">
        <v>1283.0999999999999</v>
      </c>
      <c r="H194" s="6">
        <v>0</v>
      </c>
      <c r="I194" s="6">
        <v>0</v>
      </c>
    </row>
    <row r="195" spans="2:9" ht="15.75" customHeight="1" x14ac:dyDescent="0.25">
      <c r="B195" s="6" t="s">
        <v>771</v>
      </c>
      <c r="C195" s="6" t="s">
        <v>772</v>
      </c>
      <c r="D195" s="6" t="s">
        <v>34</v>
      </c>
      <c r="E195" s="6">
        <v>2.73</v>
      </c>
      <c r="F195" s="6">
        <v>470</v>
      </c>
      <c r="G195" s="6">
        <v>1283.0999999999999</v>
      </c>
      <c r="H195" s="6">
        <v>0</v>
      </c>
      <c r="I195" s="6">
        <v>0</v>
      </c>
    </row>
    <row r="196" spans="2:9" ht="15.75" customHeight="1" x14ac:dyDescent="0.25">
      <c r="B196" s="6" t="s">
        <v>773</v>
      </c>
      <c r="C196" s="6" t="s">
        <v>774</v>
      </c>
      <c r="D196" s="6" t="s">
        <v>34</v>
      </c>
      <c r="E196" s="6">
        <v>2.73</v>
      </c>
      <c r="F196" s="6">
        <v>470</v>
      </c>
      <c r="G196" s="6">
        <v>1283.0999999999999</v>
      </c>
      <c r="H196" s="6">
        <v>0</v>
      </c>
      <c r="I196" s="6">
        <v>0</v>
      </c>
    </row>
    <row r="197" spans="2:9" ht="15.75" customHeight="1" x14ac:dyDescent="0.25">
      <c r="B197" s="6" t="s">
        <v>775</v>
      </c>
      <c r="C197" s="6" t="s">
        <v>776</v>
      </c>
      <c r="D197" s="6" t="s">
        <v>34</v>
      </c>
      <c r="E197" s="6">
        <v>2.7</v>
      </c>
      <c r="F197" s="6">
        <v>470</v>
      </c>
      <c r="G197" s="6">
        <v>1269</v>
      </c>
      <c r="H197" s="6">
        <v>0</v>
      </c>
      <c r="I197" s="6">
        <v>0</v>
      </c>
    </row>
    <row r="198" spans="2:9" ht="15.75" customHeight="1" x14ac:dyDescent="0.25">
      <c r="B198" s="6" t="s">
        <v>777</v>
      </c>
      <c r="C198" s="6" t="s">
        <v>778</v>
      </c>
      <c r="D198" s="6" t="s">
        <v>34</v>
      </c>
      <c r="E198" s="6">
        <v>2.7</v>
      </c>
      <c r="F198" s="6">
        <v>470</v>
      </c>
      <c r="G198" s="6">
        <v>1269</v>
      </c>
      <c r="H198" s="6">
        <v>0</v>
      </c>
      <c r="I198" s="6">
        <v>0</v>
      </c>
    </row>
    <row r="199" spans="2:9" ht="15.75" customHeight="1" x14ac:dyDescent="0.25">
      <c r="B199" s="6" t="s">
        <v>779</v>
      </c>
      <c r="C199" s="6" t="s">
        <v>780</v>
      </c>
      <c r="D199" s="6" t="s">
        <v>34</v>
      </c>
      <c r="E199" s="6">
        <v>2.63</v>
      </c>
      <c r="F199" s="6">
        <v>470</v>
      </c>
      <c r="G199" s="6">
        <v>1236.0999999999999</v>
      </c>
      <c r="H199" s="6">
        <v>0</v>
      </c>
      <c r="I199" s="6">
        <v>0</v>
      </c>
    </row>
    <row r="200" spans="2:9" ht="15.75" customHeight="1" x14ac:dyDescent="0.25">
      <c r="B200" s="6" t="s">
        <v>781</v>
      </c>
      <c r="C200" s="6" t="s">
        <v>782</v>
      </c>
      <c r="D200" s="6" t="s">
        <v>34</v>
      </c>
      <c r="E200" s="6">
        <v>2.4500000000000002</v>
      </c>
      <c r="F200" s="6">
        <v>470</v>
      </c>
      <c r="G200" s="6">
        <v>1151.5</v>
      </c>
      <c r="H200" s="6">
        <v>0</v>
      </c>
      <c r="I200" s="6">
        <v>0</v>
      </c>
    </row>
    <row r="201" spans="2:9" ht="15.75" customHeight="1" x14ac:dyDescent="0.25">
      <c r="B201" s="6" t="s">
        <v>783</v>
      </c>
      <c r="C201" s="6" t="s">
        <v>784</v>
      </c>
      <c r="D201" s="6" t="s">
        <v>34</v>
      </c>
      <c r="E201" s="6">
        <v>2.6</v>
      </c>
      <c r="F201" s="6">
        <v>470</v>
      </c>
      <c r="G201" s="6">
        <v>1222</v>
      </c>
      <c r="H201" s="6">
        <v>0</v>
      </c>
      <c r="I201" s="6">
        <v>0</v>
      </c>
    </row>
    <row r="202" spans="2:9" ht="15.75" customHeight="1" x14ac:dyDescent="0.25">
      <c r="B202" s="6" t="s">
        <v>785</v>
      </c>
      <c r="C202" s="6" t="s">
        <v>786</v>
      </c>
      <c r="D202" s="6" t="s">
        <v>34</v>
      </c>
      <c r="E202" s="6">
        <v>3.33</v>
      </c>
      <c r="F202" s="6">
        <v>470</v>
      </c>
      <c r="G202" s="6">
        <v>1565.1</v>
      </c>
      <c r="H202" s="6">
        <v>0</v>
      </c>
      <c r="I202" s="6">
        <v>0</v>
      </c>
    </row>
    <row r="203" spans="2:9" ht="15.75" customHeight="1" x14ac:dyDescent="0.25">
      <c r="B203" s="6" t="s">
        <v>787</v>
      </c>
      <c r="C203" s="6" t="s">
        <v>788</v>
      </c>
      <c r="D203" s="6" t="s">
        <v>34</v>
      </c>
      <c r="E203" s="6">
        <v>3.33</v>
      </c>
      <c r="F203" s="6">
        <v>470</v>
      </c>
      <c r="G203" s="6">
        <v>1565.1</v>
      </c>
      <c r="H203" s="6">
        <v>0</v>
      </c>
      <c r="I203" s="6">
        <v>0</v>
      </c>
    </row>
    <row r="204" spans="2:9" ht="15.75" customHeight="1" x14ac:dyDescent="0.25">
      <c r="B204" s="6" t="s">
        <v>789</v>
      </c>
      <c r="C204" s="6" t="s">
        <v>790</v>
      </c>
      <c r="D204" s="6" t="s">
        <v>34</v>
      </c>
      <c r="E204" s="6">
        <v>3.33</v>
      </c>
      <c r="F204" s="6">
        <v>470</v>
      </c>
      <c r="G204" s="6">
        <v>1565.1</v>
      </c>
      <c r="H204" s="6">
        <v>0</v>
      </c>
      <c r="I204" s="6">
        <v>0</v>
      </c>
    </row>
    <row r="205" spans="2:9" ht="15.75" customHeight="1" x14ac:dyDescent="0.25">
      <c r="B205" s="6" t="s">
        <v>791</v>
      </c>
      <c r="C205" s="6" t="s">
        <v>792</v>
      </c>
      <c r="D205" s="6" t="s">
        <v>34</v>
      </c>
      <c r="E205" s="6">
        <v>3.33</v>
      </c>
      <c r="F205" s="6">
        <v>470</v>
      </c>
      <c r="G205" s="6">
        <v>1565.1</v>
      </c>
      <c r="H205" s="6">
        <v>0</v>
      </c>
      <c r="I205" s="6">
        <v>0</v>
      </c>
    </row>
    <row r="206" spans="2:9" ht="15.75" customHeight="1" x14ac:dyDescent="0.25">
      <c r="B206" s="6" t="s">
        <v>793</v>
      </c>
      <c r="C206" s="6" t="s">
        <v>794</v>
      </c>
      <c r="D206" s="6" t="s">
        <v>34</v>
      </c>
      <c r="E206" s="6">
        <v>3.33</v>
      </c>
      <c r="F206" s="6">
        <v>470</v>
      </c>
      <c r="G206" s="6">
        <v>1565.1</v>
      </c>
      <c r="H206" s="6">
        <v>0</v>
      </c>
      <c r="I206" s="6">
        <v>0</v>
      </c>
    </row>
    <row r="207" spans="2:9" ht="15.75" customHeight="1" x14ac:dyDescent="0.25">
      <c r="B207" s="6" t="s">
        <v>795</v>
      </c>
      <c r="C207" s="6" t="s">
        <v>796</v>
      </c>
      <c r="D207" s="6" t="s">
        <v>34</v>
      </c>
      <c r="E207" s="6">
        <v>3.33</v>
      </c>
      <c r="F207" s="6">
        <v>470</v>
      </c>
      <c r="G207" s="6">
        <v>1565.1</v>
      </c>
      <c r="H207" s="6">
        <v>0</v>
      </c>
      <c r="I207" s="6">
        <v>0</v>
      </c>
    </row>
    <row r="208" spans="2:9" ht="15.75" customHeight="1" x14ac:dyDescent="0.25">
      <c r="B208" s="6" t="s">
        <v>797</v>
      </c>
      <c r="C208" s="6" t="s">
        <v>798</v>
      </c>
      <c r="D208" s="6" t="s">
        <v>34</v>
      </c>
      <c r="E208" s="6">
        <v>3.33</v>
      </c>
      <c r="F208" s="6">
        <v>470</v>
      </c>
      <c r="G208" s="6">
        <v>1565.1</v>
      </c>
      <c r="H208" s="6">
        <v>0</v>
      </c>
      <c r="I208" s="6">
        <v>0</v>
      </c>
    </row>
    <row r="209" spans="2:9" ht="15.75" customHeight="1" x14ac:dyDescent="0.25">
      <c r="B209" s="6" t="s">
        <v>799</v>
      </c>
      <c r="C209" s="6" t="s">
        <v>800</v>
      </c>
      <c r="D209" s="6" t="s">
        <v>34</v>
      </c>
      <c r="E209" s="6">
        <v>3.33</v>
      </c>
      <c r="F209" s="6">
        <v>470</v>
      </c>
      <c r="G209" s="6">
        <v>1565.1</v>
      </c>
      <c r="H209" s="6">
        <v>0</v>
      </c>
      <c r="I209" s="6">
        <v>0</v>
      </c>
    </row>
    <row r="210" spans="2:9" ht="15.75" customHeight="1" x14ac:dyDescent="0.25">
      <c r="B210" s="6" t="s">
        <v>801</v>
      </c>
      <c r="C210" s="6" t="s">
        <v>802</v>
      </c>
      <c r="D210" s="6" t="s">
        <v>34</v>
      </c>
      <c r="E210" s="6">
        <v>2.7</v>
      </c>
      <c r="F210" s="6">
        <v>470</v>
      </c>
      <c r="G210" s="6">
        <v>1269</v>
      </c>
      <c r="H210" s="6">
        <v>0</v>
      </c>
      <c r="I210" s="6">
        <v>0</v>
      </c>
    </row>
    <row r="211" spans="2:9" ht="15.75" customHeight="1" x14ac:dyDescent="0.25">
      <c r="B211" s="6" t="s">
        <v>803</v>
      </c>
      <c r="C211" s="6" t="s">
        <v>804</v>
      </c>
      <c r="D211" s="6" t="s">
        <v>34</v>
      </c>
      <c r="E211" s="6">
        <v>1.4</v>
      </c>
      <c r="F211" s="6">
        <v>470</v>
      </c>
      <c r="G211" s="6">
        <v>658</v>
      </c>
      <c r="H211" s="6">
        <v>0</v>
      </c>
      <c r="I211" s="6">
        <v>0</v>
      </c>
    </row>
    <row r="212" spans="2:9" ht="15.75" customHeight="1" x14ac:dyDescent="0.25">
      <c r="B212" s="6" t="s">
        <v>805</v>
      </c>
      <c r="C212" s="6" t="s">
        <v>806</v>
      </c>
      <c r="D212" s="6" t="s">
        <v>34</v>
      </c>
      <c r="E212" s="6">
        <v>3.33</v>
      </c>
      <c r="F212" s="6">
        <v>470</v>
      </c>
      <c r="G212" s="6">
        <v>1565.1</v>
      </c>
      <c r="H212" s="6">
        <v>0</v>
      </c>
      <c r="I212" s="6">
        <v>0</v>
      </c>
    </row>
    <row r="213" spans="2:9" ht="15.75" customHeight="1" x14ac:dyDescent="0.25">
      <c r="B213" s="6" t="s">
        <v>807</v>
      </c>
      <c r="C213" s="6" t="s">
        <v>808</v>
      </c>
      <c r="D213" s="6" t="s">
        <v>34</v>
      </c>
      <c r="E213" s="6">
        <v>8.5</v>
      </c>
      <c r="F213" s="6">
        <v>470</v>
      </c>
      <c r="G213" s="6">
        <v>3995</v>
      </c>
      <c r="H213" s="6">
        <v>0</v>
      </c>
      <c r="I213" s="6">
        <v>0</v>
      </c>
    </row>
    <row r="214" spans="2:9" ht="15.75" customHeight="1" x14ac:dyDescent="0.25">
      <c r="B214" s="6" t="s">
        <v>809</v>
      </c>
      <c r="C214" s="6" t="s">
        <v>810</v>
      </c>
      <c r="D214" s="6" t="s">
        <v>34</v>
      </c>
      <c r="E214" s="6">
        <v>2.4500000000000002</v>
      </c>
      <c r="F214" s="6">
        <v>470</v>
      </c>
      <c r="G214" s="6">
        <v>1151.5</v>
      </c>
      <c r="H214" s="6">
        <v>0</v>
      </c>
      <c r="I214" s="6">
        <v>0</v>
      </c>
    </row>
    <row r="215" spans="2:9" ht="15.75" customHeight="1" x14ac:dyDescent="0.25">
      <c r="B215" s="6" t="s">
        <v>811</v>
      </c>
      <c r="C215" s="6" t="s">
        <v>812</v>
      </c>
      <c r="D215" s="6" t="s">
        <v>34</v>
      </c>
      <c r="E215" s="6">
        <v>2.73</v>
      </c>
      <c r="F215" s="6">
        <v>470</v>
      </c>
      <c r="G215" s="6">
        <v>1283.0999999999999</v>
      </c>
      <c r="H215" s="6">
        <v>0</v>
      </c>
      <c r="I215" s="6">
        <v>0</v>
      </c>
    </row>
    <row r="216" spans="2:9" ht="15.75" customHeight="1" x14ac:dyDescent="0.25">
      <c r="B216" s="6" t="s">
        <v>813</v>
      </c>
      <c r="C216" s="6" t="s">
        <v>814</v>
      </c>
      <c r="D216" s="6" t="s">
        <v>34</v>
      </c>
      <c r="E216" s="6">
        <v>2.73</v>
      </c>
      <c r="F216" s="6">
        <v>470</v>
      </c>
      <c r="G216" s="6">
        <v>1283.0999999999999</v>
      </c>
      <c r="H216" s="6">
        <v>0</v>
      </c>
      <c r="I216" s="6">
        <v>0</v>
      </c>
    </row>
    <row r="217" spans="2:9" ht="15.75" customHeight="1" x14ac:dyDescent="0.25">
      <c r="B217" s="6" t="s">
        <v>815</v>
      </c>
      <c r="C217" s="6" t="s">
        <v>816</v>
      </c>
      <c r="D217" s="6" t="s">
        <v>34</v>
      </c>
      <c r="E217" s="6">
        <v>2.73</v>
      </c>
      <c r="F217" s="6">
        <v>470</v>
      </c>
      <c r="G217" s="6">
        <v>1283.0999999999999</v>
      </c>
      <c r="H217" s="6">
        <v>0</v>
      </c>
      <c r="I217" s="6">
        <v>0</v>
      </c>
    </row>
    <row r="218" spans="2:9" ht="15.75" customHeight="1" x14ac:dyDescent="0.25">
      <c r="B218" s="6" t="s">
        <v>817</v>
      </c>
      <c r="C218" s="6" t="s">
        <v>818</v>
      </c>
      <c r="D218" s="6" t="s">
        <v>34</v>
      </c>
      <c r="E218" s="6">
        <v>2.7</v>
      </c>
      <c r="F218" s="6">
        <v>470</v>
      </c>
      <c r="G218" s="6">
        <v>1269</v>
      </c>
      <c r="H218" s="6">
        <v>0</v>
      </c>
      <c r="I218" s="6">
        <v>0</v>
      </c>
    </row>
    <row r="219" spans="2:9" ht="15.75" customHeight="1" x14ac:dyDescent="0.25">
      <c r="B219" s="6" t="s">
        <v>819</v>
      </c>
      <c r="C219" s="6" t="s">
        <v>820</v>
      </c>
      <c r="D219" s="6" t="s">
        <v>34</v>
      </c>
      <c r="E219" s="6">
        <v>2.7</v>
      </c>
      <c r="F219" s="6">
        <v>470</v>
      </c>
      <c r="G219" s="6">
        <v>1269</v>
      </c>
      <c r="H219" s="6">
        <v>0</v>
      </c>
      <c r="I219" s="6">
        <v>0</v>
      </c>
    </row>
    <row r="220" spans="2:9" ht="15.75" customHeight="1" x14ac:dyDescent="0.25">
      <c r="B220" s="6" t="s">
        <v>821</v>
      </c>
      <c r="C220" s="6" t="s">
        <v>822</v>
      </c>
      <c r="D220" s="6" t="s">
        <v>34</v>
      </c>
      <c r="E220" s="6">
        <v>2.63</v>
      </c>
      <c r="F220" s="6">
        <v>470</v>
      </c>
      <c r="G220" s="6">
        <v>1236.0999999999999</v>
      </c>
      <c r="H220" s="6">
        <v>0</v>
      </c>
      <c r="I220" s="6">
        <v>0</v>
      </c>
    </row>
    <row r="221" spans="2:9" ht="15.75" customHeight="1" x14ac:dyDescent="0.25">
      <c r="B221" s="6" t="s">
        <v>823</v>
      </c>
      <c r="C221" s="6" t="s">
        <v>824</v>
      </c>
      <c r="D221" s="6" t="s">
        <v>34</v>
      </c>
      <c r="E221" s="6">
        <v>2.4500000000000002</v>
      </c>
      <c r="F221" s="6">
        <v>470</v>
      </c>
      <c r="G221" s="6">
        <v>1151.5</v>
      </c>
      <c r="H221" s="6">
        <v>0</v>
      </c>
      <c r="I221" s="6">
        <v>0</v>
      </c>
    </row>
    <row r="222" spans="2:9" ht="15.75" customHeight="1" x14ac:dyDescent="0.25">
      <c r="B222" s="6" t="s">
        <v>825</v>
      </c>
      <c r="C222" s="6" t="s">
        <v>826</v>
      </c>
      <c r="D222" s="6" t="s">
        <v>34</v>
      </c>
      <c r="E222" s="6">
        <v>2.6</v>
      </c>
      <c r="F222" s="6">
        <v>470</v>
      </c>
      <c r="G222" s="6">
        <v>1222</v>
      </c>
      <c r="H222" s="6">
        <v>0</v>
      </c>
      <c r="I222" s="6">
        <v>0</v>
      </c>
    </row>
    <row r="223" spans="2:9" ht="15.75" customHeight="1" x14ac:dyDescent="0.25">
      <c r="B223" s="6" t="s">
        <v>827</v>
      </c>
      <c r="C223" s="6" t="s">
        <v>828</v>
      </c>
      <c r="D223" s="6" t="s">
        <v>34</v>
      </c>
      <c r="E223" s="6">
        <v>2.7</v>
      </c>
      <c r="F223" s="6">
        <v>470</v>
      </c>
      <c r="G223" s="6">
        <v>1269</v>
      </c>
      <c r="H223" s="6">
        <v>0</v>
      </c>
      <c r="I223" s="6">
        <v>0</v>
      </c>
    </row>
    <row r="224" spans="2:9" ht="15.75" customHeight="1" x14ac:dyDescent="0.25">
      <c r="B224" s="6" t="s">
        <v>829</v>
      </c>
      <c r="C224" s="6" t="s">
        <v>830</v>
      </c>
      <c r="D224" s="6" t="s">
        <v>34</v>
      </c>
      <c r="E224" s="6">
        <v>2.7</v>
      </c>
      <c r="F224" s="6">
        <v>470</v>
      </c>
      <c r="G224" s="6">
        <v>1269</v>
      </c>
      <c r="H224" s="6">
        <v>0</v>
      </c>
      <c r="I224" s="6">
        <v>0</v>
      </c>
    </row>
    <row r="225" spans="2:9" ht="15.75" customHeight="1" x14ac:dyDescent="0.25">
      <c r="B225" s="6" t="s">
        <v>831</v>
      </c>
      <c r="C225" s="6" t="s">
        <v>832</v>
      </c>
      <c r="D225" s="6" t="s">
        <v>34</v>
      </c>
      <c r="E225" s="6">
        <v>3.33</v>
      </c>
      <c r="F225" s="6">
        <v>470</v>
      </c>
      <c r="G225" s="6">
        <v>1565.1</v>
      </c>
      <c r="H225" s="6">
        <v>0</v>
      </c>
      <c r="I225" s="6">
        <v>0</v>
      </c>
    </row>
    <row r="226" spans="2:9" ht="15.75" customHeight="1" x14ac:dyDescent="0.25">
      <c r="B226" s="6" t="s">
        <v>833</v>
      </c>
      <c r="C226" s="6" t="s">
        <v>834</v>
      </c>
      <c r="D226" s="6" t="s">
        <v>34</v>
      </c>
      <c r="E226" s="6">
        <v>8.6</v>
      </c>
      <c r="F226" s="6">
        <v>470</v>
      </c>
      <c r="G226" s="6">
        <v>4042</v>
      </c>
      <c r="H226" s="6">
        <v>0</v>
      </c>
      <c r="I226" s="6">
        <v>0</v>
      </c>
    </row>
    <row r="227" spans="2:9" ht="15.75" customHeight="1" x14ac:dyDescent="0.25">
      <c r="B227" s="6" t="s">
        <v>835</v>
      </c>
      <c r="C227" s="6" t="s">
        <v>836</v>
      </c>
      <c r="D227" s="6" t="s">
        <v>34</v>
      </c>
      <c r="E227" s="6">
        <v>2.4500000000000002</v>
      </c>
      <c r="F227" s="6">
        <v>470</v>
      </c>
      <c r="G227" s="6">
        <v>1151.5</v>
      </c>
      <c r="H227" s="6">
        <v>0</v>
      </c>
      <c r="I227" s="6">
        <v>0</v>
      </c>
    </row>
    <row r="228" spans="2:9" ht="15.75" customHeight="1" x14ac:dyDescent="0.25">
      <c r="B228" s="6" t="s">
        <v>837</v>
      </c>
      <c r="C228" s="6" t="s">
        <v>838</v>
      </c>
      <c r="D228" s="6" t="s">
        <v>34</v>
      </c>
      <c r="E228" s="6">
        <v>2.73</v>
      </c>
      <c r="F228" s="6">
        <v>470</v>
      </c>
      <c r="G228" s="6">
        <v>1283.0999999999999</v>
      </c>
      <c r="H228" s="6">
        <v>0</v>
      </c>
      <c r="I228" s="6">
        <v>0</v>
      </c>
    </row>
    <row r="229" spans="2:9" ht="15.75" customHeight="1" x14ac:dyDescent="0.25">
      <c r="B229" s="6" t="s">
        <v>839</v>
      </c>
      <c r="C229" s="6" t="s">
        <v>840</v>
      </c>
      <c r="D229" s="6" t="s">
        <v>34</v>
      </c>
      <c r="E229" s="6">
        <v>2.73</v>
      </c>
      <c r="F229" s="6">
        <v>470</v>
      </c>
      <c r="G229" s="6">
        <v>1283.0999999999999</v>
      </c>
      <c r="H229" s="6">
        <v>0</v>
      </c>
      <c r="I229" s="6">
        <v>0</v>
      </c>
    </row>
    <row r="230" spans="2:9" ht="15.75" customHeight="1" x14ac:dyDescent="0.25">
      <c r="B230" s="6" t="s">
        <v>841</v>
      </c>
      <c r="C230" s="6" t="s">
        <v>842</v>
      </c>
      <c r="D230" s="6" t="s">
        <v>34</v>
      </c>
      <c r="E230" s="6">
        <v>2.73</v>
      </c>
      <c r="F230" s="6">
        <v>470</v>
      </c>
      <c r="G230" s="6">
        <v>1283.0999999999999</v>
      </c>
      <c r="H230" s="6">
        <v>0</v>
      </c>
      <c r="I230" s="6">
        <v>0</v>
      </c>
    </row>
    <row r="231" spans="2:9" ht="15.75" customHeight="1" x14ac:dyDescent="0.25">
      <c r="B231" s="6" t="s">
        <v>843</v>
      </c>
      <c r="C231" s="6" t="s">
        <v>844</v>
      </c>
      <c r="D231" s="6" t="s">
        <v>34</v>
      </c>
      <c r="E231" s="6">
        <v>2.7</v>
      </c>
      <c r="F231" s="6">
        <v>470</v>
      </c>
      <c r="G231" s="6">
        <v>1269</v>
      </c>
      <c r="H231" s="6">
        <v>0</v>
      </c>
      <c r="I231" s="6">
        <v>0</v>
      </c>
    </row>
    <row r="232" spans="2:9" ht="15.75" customHeight="1" x14ac:dyDescent="0.25">
      <c r="B232" s="6" t="s">
        <v>845</v>
      </c>
      <c r="C232" s="6" t="s">
        <v>846</v>
      </c>
      <c r="D232" s="6" t="s">
        <v>34</v>
      </c>
      <c r="E232" s="6">
        <v>2.7</v>
      </c>
      <c r="F232" s="6">
        <v>470</v>
      </c>
      <c r="G232" s="6">
        <v>1269</v>
      </c>
      <c r="H232" s="6">
        <v>0</v>
      </c>
      <c r="I232" s="6">
        <v>0</v>
      </c>
    </row>
    <row r="233" spans="2:9" ht="15.75" customHeight="1" x14ac:dyDescent="0.25">
      <c r="B233" s="6" t="s">
        <v>847</v>
      </c>
      <c r="C233" s="6" t="s">
        <v>848</v>
      </c>
      <c r="D233" s="6" t="s">
        <v>34</v>
      </c>
      <c r="E233" s="6">
        <v>2.63</v>
      </c>
      <c r="F233" s="6">
        <v>470</v>
      </c>
      <c r="G233" s="6">
        <v>1236.0999999999999</v>
      </c>
      <c r="H233" s="6">
        <v>0</v>
      </c>
      <c r="I233" s="6">
        <v>0</v>
      </c>
    </row>
    <row r="234" spans="2:9" ht="15.75" customHeight="1" x14ac:dyDescent="0.25">
      <c r="B234" s="6" t="s">
        <v>849</v>
      </c>
      <c r="C234" s="6" t="s">
        <v>850</v>
      </c>
      <c r="D234" s="6" t="s">
        <v>34</v>
      </c>
      <c r="E234" s="6">
        <v>2.7</v>
      </c>
      <c r="F234" s="6">
        <v>470</v>
      </c>
      <c r="G234" s="6">
        <v>1269</v>
      </c>
      <c r="H234" s="6">
        <v>0</v>
      </c>
      <c r="I234" s="6">
        <v>0</v>
      </c>
    </row>
    <row r="235" spans="2:9" ht="15.75" customHeight="1" x14ac:dyDescent="0.25">
      <c r="B235" s="6" t="s">
        <v>851</v>
      </c>
      <c r="C235" s="6" t="s">
        <v>852</v>
      </c>
      <c r="D235" s="6" t="s">
        <v>34</v>
      </c>
      <c r="E235" s="6">
        <v>2.6</v>
      </c>
      <c r="F235" s="6">
        <v>470</v>
      </c>
      <c r="G235" s="6">
        <v>1222</v>
      </c>
      <c r="H235" s="6">
        <v>0</v>
      </c>
      <c r="I235" s="6">
        <v>0</v>
      </c>
    </row>
    <row r="236" spans="2:9" ht="15.75" customHeight="1" x14ac:dyDescent="0.25">
      <c r="B236" s="6" t="s">
        <v>853</v>
      </c>
      <c r="C236" s="6" t="s">
        <v>854</v>
      </c>
      <c r="D236" s="6" t="s">
        <v>34</v>
      </c>
      <c r="E236" s="6">
        <v>2.7</v>
      </c>
      <c r="F236" s="6">
        <v>470</v>
      </c>
      <c r="G236" s="6">
        <v>1269</v>
      </c>
      <c r="H236" s="6">
        <v>0</v>
      </c>
      <c r="I236" s="6">
        <v>0</v>
      </c>
    </row>
    <row r="237" spans="2:9" ht="15.75" customHeight="1" x14ac:dyDescent="0.25">
      <c r="B237" s="6" t="s">
        <v>855</v>
      </c>
      <c r="C237" s="6" t="s">
        <v>856</v>
      </c>
      <c r="D237" s="6" t="s">
        <v>34</v>
      </c>
      <c r="E237" s="6">
        <v>1.4</v>
      </c>
      <c r="F237" s="6">
        <v>470</v>
      </c>
      <c r="G237" s="6">
        <v>658</v>
      </c>
      <c r="H237" s="6">
        <v>0</v>
      </c>
      <c r="I237" s="6">
        <v>0</v>
      </c>
    </row>
    <row r="238" spans="2:9" ht="15.75" customHeight="1" x14ac:dyDescent="0.25">
      <c r="B238" s="6" t="s">
        <v>857</v>
      </c>
      <c r="C238" s="6" t="s">
        <v>858</v>
      </c>
      <c r="D238" s="6" t="s">
        <v>34</v>
      </c>
      <c r="E238" s="6">
        <v>3.33</v>
      </c>
      <c r="F238" s="6">
        <v>470</v>
      </c>
      <c r="G238" s="6">
        <v>1565.1</v>
      </c>
      <c r="H238" s="6">
        <v>0</v>
      </c>
      <c r="I238" s="6">
        <v>0</v>
      </c>
    </row>
    <row r="239" spans="2:9" ht="15.75" customHeight="1" x14ac:dyDescent="0.25">
      <c r="B239" s="7" t="s">
        <v>859</v>
      </c>
      <c r="C239" s="7" t="s">
        <v>860</v>
      </c>
      <c r="D239" s="1"/>
      <c r="E239" s="1"/>
      <c r="F239" s="1"/>
      <c r="G239" s="7">
        <v>4230</v>
      </c>
      <c r="H239" s="1"/>
      <c r="I239" s="7">
        <v>0</v>
      </c>
    </row>
    <row r="240" spans="2:9" ht="15.75" customHeight="1" x14ac:dyDescent="0.25">
      <c r="B240" s="6" t="s">
        <v>861</v>
      </c>
      <c r="C240" s="6" t="s">
        <v>862</v>
      </c>
      <c r="D240" s="6" t="s">
        <v>34</v>
      </c>
      <c r="E240" s="6">
        <v>9</v>
      </c>
      <c r="F240" s="6">
        <v>470</v>
      </c>
      <c r="G240" s="6">
        <v>4230</v>
      </c>
      <c r="H240" s="6">
        <v>0</v>
      </c>
      <c r="I240" s="6">
        <v>0</v>
      </c>
    </row>
    <row r="241" spans="2:9" ht="15.75" customHeight="1" x14ac:dyDescent="0.25">
      <c r="B241" s="7" t="s">
        <v>863</v>
      </c>
      <c r="C241" s="7" t="s">
        <v>864</v>
      </c>
      <c r="D241" s="1"/>
      <c r="E241" s="1"/>
      <c r="F241" s="1"/>
      <c r="G241" s="7">
        <v>551070.25</v>
      </c>
      <c r="H241" s="1"/>
      <c r="I241" s="7">
        <v>0</v>
      </c>
    </row>
    <row r="242" spans="2:9" ht="15.75" customHeight="1" x14ac:dyDescent="0.25">
      <c r="B242" s="6" t="s">
        <v>865</v>
      </c>
      <c r="C242" s="6" t="s">
        <v>866</v>
      </c>
      <c r="D242" s="6" t="s">
        <v>485</v>
      </c>
      <c r="E242" s="6">
        <v>1</v>
      </c>
      <c r="F242" s="6">
        <v>9956.66</v>
      </c>
      <c r="G242" s="6">
        <v>9956.66</v>
      </c>
      <c r="H242" s="6">
        <v>0</v>
      </c>
      <c r="I242" s="6">
        <v>0</v>
      </c>
    </row>
    <row r="243" spans="2:9" ht="15.75" customHeight="1" x14ac:dyDescent="0.25">
      <c r="B243" s="6" t="s">
        <v>867</v>
      </c>
      <c r="C243" s="6" t="s">
        <v>868</v>
      </c>
      <c r="D243" s="6" t="s">
        <v>485</v>
      </c>
      <c r="E243" s="6">
        <v>1</v>
      </c>
      <c r="F243" s="6">
        <v>9221.41</v>
      </c>
      <c r="G243" s="6">
        <v>9221.41</v>
      </c>
      <c r="H243" s="6">
        <v>0</v>
      </c>
      <c r="I243" s="6">
        <v>0</v>
      </c>
    </row>
    <row r="244" spans="2:9" ht="15.75" customHeight="1" x14ac:dyDescent="0.25">
      <c r="B244" s="6" t="s">
        <v>869</v>
      </c>
      <c r="C244" s="6" t="s">
        <v>870</v>
      </c>
      <c r="D244" s="6" t="s">
        <v>485</v>
      </c>
      <c r="E244" s="6">
        <v>1</v>
      </c>
      <c r="F244" s="6">
        <v>7999.77</v>
      </c>
      <c r="G244" s="6">
        <v>7999.77</v>
      </c>
      <c r="H244" s="6">
        <v>0</v>
      </c>
      <c r="I244" s="6">
        <v>0</v>
      </c>
    </row>
    <row r="245" spans="2:9" ht="15.75" customHeight="1" x14ac:dyDescent="0.25">
      <c r="B245" s="6" t="s">
        <v>871</v>
      </c>
      <c r="C245" s="6" t="s">
        <v>872</v>
      </c>
      <c r="D245" s="6" t="s">
        <v>485</v>
      </c>
      <c r="E245" s="6">
        <v>1</v>
      </c>
      <c r="F245" s="6">
        <v>7280.52</v>
      </c>
      <c r="G245" s="6">
        <v>7280.52</v>
      </c>
      <c r="H245" s="6">
        <v>0</v>
      </c>
      <c r="I245" s="6">
        <v>0</v>
      </c>
    </row>
    <row r="246" spans="2:9" ht="15.75" customHeight="1" x14ac:dyDescent="0.25">
      <c r="B246" s="6" t="s">
        <v>873</v>
      </c>
      <c r="C246" s="6" t="s">
        <v>874</v>
      </c>
      <c r="D246" s="6" t="s">
        <v>485</v>
      </c>
      <c r="E246" s="6">
        <v>1</v>
      </c>
      <c r="F246" s="6">
        <v>11570.17</v>
      </c>
      <c r="G246" s="6">
        <v>11570.17</v>
      </c>
      <c r="H246" s="6">
        <v>0</v>
      </c>
      <c r="I246" s="6">
        <v>0</v>
      </c>
    </row>
    <row r="247" spans="2:9" ht="15.75" customHeight="1" x14ac:dyDescent="0.25">
      <c r="B247" s="6" t="s">
        <v>875</v>
      </c>
      <c r="C247" s="6" t="s">
        <v>876</v>
      </c>
      <c r="D247" s="6" t="s">
        <v>485</v>
      </c>
      <c r="E247" s="6">
        <v>1</v>
      </c>
      <c r="F247" s="6">
        <v>11570.17</v>
      </c>
      <c r="G247" s="6">
        <v>11570.17</v>
      </c>
      <c r="H247" s="6">
        <v>0</v>
      </c>
      <c r="I247" s="6">
        <v>0</v>
      </c>
    </row>
    <row r="248" spans="2:9" ht="15.75" customHeight="1" x14ac:dyDescent="0.25">
      <c r="B248" s="6" t="s">
        <v>877</v>
      </c>
      <c r="C248" s="6" t="s">
        <v>878</v>
      </c>
      <c r="D248" s="6" t="s">
        <v>485</v>
      </c>
      <c r="E248" s="6">
        <v>1</v>
      </c>
      <c r="F248" s="6">
        <v>10763.05</v>
      </c>
      <c r="G248" s="6">
        <v>10763.05</v>
      </c>
      <c r="H248" s="6">
        <v>0</v>
      </c>
      <c r="I248" s="6">
        <v>0</v>
      </c>
    </row>
    <row r="249" spans="2:9" ht="15.75" customHeight="1" x14ac:dyDescent="0.25">
      <c r="B249" s="6" t="s">
        <v>879</v>
      </c>
      <c r="C249" s="6" t="s">
        <v>880</v>
      </c>
      <c r="D249" s="6" t="s">
        <v>485</v>
      </c>
      <c r="E249" s="6">
        <v>5</v>
      </c>
      <c r="F249" s="6">
        <v>19259.27</v>
      </c>
      <c r="G249" s="6">
        <v>96296.35</v>
      </c>
      <c r="H249" s="6">
        <v>0</v>
      </c>
      <c r="I249" s="6">
        <v>0</v>
      </c>
    </row>
    <row r="250" spans="2:9" ht="15.75" customHeight="1" x14ac:dyDescent="0.25">
      <c r="B250" s="6" t="s">
        <v>881</v>
      </c>
      <c r="C250" s="6" t="s">
        <v>882</v>
      </c>
      <c r="D250" s="6" t="s">
        <v>485</v>
      </c>
      <c r="E250" s="6">
        <v>1</v>
      </c>
      <c r="F250" s="6">
        <v>19259.27</v>
      </c>
      <c r="G250" s="6">
        <v>19259.27</v>
      </c>
      <c r="H250" s="6">
        <v>0</v>
      </c>
      <c r="I250" s="6">
        <v>0</v>
      </c>
    </row>
    <row r="251" spans="2:9" ht="15.75" customHeight="1" x14ac:dyDescent="0.25">
      <c r="B251" s="6" t="s">
        <v>883</v>
      </c>
      <c r="C251" s="6" t="s">
        <v>884</v>
      </c>
      <c r="D251" s="6" t="s">
        <v>485</v>
      </c>
      <c r="E251" s="6">
        <v>1</v>
      </c>
      <c r="F251" s="6">
        <v>14275.78</v>
      </c>
      <c r="G251" s="6">
        <v>14275.78</v>
      </c>
      <c r="H251" s="6">
        <v>0</v>
      </c>
      <c r="I251" s="6">
        <v>0</v>
      </c>
    </row>
    <row r="252" spans="2:9" ht="15.75" customHeight="1" x14ac:dyDescent="0.25">
      <c r="B252" s="6" t="s">
        <v>885</v>
      </c>
      <c r="C252" s="6" t="s">
        <v>886</v>
      </c>
      <c r="D252" s="6" t="s">
        <v>485</v>
      </c>
      <c r="E252" s="6">
        <v>6</v>
      </c>
      <c r="F252" s="6">
        <v>14275.78</v>
      </c>
      <c r="G252" s="6">
        <v>85654.68</v>
      </c>
      <c r="H252" s="6">
        <v>0</v>
      </c>
      <c r="I252" s="6">
        <v>0</v>
      </c>
    </row>
    <row r="253" spans="2:9" ht="15.75" customHeight="1" x14ac:dyDescent="0.25">
      <c r="B253" s="6" t="s">
        <v>887</v>
      </c>
      <c r="C253" s="6" t="s">
        <v>888</v>
      </c>
      <c r="D253" s="6" t="s">
        <v>485</v>
      </c>
      <c r="E253" s="6">
        <v>7</v>
      </c>
      <c r="F253" s="6">
        <v>9226.17</v>
      </c>
      <c r="G253" s="6">
        <v>64583.19</v>
      </c>
      <c r="H253" s="6">
        <v>0</v>
      </c>
      <c r="I253" s="6">
        <v>0</v>
      </c>
    </row>
    <row r="254" spans="2:9" ht="15.75" customHeight="1" x14ac:dyDescent="0.25">
      <c r="B254" s="6" t="s">
        <v>889</v>
      </c>
      <c r="C254" s="6" t="s">
        <v>890</v>
      </c>
      <c r="D254" s="6" t="s">
        <v>485</v>
      </c>
      <c r="E254" s="6">
        <v>3</v>
      </c>
      <c r="F254" s="6">
        <v>9367.93</v>
      </c>
      <c r="G254" s="6">
        <v>28103.79</v>
      </c>
      <c r="H254" s="6">
        <v>0</v>
      </c>
      <c r="I254" s="6">
        <v>0</v>
      </c>
    </row>
    <row r="255" spans="2:9" ht="15.75" customHeight="1" x14ac:dyDescent="0.25">
      <c r="B255" s="6" t="s">
        <v>891</v>
      </c>
      <c r="C255" s="6" t="s">
        <v>892</v>
      </c>
      <c r="D255" s="6" t="s">
        <v>485</v>
      </c>
      <c r="E255" s="6">
        <v>4</v>
      </c>
      <c r="F255" s="6">
        <v>9367.93</v>
      </c>
      <c r="G255" s="6">
        <v>37471.72</v>
      </c>
      <c r="H255" s="6">
        <v>0</v>
      </c>
      <c r="I255" s="6">
        <v>0</v>
      </c>
    </row>
    <row r="256" spans="2:9" ht="15.75" customHeight="1" x14ac:dyDescent="0.25">
      <c r="B256" s="6" t="s">
        <v>893</v>
      </c>
      <c r="C256" s="6" t="s">
        <v>894</v>
      </c>
      <c r="D256" s="6" t="s">
        <v>485</v>
      </c>
      <c r="E256" s="6">
        <v>4</v>
      </c>
      <c r="F256" s="6">
        <v>8275.84</v>
      </c>
      <c r="G256" s="6">
        <v>33103.360000000001</v>
      </c>
      <c r="H256" s="6">
        <v>0</v>
      </c>
      <c r="I256" s="6">
        <v>0</v>
      </c>
    </row>
    <row r="257" spans="2:9" ht="15.75" customHeight="1" x14ac:dyDescent="0.25">
      <c r="B257" s="6" t="s">
        <v>895</v>
      </c>
      <c r="C257" s="6" t="s">
        <v>896</v>
      </c>
      <c r="D257" s="6" t="s">
        <v>485</v>
      </c>
      <c r="E257" s="6">
        <v>2</v>
      </c>
      <c r="F257" s="6">
        <v>8275.84</v>
      </c>
      <c r="G257" s="6">
        <v>16551.68</v>
      </c>
      <c r="H257" s="6">
        <v>0</v>
      </c>
      <c r="I257" s="6">
        <v>0</v>
      </c>
    </row>
    <row r="258" spans="2:9" ht="15.75" customHeight="1" x14ac:dyDescent="0.25">
      <c r="B258" s="6" t="s">
        <v>897</v>
      </c>
      <c r="C258" s="6" t="s">
        <v>898</v>
      </c>
      <c r="D258" s="6" t="s">
        <v>485</v>
      </c>
      <c r="E258" s="6">
        <v>1</v>
      </c>
      <c r="F258" s="6">
        <v>8275.84</v>
      </c>
      <c r="G258" s="6">
        <v>8275.84</v>
      </c>
      <c r="H258" s="6">
        <v>0</v>
      </c>
      <c r="I258" s="6">
        <v>0</v>
      </c>
    </row>
    <row r="259" spans="2:9" ht="15.75" customHeight="1" x14ac:dyDescent="0.25">
      <c r="B259" s="6" t="s">
        <v>899</v>
      </c>
      <c r="C259" s="6" t="s">
        <v>900</v>
      </c>
      <c r="D259" s="6" t="s">
        <v>485</v>
      </c>
      <c r="E259" s="6">
        <v>1</v>
      </c>
      <c r="F259" s="6">
        <v>9005.99</v>
      </c>
      <c r="G259" s="6">
        <v>9005.99</v>
      </c>
      <c r="H259" s="6">
        <v>0</v>
      </c>
      <c r="I259" s="6">
        <v>0</v>
      </c>
    </row>
    <row r="260" spans="2:9" ht="15.75" customHeight="1" x14ac:dyDescent="0.25">
      <c r="B260" s="6" t="s">
        <v>901</v>
      </c>
      <c r="C260" s="6" t="s">
        <v>902</v>
      </c>
      <c r="D260" s="6" t="s">
        <v>485</v>
      </c>
      <c r="E260" s="6">
        <v>1</v>
      </c>
      <c r="F260" s="6">
        <v>9005.99</v>
      </c>
      <c r="G260" s="6">
        <v>9005.99</v>
      </c>
      <c r="H260" s="6">
        <v>0</v>
      </c>
      <c r="I260" s="6">
        <v>0</v>
      </c>
    </row>
    <row r="261" spans="2:9" ht="15.75" customHeight="1" x14ac:dyDescent="0.25">
      <c r="B261" s="6" t="s">
        <v>903</v>
      </c>
      <c r="C261" s="6" t="s">
        <v>904</v>
      </c>
      <c r="D261" s="6" t="s">
        <v>485</v>
      </c>
      <c r="E261" s="6">
        <v>1</v>
      </c>
      <c r="F261" s="6">
        <v>12549.03</v>
      </c>
      <c r="G261" s="6">
        <v>12549.03</v>
      </c>
      <c r="H261" s="6">
        <v>0</v>
      </c>
      <c r="I261" s="6">
        <v>0</v>
      </c>
    </row>
    <row r="262" spans="2:9" ht="15.75" customHeight="1" x14ac:dyDescent="0.25">
      <c r="B262" s="6" t="s">
        <v>905</v>
      </c>
      <c r="C262" s="6" t="s">
        <v>906</v>
      </c>
      <c r="D262" s="6" t="s">
        <v>485</v>
      </c>
      <c r="E262" s="6">
        <v>1</v>
      </c>
      <c r="F262" s="6">
        <v>15883.47</v>
      </c>
      <c r="G262" s="6">
        <v>15883.47</v>
      </c>
      <c r="H262" s="6">
        <v>0</v>
      </c>
      <c r="I262" s="6">
        <v>0</v>
      </c>
    </row>
    <row r="263" spans="2:9" ht="15.75" customHeight="1" x14ac:dyDescent="0.25">
      <c r="B263" s="6" t="s">
        <v>907</v>
      </c>
      <c r="C263" s="6" t="s">
        <v>908</v>
      </c>
      <c r="D263" s="6" t="s">
        <v>485</v>
      </c>
      <c r="E263" s="6">
        <v>1</v>
      </c>
      <c r="F263" s="6">
        <v>8172.09</v>
      </c>
      <c r="G263" s="6">
        <v>8172.09</v>
      </c>
      <c r="H263" s="6">
        <v>0</v>
      </c>
      <c r="I263" s="6">
        <v>0</v>
      </c>
    </row>
    <row r="264" spans="2:9" ht="15.75" customHeight="1" x14ac:dyDescent="0.25">
      <c r="B264" s="6" t="s">
        <v>909</v>
      </c>
      <c r="C264" s="6" t="s">
        <v>910</v>
      </c>
      <c r="D264" s="6" t="s">
        <v>485</v>
      </c>
      <c r="E264" s="6">
        <v>1</v>
      </c>
      <c r="F264" s="6">
        <v>8172.09</v>
      </c>
      <c r="G264" s="6">
        <v>8172.09</v>
      </c>
      <c r="H264" s="6">
        <v>0</v>
      </c>
      <c r="I264" s="6">
        <v>0</v>
      </c>
    </row>
    <row r="265" spans="2:9" ht="15.75" customHeight="1" x14ac:dyDescent="0.25">
      <c r="B265" s="6" t="s">
        <v>911</v>
      </c>
      <c r="C265" s="6" t="s">
        <v>912</v>
      </c>
      <c r="D265" s="6" t="s">
        <v>485</v>
      </c>
      <c r="E265" s="6">
        <v>1</v>
      </c>
      <c r="F265" s="6">
        <v>8172.09</v>
      </c>
      <c r="G265" s="6">
        <v>8172.09</v>
      </c>
      <c r="H265" s="6">
        <v>0</v>
      </c>
      <c r="I265" s="6">
        <v>0</v>
      </c>
    </row>
    <row r="266" spans="2:9" ht="15.75" customHeight="1" x14ac:dyDescent="0.25">
      <c r="B266" s="6" t="s">
        <v>913</v>
      </c>
      <c r="C266" s="6" t="s">
        <v>914</v>
      </c>
      <c r="D266" s="6" t="s">
        <v>485</v>
      </c>
      <c r="E266" s="6">
        <v>1</v>
      </c>
      <c r="F266" s="6">
        <v>8172.09</v>
      </c>
      <c r="G266" s="6">
        <v>8172.09</v>
      </c>
      <c r="H266" s="6">
        <v>0</v>
      </c>
      <c r="I266" s="6">
        <v>0</v>
      </c>
    </row>
    <row r="267" spans="2:9" ht="15.75" customHeight="1" x14ac:dyDescent="0.25">
      <c r="B267" s="7" t="s">
        <v>915</v>
      </c>
      <c r="C267" s="7" t="s">
        <v>916</v>
      </c>
      <c r="D267" s="1"/>
      <c r="E267" s="1"/>
      <c r="F267" s="1"/>
      <c r="G267" s="7">
        <v>98303.13</v>
      </c>
      <c r="H267" s="1"/>
      <c r="I267" s="7">
        <v>0</v>
      </c>
    </row>
    <row r="268" spans="2:9" ht="15.75" customHeight="1" x14ac:dyDescent="0.25">
      <c r="B268" s="6" t="s">
        <v>917</v>
      </c>
      <c r="C268" s="6" t="s">
        <v>918</v>
      </c>
      <c r="D268" s="6" t="s">
        <v>485</v>
      </c>
      <c r="E268" s="6">
        <v>1</v>
      </c>
      <c r="F268" s="6">
        <v>1306.74</v>
      </c>
      <c r="G268" s="6">
        <v>1306.74</v>
      </c>
      <c r="H268" s="6">
        <v>0</v>
      </c>
      <c r="I268" s="6">
        <v>0</v>
      </c>
    </row>
    <row r="269" spans="2:9" ht="15.75" customHeight="1" x14ac:dyDescent="0.25">
      <c r="B269" s="6" t="s">
        <v>919</v>
      </c>
      <c r="C269" s="6" t="s">
        <v>920</v>
      </c>
      <c r="D269" s="6" t="s">
        <v>485</v>
      </c>
      <c r="E269" s="6">
        <v>1</v>
      </c>
      <c r="F269" s="6">
        <v>1649.65</v>
      </c>
      <c r="G269" s="6">
        <v>1649.65</v>
      </c>
      <c r="H269" s="6">
        <v>0</v>
      </c>
      <c r="I269" s="6">
        <v>0</v>
      </c>
    </row>
    <row r="270" spans="2:9" ht="15.75" customHeight="1" x14ac:dyDescent="0.25">
      <c r="B270" s="6" t="s">
        <v>921</v>
      </c>
      <c r="C270" s="6" t="s">
        <v>922</v>
      </c>
      <c r="D270" s="6" t="s">
        <v>485</v>
      </c>
      <c r="E270" s="6">
        <v>1</v>
      </c>
      <c r="F270" s="6">
        <v>1435.33</v>
      </c>
      <c r="G270" s="6">
        <v>1435.33</v>
      </c>
      <c r="H270" s="6">
        <v>0</v>
      </c>
      <c r="I270" s="6">
        <v>0</v>
      </c>
    </row>
    <row r="271" spans="2:9" ht="15.75" customHeight="1" x14ac:dyDescent="0.25">
      <c r="B271" s="6" t="s">
        <v>923</v>
      </c>
      <c r="C271" s="6" t="s">
        <v>924</v>
      </c>
      <c r="D271" s="6" t="s">
        <v>485</v>
      </c>
      <c r="E271" s="6">
        <v>1</v>
      </c>
      <c r="F271" s="6">
        <v>1349.61</v>
      </c>
      <c r="G271" s="6">
        <v>1349.61</v>
      </c>
      <c r="H271" s="6">
        <v>0</v>
      </c>
      <c r="I271" s="6">
        <v>0</v>
      </c>
    </row>
    <row r="272" spans="2:9" ht="15.75" customHeight="1" x14ac:dyDescent="0.25">
      <c r="B272" s="6" t="s">
        <v>925</v>
      </c>
      <c r="C272" s="6" t="s">
        <v>926</v>
      </c>
      <c r="D272" s="6" t="s">
        <v>485</v>
      </c>
      <c r="E272" s="6">
        <v>16</v>
      </c>
      <c r="F272" s="6">
        <v>1735.38</v>
      </c>
      <c r="G272" s="6">
        <v>27766.080000000002</v>
      </c>
      <c r="H272" s="6">
        <v>0</v>
      </c>
      <c r="I272" s="6">
        <v>0</v>
      </c>
    </row>
    <row r="273" spans="2:9" ht="15.75" customHeight="1" x14ac:dyDescent="0.25">
      <c r="B273" s="6" t="s">
        <v>927</v>
      </c>
      <c r="C273" s="6" t="s">
        <v>928</v>
      </c>
      <c r="D273" s="6" t="s">
        <v>485</v>
      </c>
      <c r="E273" s="6">
        <v>8</v>
      </c>
      <c r="F273" s="6">
        <v>1589.65</v>
      </c>
      <c r="G273" s="6">
        <v>12717.2</v>
      </c>
      <c r="H273" s="6">
        <v>0</v>
      </c>
      <c r="I273" s="6">
        <v>0</v>
      </c>
    </row>
    <row r="274" spans="2:9" ht="15.75" customHeight="1" x14ac:dyDescent="0.25">
      <c r="B274" s="6" t="s">
        <v>929</v>
      </c>
      <c r="C274" s="6" t="s">
        <v>930</v>
      </c>
      <c r="D274" s="6" t="s">
        <v>485</v>
      </c>
      <c r="E274" s="6">
        <v>7</v>
      </c>
      <c r="F274" s="6">
        <v>1589.65</v>
      </c>
      <c r="G274" s="6">
        <v>11127.55</v>
      </c>
      <c r="H274" s="6">
        <v>0</v>
      </c>
      <c r="I274" s="6">
        <v>0</v>
      </c>
    </row>
    <row r="275" spans="2:9" ht="15.75" customHeight="1" x14ac:dyDescent="0.25">
      <c r="B275" s="6" t="s">
        <v>931</v>
      </c>
      <c r="C275" s="6" t="s">
        <v>932</v>
      </c>
      <c r="D275" s="6" t="s">
        <v>485</v>
      </c>
      <c r="E275" s="6">
        <v>1</v>
      </c>
      <c r="F275" s="6">
        <v>1589.65</v>
      </c>
      <c r="G275" s="6">
        <v>1589.65</v>
      </c>
      <c r="H275" s="6">
        <v>0</v>
      </c>
      <c r="I275" s="6">
        <v>0</v>
      </c>
    </row>
    <row r="276" spans="2:9" ht="15.75" customHeight="1" x14ac:dyDescent="0.25">
      <c r="B276" s="6" t="s">
        <v>933</v>
      </c>
      <c r="C276" s="6" t="s">
        <v>934</v>
      </c>
      <c r="D276" s="6" t="s">
        <v>485</v>
      </c>
      <c r="E276" s="6">
        <v>1</v>
      </c>
      <c r="F276" s="6">
        <v>1589.65</v>
      </c>
      <c r="G276" s="6">
        <v>1589.65</v>
      </c>
      <c r="H276" s="6">
        <v>0</v>
      </c>
      <c r="I276" s="6">
        <v>0</v>
      </c>
    </row>
    <row r="277" spans="2:9" ht="15.75" customHeight="1" x14ac:dyDescent="0.25">
      <c r="B277" s="6" t="s">
        <v>935</v>
      </c>
      <c r="C277" s="6" t="s">
        <v>936</v>
      </c>
      <c r="D277" s="6" t="s">
        <v>485</v>
      </c>
      <c r="E277" s="6">
        <v>7</v>
      </c>
      <c r="F277" s="6">
        <v>1692.52</v>
      </c>
      <c r="G277" s="6">
        <v>11847.64</v>
      </c>
      <c r="H277" s="6">
        <v>0</v>
      </c>
      <c r="I277" s="6">
        <v>0</v>
      </c>
    </row>
    <row r="278" spans="2:9" ht="15.75" customHeight="1" x14ac:dyDescent="0.25">
      <c r="B278" s="6" t="s">
        <v>937</v>
      </c>
      <c r="C278" s="6" t="s">
        <v>938</v>
      </c>
      <c r="D278" s="6" t="s">
        <v>485</v>
      </c>
      <c r="E278" s="6">
        <v>3</v>
      </c>
      <c r="F278" s="6">
        <v>1743.96</v>
      </c>
      <c r="G278" s="6">
        <v>5231.88</v>
      </c>
      <c r="H278" s="6">
        <v>0</v>
      </c>
      <c r="I278" s="6">
        <v>0</v>
      </c>
    </row>
    <row r="279" spans="2:9" ht="15.75" customHeight="1" x14ac:dyDescent="0.25">
      <c r="B279" s="6" t="s">
        <v>939</v>
      </c>
      <c r="C279" s="6" t="s">
        <v>940</v>
      </c>
      <c r="D279" s="6" t="s">
        <v>485</v>
      </c>
      <c r="E279" s="6">
        <v>3</v>
      </c>
      <c r="F279" s="6">
        <v>1675.37</v>
      </c>
      <c r="G279" s="6">
        <v>5026.1099999999997</v>
      </c>
      <c r="H279" s="6">
        <v>0</v>
      </c>
      <c r="I279" s="6">
        <v>0</v>
      </c>
    </row>
    <row r="280" spans="2:9" ht="15.75" customHeight="1" x14ac:dyDescent="0.25">
      <c r="B280" s="6" t="s">
        <v>941</v>
      </c>
      <c r="C280" s="6" t="s">
        <v>942</v>
      </c>
      <c r="D280" s="6" t="s">
        <v>485</v>
      </c>
      <c r="E280" s="6">
        <v>1</v>
      </c>
      <c r="F280" s="6">
        <v>3685.08</v>
      </c>
      <c r="G280" s="6">
        <v>3685.08</v>
      </c>
      <c r="H280" s="6">
        <v>0</v>
      </c>
      <c r="I280" s="6">
        <v>0</v>
      </c>
    </row>
    <row r="281" spans="2:9" ht="15.75" customHeight="1" x14ac:dyDescent="0.25">
      <c r="B281" s="6" t="s">
        <v>943</v>
      </c>
      <c r="C281" s="6" t="s">
        <v>944</v>
      </c>
      <c r="D281" s="6" t="s">
        <v>485</v>
      </c>
      <c r="E281" s="6">
        <v>1</v>
      </c>
      <c r="F281" s="6">
        <v>4113.72</v>
      </c>
      <c r="G281" s="6">
        <v>4113.72</v>
      </c>
      <c r="H281" s="6">
        <v>0</v>
      </c>
      <c r="I281" s="6">
        <v>0</v>
      </c>
    </row>
    <row r="282" spans="2:9" ht="15.75" customHeight="1" x14ac:dyDescent="0.25">
      <c r="B282" s="6" t="s">
        <v>945</v>
      </c>
      <c r="C282" s="6" t="s">
        <v>946</v>
      </c>
      <c r="D282" s="6" t="s">
        <v>485</v>
      </c>
      <c r="E282" s="6">
        <v>1</v>
      </c>
      <c r="F282" s="6">
        <v>2099.14</v>
      </c>
      <c r="G282" s="6">
        <v>2099.14</v>
      </c>
      <c r="H282" s="6">
        <v>0</v>
      </c>
      <c r="I282" s="6">
        <v>0</v>
      </c>
    </row>
    <row r="283" spans="2:9" ht="15.75" customHeight="1" x14ac:dyDescent="0.25">
      <c r="B283" s="6" t="s">
        <v>947</v>
      </c>
      <c r="C283" s="6" t="s">
        <v>948</v>
      </c>
      <c r="D283" s="6" t="s">
        <v>485</v>
      </c>
      <c r="E283" s="6">
        <v>1</v>
      </c>
      <c r="F283" s="6">
        <v>5768.1</v>
      </c>
      <c r="G283" s="6">
        <v>5768.1</v>
      </c>
      <c r="H283" s="6">
        <v>0</v>
      </c>
      <c r="I283" s="6">
        <v>0</v>
      </c>
    </row>
    <row r="284" spans="2:9" ht="15.75" customHeight="1" x14ac:dyDescent="0.25">
      <c r="B284" s="7" t="s">
        <v>949</v>
      </c>
      <c r="C284" s="7" t="s">
        <v>950</v>
      </c>
      <c r="D284" s="1"/>
      <c r="E284" s="1"/>
      <c r="F284" s="1"/>
      <c r="G284" s="7">
        <v>204931.15</v>
      </c>
      <c r="H284" s="1"/>
      <c r="I284" s="7">
        <v>0</v>
      </c>
    </row>
    <row r="285" spans="2:9" ht="15.75" customHeight="1" x14ac:dyDescent="0.25">
      <c r="B285" s="6" t="s">
        <v>951</v>
      </c>
      <c r="C285" s="6" t="s">
        <v>952</v>
      </c>
      <c r="D285" s="6" t="s">
        <v>485</v>
      </c>
      <c r="E285" s="6">
        <v>1</v>
      </c>
      <c r="F285" s="6">
        <v>4089.26</v>
      </c>
      <c r="G285" s="6">
        <v>4089.26</v>
      </c>
      <c r="H285" s="6">
        <v>0</v>
      </c>
      <c r="I285" s="6">
        <v>0</v>
      </c>
    </row>
    <row r="286" spans="2:9" ht="15.75" customHeight="1" x14ac:dyDescent="0.25">
      <c r="B286" s="6" t="s">
        <v>953</v>
      </c>
      <c r="C286" s="6" t="s">
        <v>954</v>
      </c>
      <c r="D286" s="6" t="s">
        <v>485</v>
      </c>
      <c r="E286" s="6">
        <v>6</v>
      </c>
      <c r="F286" s="6">
        <v>3746.35</v>
      </c>
      <c r="G286" s="6">
        <v>22478.1</v>
      </c>
      <c r="H286" s="6">
        <v>0</v>
      </c>
      <c r="I286" s="6">
        <v>0</v>
      </c>
    </row>
    <row r="287" spans="2:9" ht="15.75" customHeight="1" x14ac:dyDescent="0.25">
      <c r="B287" s="6" t="s">
        <v>955</v>
      </c>
      <c r="C287" s="6" t="s">
        <v>956</v>
      </c>
      <c r="D287" s="6" t="s">
        <v>485</v>
      </c>
      <c r="E287" s="6">
        <v>9</v>
      </c>
      <c r="F287" s="6">
        <v>4277.8599999999997</v>
      </c>
      <c r="G287" s="6">
        <v>38500.74</v>
      </c>
      <c r="H287" s="6">
        <v>0</v>
      </c>
      <c r="I287" s="6">
        <v>0</v>
      </c>
    </row>
    <row r="288" spans="2:9" ht="15.75" customHeight="1" x14ac:dyDescent="0.25">
      <c r="B288" s="6" t="s">
        <v>957</v>
      </c>
      <c r="C288" s="6" t="s">
        <v>958</v>
      </c>
      <c r="D288" s="6" t="s">
        <v>485</v>
      </c>
      <c r="E288" s="6">
        <v>1</v>
      </c>
      <c r="F288" s="6">
        <v>3746.35</v>
      </c>
      <c r="G288" s="6">
        <v>3746.35</v>
      </c>
      <c r="H288" s="6">
        <v>0</v>
      </c>
      <c r="I288" s="6">
        <v>0</v>
      </c>
    </row>
    <row r="289" spans="2:9" ht="15.75" customHeight="1" x14ac:dyDescent="0.25">
      <c r="B289" s="6" t="s">
        <v>959</v>
      </c>
      <c r="C289" s="6" t="s">
        <v>960</v>
      </c>
      <c r="D289" s="6" t="s">
        <v>485</v>
      </c>
      <c r="E289" s="6">
        <v>1</v>
      </c>
      <c r="F289" s="6">
        <v>4963.67</v>
      </c>
      <c r="G289" s="6">
        <v>4963.67</v>
      </c>
      <c r="H289" s="6">
        <v>0</v>
      </c>
      <c r="I289" s="6">
        <v>0</v>
      </c>
    </row>
    <row r="290" spans="2:9" ht="15.75" customHeight="1" x14ac:dyDescent="0.25">
      <c r="B290" s="6" t="s">
        <v>961</v>
      </c>
      <c r="C290" s="6" t="s">
        <v>962</v>
      </c>
      <c r="D290" s="6" t="s">
        <v>485</v>
      </c>
      <c r="E290" s="6">
        <v>1</v>
      </c>
      <c r="F290" s="6">
        <v>4517.8999999999996</v>
      </c>
      <c r="G290" s="6">
        <v>4517.8999999999996</v>
      </c>
      <c r="H290" s="6">
        <v>0</v>
      </c>
      <c r="I290" s="6">
        <v>0</v>
      </c>
    </row>
    <row r="291" spans="2:9" ht="15.75" customHeight="1" x14ac:dyDescent="0.25">
      <c r="B291" s="6" t="s">
        <v>963</v>
      </c>
      <c r="C291" s="6" t="s">
        <v>964</v>
      </c>
      <c r="D291" s="6" t="s">
        <v>485</v>
      </c>
      <c r="E291" s="6">
        <v>1</v>
      </c>
      <c r="F291" s="6">
        <v>6686.79</v>
      </c>
      <c r="G291" s="6">
        <v>6686.79</v>
      </c>
      <c r="H291" s="6">
        <v>0</v>
      </c>
      <c r="I291" s="6">
        <v>0</v>
      </c>
    </row>
    <row r="292" spans="2:9" ht="15.75" customHeight="1" x14ac:dyDescent="0.25">
      <c r="B292" s="6" t="s">
        <v>965</v>
      </c>
      <c r="C292" s="6" t="s">
        <v>966</v>
      </c>
      <c r="D292" s="6" t="s">
        <v>485</v>
      </c>
      <c r="E292" s="6">
        <v>2</v>
      </c>
      <c r="F292" s="6">
        <v>6532.48</v>
      </c>
      <c r="G292" s="6">
        <v>13064.96</v>
      </c>
      <c r="H292" s="6">
        <v>0</v>
      </c>
      <c r="I292" s="6">
        <v>0</v>
      </c>
    </row>
    <row r="293" spans="2:9" ht="15.75" customHeight="1" x14ac:dyDescent="0.25">
      <c r="B293" s="6" t="s">
        <v>967</v>
      </c>
      <c r="C293" s="6" t="s">
        <v>968</v>
      </c>
      <c r="D293" s="6" t="s">
        <v>485</v>
      </c>
      <c r="E293" s="6">
        <v>1</v>
      </c>
      <c r="F293" s="6">
        <v>6575.34</v>
      </c>
      <c r="G293" s="6">
        <v>6575.34</v>
      </c>
      <c r="H293" s="6">
        <v>0</v>
      </c>
      <c r="I293" s="6">
        <v>0</v>
      </c>
    </row>
    <row r="294" spans="2:9" ht="15.75" customHeight="1" x14ac:dyDescent="0.25">
      <c r="B294" s="6" t="s">
        <v>969</v>
      </c>
      <c r="C294" s="6" t="s">
        <v>970</v>
      </c>
      <c r="D294" s="6" t="s">
        <v>485</v>
      </c>
      <c r="E294" s="6">
        <v>6</v>
      </c>
      <c r="F294" s="6">
        <v>3053.95</v>
      </c>
      <c r="G294" s="6">
        <v>18323.7</v>
      </c>
      <c r="H294" s="6">
        <v>0</v>
      </c>
      <c r="I294" s="6">
        <v>0</v>
      </c>
    </row>
    <row r="295" spans="2:9" ht="15.75" customHeight="1" x14ac:dyDescent="0.25">
      <c r="B295" s="6" t="s">
        <v>971</v>
      </c>
      <c r="C295" s="6" t="s">
        <v>972</v>
      </c>
      <c r="D295" s="6" t="s">
        <v>485</v>
      </c>
      <c r="E295" s="6">
        <v>6</v>
      </c>
      <c r="F295" s="6">
        <v>3011.09</v>
      </c>
      <c r="G295" s="6">
        <v>18066.54</v>
      </c>
      <c r="H295" s="6">
        <v>0</v>
      </c>
      <c r="I295" s="6">
        <v>0</v>
      </c>
    </row>
    <row r="296" spans="2:9" ht="15.75" customHeight="1" x14ac:dyDescent="0.25">
      <c r="B296" s="6" t="s">
        <v>973</v>
      </c>
      <c r="C296" s="6" t="s">
        <v>974</v>
      </c>
      <c r="D296" s="6" t="s">
        <v>485</v>
      </c>
      <c r="E296" s="6">
        <v>7</v>
      </c>
      <c r="F296" s="6">
        <v>2445.29</v>
      </c>
      <c r="G296" s="6">
        <v>17117.03</v>
      </c>
      <c r="H296" s="6">
        <v>0</v>
      </c>
      <c r="I296" s="6">
        <v>0</v>
      </c>
    </row>
    <row r="297" spans="2:9" ht="15.75" customHeight="1" x14ac:dyDescent="0.25">
      <c r="B297" s="6" t="s">
        <v>975</v>
      </c>
      <c r="C297" s="6" t="s">
        <v>976</v>
      </c>
      <c r="D297" s="6" t="s">
        <v>485</v>
      </c>
      <c r="E297" s="6">
        <v>8</v>
      </c>
      <c r="F297" s="6">
        <v>2428.14</v>
      </c>
      <c r="G297" s="6">
        <v>19425.12</v>
      </c>
      <c r="H297" s="6">
        <v>0</v>
      </c>
      <c r="I297" s="6">
        <v>0</v>
      </c>
    </row>
    <row r="298" spans="2:9" ht="15.75" customHeight="1" x14ac:dyDescent="0.25">
      <c r="B298" s="6" t="s">
        <v>977</v>
      </c>
      <c r="C298" s="6" t="s">
        <v>978</v>
      </c>
      <c r="D298" s="6" t="s">
        <v>485</v>
      </c>
      <c r="E298" s="6">
        <v>8</v>
      </c>
      <c r="F298" s="6">
        <v>2970.3</v>
      </c>
      <c r="G298" s="6">
        <v>23762.400000000001</v>
      </c>
      <c r="H298" s="6">
        <v>0</v>
      </c>
      <c r="I298" s="6">
        <v>0</v>
      </c>
    </row>
    <row r="299" spans="2:9" ht="15.75" customHeight="1" x14ac:dyDescent="0.25">
      <c r="B299" s="6" t="s">
        <v>979</v>
      </c>
      <c r="C299" s="6" t="s">
        <v>980</v>
      </c>
      <c r="D299" s="6" t="s">
        <v>485</v>
      </c>
      <c r="E299" s="6">
        <v>1</v>
      </c>
      <c r="F299" s="6">
        <v>3613.25</v>
      </c>
      <c r="G299" s="6">
        <v>3613.25</v>
      </c>
      <c r="H299" s="6">
        <v>0</v>
      </c>
      <c r="I299" s="6">
        <v>0</v>
      </c>
    </row>
    <row r="300" spans="2:9" ht="15.75" customHeight="1" x14ac:dyDescent="0.25">
      <c r="B300" s="7" t="s">
        <v>981</v>
      </c>
      <c r="C300" s="7" t="s">
        <v>982</v>
      </c>
      <c r="D300" s="1"/>
      <c r="E300" s="1"/>
      <c r="F300" s="1"/>
      <c r="G300" s="7">
        <v>112181.74</v>
      </c>
      <c r="H300" s="1"/>
      <c r="I300" s="7">
        <v>0</v>
      </c>
    </row>
    <row r="301" spans="2:9" ht="15.75" customHeight="1" x14ac:dyDescent="0.25">
      <c r="B301" s="6" t="s">
        <v>983</v>
      </c>
      <c r="C301" s="6" t="s">
        <v>984</v>
      </c>
      <c r="D301" s="6" t="s">
        <v>485</v>
      </c>
      <c r="E301" s="6">
        <v>1</v>
      </c>
      <c r="F301" s="6">
        <v>650.89</v>
      </c>
      <c r="G301" s="6">
        <v>650.89</v>
      </c>
      <c r="H301" s="6">
        <v>0</v>
      </c>
      <c r="I301" s="6">
        <v>0</v>
      </c>
    </row>
    <row r="302" spans="2:9" ht="15.75" customHeight="1" x14ac:dyDescent="0.25">
      <c r="B302" s="6" t="s">
        <v>985</v>
      </c>
      <c r="C302" s="6" t="s">
        <v>986</v>
      </c>
      <c r="D302" s="6" t="s">
        <v>485</v>
      </c>
      <c r="E302" s="6">
        <v>6</v>
      </c>
      <c r="F302" s="6">
        <v>408.59</v>
      </c>
      <c r="G302" s="6">
        <v>2451.54</v>
      </c>
      <c r="H302" s="6">
        <v>0</v>
      </c>
      <c r="I302" s="6">
        <v>0</v>
      </c>
    </row>
    <row r="303" spans="2:9" ht="15.75" customHeight="1" x14ac:dyDescent="0.25">
      <c r="B303" s="6" t="s">
        <v>987</v>
      </c>
      <c r="C303" s="6" t="s">
        <v>988</v>
      </c>
      <c r="D303" s="6" t="s">
        <v>485</v>
      </c>
      <c r="E303" s="6">
        <v>9</v>
      </c>
      <c r="F303" s="6">
        <v>355.53</v>
      </c>
      <c r="G303" s="6">
        <v>3199.77</v>
      </c>
      <c r="H303" s="6">
        <v>0</v>
      </c>
      <c r="I303" s="6">
        <v>0</v>
      </c>
    </row>
    <row r="304" spans="2:9" ht="15.75" customHeight="1" x14ac:dyDescent="0.25">
      <c r="B304" s="6" t="s">
        <v>989</v>
      </c>
      <c r="C304" s="6" t="s">
        <v>990</v>
      </c>
      <c r="D304" s="6" t="s">
        <v>485</v>
      </c>
      <c r="E304" s="6">
        <v>1</v>
      </c>
      <c r="F304" s="6">
        <v>583.70000000000005</v>
      </c>
      <c r="G304" s="6">
        <v>583.70000000000005</v>
      </c>
      <c r="H304" s="6">
        <v>0</v>
      </c>
      <c r="I304" s="6">
        <v>0</v>
      </c>
    </row>
    <row r="305" spans="2:9" ht="15.75" customHeight="1" x14ac:dyDescent="0.25">
      <c r="B305" s="6" t="s">
        <v>991</v>
      </c>
      <c r="C305" s="6" t="s">
        <v>992</v>
      </c>
      <c r="D305" s="6" t="s">
        <v>485</v>
      </c>
      <c r="E305" s="6">
        <v>1</v>
      </c>
      <c r="F305" s="6">
        <v>505.87</v>
      </c>
      <c r="G305" s="6">
        <v>505.87</v>
      </c>
      <c r="H305" s="6">
        <v>0</v>
      </c>
      <c r="I305" s="6">
        <v>0</v>
      </c>
    </row>
    <row r="306" spans="2:9" ht="15.75" customHeight="1" x14ac:dyDescent="0.25">
      <c r="B306" s="6" t="s">
        <v>993</v>
      </c>
      <c r="C306" s="6" t="s">
        <v>994</v>
      </c>
      <c r="D306" s="6" t="s">
        <v>485</v>
      </c>
      <c r="E306" s="6">
        <v>7</v>
      </c>
      <c r="F306" s="6">
        <v>583.70000000000005</v>
      </c>
      <c r="G306" s="6">
        <v>4085.9</v>
      </c>
      <c r="H306" s="6">
        <v>0</v>
      </c>
      <c r="I306" s="6">
        <v>0</v>
      </c>
    </row>
    <row r="307" spans="2:9" ht="15.75" customHeight="1" x14ac:dyDescent="0.25">
      <c r="B307" s="6" t="s">
        <v>995</v>
      </c>
      <c r="C307" s="6" t="s">
        <v>996</v>
      </c>
      <c r="D307" s="6" t="s">
        <v>485</v>
      </c>
      <c r="E307" s="6">
        <v>1</v>
      </c>
      <c r="F307" s="6">
        <v>583.70000000000005</v>
      </c>
      <c r="G307" s="6">
        <v>583.70000000000005</v>
      </c>
      <c r="H307" s="6">
        <v>0</v>
      </c>
      <c r="I307" s="6">
        <v>0</v>
      </c>
    </row>
    <row r="308" spans="2:9" ht="15.75" customHeight="1" x14ac:dyDescent="0.25">
      <c r="B308" s="6" t="s">
        <v>997</v>
      </c>
      <c r="C308" s="6" t="s">
        <v>998</v>
      </c>
      <c r="D308" s="6" t="s">
        <v>485</v>
      </c>
      <c r="E308" s="6">
        <v>2</v>
      </c>
      <c r="F308" s="6">
        <v>583.70000000000005</v>
      </c>
      <c r="G308" s="6">
        <v>1167.4000000000001</v>
      </c>
      <c r="H308" s="6">
        <v>0</v>
      </c>
      <c r="I308" s="6">
        <v>0</v>
      </c>
    </row>
    <row r="309" spans="2:9" ht="15.75" customHeight="1" x14ac:dyDescent="0.25">
      <c r="B309" s="6" t="s">
        <v>999</v>
      </c>
      <c r="C309" s="6" t="s">
        <v>1000</v>
      </c>
      <c r="D309" s="6" t="s">
        <v>485</v>
      </c>
      <c r="E309" s="6">
        <v>1</v>
      </c>
      <c r="F309" s="6">
        <v>389.13</v>
      </c>
      <c r="G309" s="6">
        <v>389.13</v>
      </c>
      <c r="H309" s="6">
        <v>0</v>
      </c>
      <c r="I309" s="6">
        <v>0</v>
      </c>
    </row>
    <row r="310" spans="2:9" ht="15.75" customHeight="1" x14ac:dyDescent="0.25">
      <c r="B310" s="6" t="s">
        <v>1001</v>
      </c>
      <c r="C310" s="6" t="s">
        <v>1002</v>
      </c>
      <c r="D310" s="6" t="s">
        <v>485</v>
      </c>
      <c r="E310" s="6">
        <v>2</v>
      </c>
      <c r="F310" s="6">
        <v>692.66</v>
      </c>
      <c r="G310" s="6">
        <v>1385.32</v>
      </c>
      <c r="H310" s="6">
        <v>0</v>
      </c>
      <c r="I310" s="6">
        <v>0</v>
      </c>
    </row>
    <row r="311" spans="2:9" ht="15.75" customHeight="1" x14ac:dyDescent="0.25">
      <c r="B311" s="6" t="s">
        <v>1003</v>
      </c>
      <c r="C311" s="6" t="s">
        <v>1004</v>
      </c>
      <c r="D311" s="6" t="s">
        <v>485</v>
      </c>
      <c r="E311" s="6">
        <v>8</v>
      </c>
      <c r="F311" s="6">
        <v>482.27</v>
      </c>
      <c r="G311" s="6">
        <v>3858.16</v>
      </c>
      <c r="H311" s="6">
        <v>0</v>
      </c>
      <c r="I311" s="6">
        <v>0</v>
      </c>
    </row>
    <row r="312" spans="2:9" ht="15.75" customHeight="1" x14ac:dyDescent="0.25">
      <c r="B312" s="6" t="s">
        <v>1005</v>
      </c>
      <c r="C312" s="6" t="s">
        <v>1006</v>
      </c>
      <c r="D312" s="6" t="s">
        <v>485</v>
      </c>
      <c r="E312" s="6">
        <v>8</v>
      </c>
      <c r="F312" s="6">
        <v>408.59</v>
      </c>
      <c r="G312" s="6">
        <v>3268.72</v>
      </c>
      <c r="H312" s="6">
        <v>0</v>
      </c>
      <c r="I312" s="6">
        <v>0</v>
      </c>
    </row>
    <row r="313" spans="2:9" ht="15.75" customHeight="1" x14ac:dyDescent="0.25">
      <c r="B313" s="6" t="s">
        <v>1007</v>
      </c>
      <c r="C313" s="6" t="s">
        <v>1008</v>
      </c>
      <c r="D313" s="6" t="s">
        <v>485</v>
      </c>
      <c r="E313" s="6">
        <v>1</v>
      </c>
      <c r="F313" s="6">
        <v>426.06</v>
      </c>
      <c r="G313" s="6">
        <v>426.06</v>
      </c>
      <c r="H313" s="6">
        <v>0</v>
      </c>
      <c r="I313" s="6">
        <v>0</v>
      </c>
    </row>
    <row r="314" spans="2:9" ht="15.75" customHeight="1" x14ac:dyDescent="0.25">
      <c r="B314" s="6" t="s">
        <v>1009</v>
      </c>
      <c r="C314" s="6" t="s">
        <v>1010</v>
      </c>
      <c r="D314" s="6" t="s">
        <v>485</v>
      </c>
      <c r="E314" s="6">
        <v>1</v>
      </c>
      <c r="F314" s="6">
        <v>920.69</v>
      </c>
      <c r="G314" s="6">
        <v>920.69</v>
      </c>
      <c r="H314" s="6">
        <v>0</v>
      </c>
      <c r="I314" s="6">
        <v>0</v>
      </c>
    </row>
    <row r="315" spans="2:9" ht="15.75" customHeight="1" x14ac:dyDescent="0.25">
      <c r="B315" s="6" t="s">
        <v>1011</v>
      </c>
      <c r="C315" s="6" t="s">
        <v>1012</v>
      </c>
      <c r="D315" s="6" t="s">
        <v>485</v>
      </c>
      <c r="E315" s="6">
        <v>6</v>
      </c>
      <c r="F315" s="6">
        <v>981.4</v>
      </c>
      <c r="G315" s="6">
        <v>5888.4</v>
      </c>
      <c r="H315" s="6">
        <v>0</v>
      </c>
      <c r="I315" s="6">
        <v>0</v>
      </c>
    </row>
    <row r="316" spans="2:9" ht="15.75" customHeight="1" x14ac:dyDescent="0.25">
      <c r="B316" s="6" t="s">
        <v>1013</v>
      </c>
      <c r="C316" s="6" t="s">
        <v>1014</v>
      </c>
      <c r="D316" s="6" t="s">
        <v>485</v>
      </c>
      <c r="E316" s="6">
        <v>6</v>
      </c>
      <c r="F316" s="6">
        <v>1537.86</v>
      </c>
      <c r="G316" s="6">
        <v>9227.16</v>
      </c>
      <c r="H316" s="6">
        <v>0</v>
      </c>
      <c r="I316" s="6">
        <v>0</v>
      </c>
    </row>
    <row r="317" spans="2:9" ht="15.75" customHeight="1" x14ac:dyDescent="0.25">
      <c r="B317" s="6" t="s">
        <v>1015</v>
      </c>
      <c r="C317" s="6" t="s">
        <v>1016</v>
      </c>
      <c r="D317" s="6" t="s">
        <v>485</v>
      </c>
      <c r="E317" s="6">
        <v>1</v>
      </c>
      <c r="F317" s="6">
        <v>1386.1</v>
      </c>
      <c r="G317" s="6">
        <v>1386.1</v>
      </c>
      <c r="H317" s="6">
        <v>0</v>
      </c>
      <c r="I317" s="6">
        <v>0</v>
      </c>
    </row>
    <row r="318" spans="2:9" ht="15.75" customHeight="1" x14ac:dyDescent="0.25">
      <c r="B318" s="6" t="s">
        <v>1017</v>
      </c>
      <c r="C318" s="6" t="s">
        <v>1018</v>
      </c>
      <c r="D318" s="6" t="s">
        <v>485</v>
      </c>
      <c r="E318" s="6">
        <v>8</v>
      </c>
      <c r="F318" s="6">
        <v>964.53</v>
      </c>
      <c r="G318" s="6">
        <v>7716.24</v>
      </c>
      <c r="H318" s="6">
        <v>0</v>
      </c>
      <c r="I318" s="6">
        <v>0</v>
      </c>
    </row>
    <row r="319" spans="2:9" ht="15.75" customHeight="1" x14ac:dyDescent="0.25">
      <c r="B319" s="6" t="s">
        <v>1019</v>
      </c>
      <c r="C319" s="6" t="s">
        <v>1020</v>
      </c>
      <c r="D319" s="6" t="s">
        <v>485</v>
      </c>
      <c r="E319" s="6">
        <v>1</v>
      </c>
      <c r="F319" s="6">
        <v>1013.59</v>
      </c>
      <c r="G319" s="6">
        <v>1013.59</v>
      </c>
      <c r="H319" s="6">
        <v>0</v>
      </c>
      <c r="I319" s="6">
        <v>0</v>
      </c>
    </row>
    <row r="320" spans="2:9" ht="15.75" customHeight="1" x14ac:dyDescent="0.25">
      <c r="B320" s="6" t="s">
        <v>1021</v>
      </c>
      <c r="C320" s="6" t="s">
        <v>1022</v>
      </c>
      <c r="D320" s="6" t="s">
        <v>485</v>
      </c>
      <c r="E320" s="6">
        <v>1</v>
      </c>
      <c r="F320" s="6">
        <v>1076.95</v>
      </c>
      <c r="G320" s="6">
        <v>1076.95</v>
      </c>
      <c r="H320" s="6">
        <v>0</v>
      </c>
      <c r="I320" s="6">
        <v>0</v>
      </c>
    </row>
    <row r="321" spans="2:9" ht="15.75" customHeight="1" x14ac:dyDescent="0.25">
      <c r="B321" s="6" t="s">
        <v>1023</v>
      </c>
      <c r="C321" s="6" t="s">
        <v>1024</v>
      </c>
      <c r="D321" s="6" t="s">
        <v>485</v>
      </c>
      <c r="E321" s="6">
        <v>7</v>
      </c>
      <c r="F321" s="6">
        <v>1020.74</v>
      </c>
      <c r="G321" s="6">
        <v>7145.18</v>
      </c>
      <c r="H321" s="6">
        <v>0</v>
      </c>
      <c r="I321" s="6">
        <v>0</v>
      </c>
    </row>
    <row r="322" spans="2:9" ht="15.75" customHeight="1" x14ac:dyDescent="0.25">
      <c r="B322" s="6" t="s">
        <v>1025</v>
      </c>
      <c r="C322" s="6" t="s">
        <v>1026</v>
      </c>
      <c r="D322" s="6" t="s">
        <v>485</v>
      </c>
      <c r="E322" s="6">
        <v>8</v>
      </c>
      <c r="F322" s="6">
        <v>897.08</v>
      </c>
      <c r="G322" s="6">
        <v>7176.64</v>
      </c>
      <c r="H322" s="6">
        <v>0</v>
      </c>
      <c r="I322" s="6">
        <v>0</v>
      </c>
    </row>
    <row r="323" spans="2:9" ht="15.75" customHeight="1" x14ac:dyDescent="0.25">
      <c r="B323" s="6" t="s">
        <v>1027</v>
      </c>
      <c r="C323" s="6" t="s">
        <v>1028</v>
      </c>
      <c r="D323" s="6" t="s">
        <v>485</v>
      </c>
      <c r="E323" s="6">
        <v>7</v>
      </c>
      <c r="F323" s="6">
        <v>930.81</v>
      </c>
      <c r="G323" s="6">
        <v>6515.67</v>
      </c>
      <c r="H323" s="6">
        <v>0</v>
      </c>
      <c r="I323" s="6">
        <v>0</v>
      </c>
    </row>
    <row r="324" spans="2:9" ht="15.75" customHeight="1" x14ac:dyDescent="0.25">
      <c r="B324" s="6" t="s">
        <v>1029</v>
      </c>
      <c r="C324" s="6" t="s">
        <v>1030</v>
      </c>
      <c r="D324" s="6" t="s">
        <v>485</v>
      </c>
      <c r="E324" s="6">
        <v>2</v>
      </c>
      <c r="F324" s="6">
        <v>1009.5</v>
      </c>
      <c r="G324" s="6">
        <v>2019</v>
      </c>
      <c r="H324" s="6">
        <v>0</v>
      </c>
      <c r="I324" s="6">
        <v>0</v>
      </c>
    </row>
    <row r="325" spans="2:9" ht="15.75" customHeight="1" x14ac:dyDescent="0.25">
      <c r="B325" s="6" t="s">
        <v>1031</v>
      </c>
      <c r="C325" s="6" t="s">
        <v>1032</v>
      </c>
      <c r="D325" s="6" t="s">
        <v>485</v>
      </c>
      <c r="E325" s="6">
        <v>1</v>
      </c>
      <c r="F325" s="6">
        <v>1009.5</v>
      </c>
      <c r="G325" s="6">
        <v>1009.5</v>
      </c>
      <c r="H325" s="6">
        <v>0</v>
      </c>
      <c r="I325" s="6">
        <v>0</v>
      </c>
    </row>
    <row r="326" spans="2:9" ht="15.75" customHeight="1" x14ac:dyDescent="0.25">
      <c r="B326" s="6" t="s">
        <v>1033</v>
      </c>
      <c r="C326" s="6" t="s">
        <v>1034</v>
      </c>
      <c r="D326" s="6" t="s">
        <v>485</v>
      </c>
      <c r="E326" s="6">
        <v>1</v>
      </c>
      <c r="F326" s="6">
        <v>471.03</v>
      </c>
      <c r="G326" s="6">
        <v>471.03</v>
      </c>
      <c r="H326" s="6">
        <v>0</v>
      </c>
      <c r="I326" s="6">
        <v>0</v>
      </c>
    </row>
    <row r="327" spans="2:9" ht="15.75" customHeight="1" x14ac:dyDescent="0.25">
      <c r="B327" s="6" t="s">
        <v>1035</v>
      </c>
      <c r="C327" s="6" t="s">
        <v>1036</v>
      </c>
      <c r="D327" s="6" t="s">
        <v>485</v>
      </c>
      <c r="E327" s="6">
        <v>1</v>
      </c>
      <c r="F327" s="6">
        <v>442.92</v>
      </c>
      <c r="G327" s="6">
        <v>442.92</v>
      </c>
      <c r="H327" s="6">
        <v>0</v>
      </c>
      <c r="I327" s="6">
        <v>0</v>
      </c>
    </row>
    <row r="328" spans="2:9" ht="15.75" customHeight="1" x14ac:dyDescent="0.25">
      <c r="B328" s="6" t="s">
        <v>1037</v>
      </c>
      <c r="C328" s="6" t="s">
        <v>1038</v>
      </c>
      <c r="D328" s="6" t="s">
        <v>485</v>
      </c>
      <c r="E328" s="6">
        <v>1</v>
      </c>
      <c r="F328" s="6">
        <v>589.67999999999995</v>
      </c>
      <c r="G328" s="6">
        <v>589.67999999999995</v>
      </c>
      <c r="H328" s="6">
        <v>0</v>
      </c>
      <c r="I328" s="6">
        <v>0</v>
      </c>
    </row>
    <row r="329" spans="2:9" ht="15.75" customHeight="1" x14ac:dyDescent="0.25">
      <c r="B329" s="6" t="s">
        <v>1039</v>
      </c>
      <c r="C329" s="6" t="s">
        <v>1040</v>
      </c>
      <c r="D329" s="6" t="s">
        <v>485</v>
      </c>
      <c r="E329" s="6">
        <v>1</v>
      </c>
      <c r="F329" s="6">
        <v>595.92999999999995</v>
      </c>
      <c r="G329" s="6">
        <v>595.92999999999995</v>
      </c>
      <c r="H329" s="6">
        <v>0</v>
      </c>
      <c r="I329" s="6">
        <v>0</v>
      </c>
    </row>
    <row r="330" spans="2:9" ht="15.75" customHeight="1" x14ac:dyDescent="0.25">
      <c r="B330" s="6" t="s">
        <v>1041</v>
      </c>
      <c r="C330" s="6" t="s">
        <v>1042</v>
      </c>
      <c r="D330" s="6" t="s">
        <v>485</v>
      </c>
      <c r="E330" s="6">
        <v>1</v>
      </c>
      <c r="F330" s="6">
        <v>583.44000000000005</v>
      </c>
      <c r="G330" s="6">
        <v>583.44000000000005</v>
      </c>
      <c r="H330" s="6">
        <v>0</v>
      </c>
      <c r="I330" s="6">
        <v>0</v>
      </c>
    </row>
    <row r="331" spans="2:9" ht="15.75" customHeight="1" x14ac:dyDescent="0.25">
      <c r="B331" s="6" t="s">
        <v>1043</v>
      </c>
      <c r="C331" s="6" t="s">
        <v>1044</v>
      </c>
      <c r="D331" s="6" t="s">
        <v>485</v>
      </c>
      <c r="E331" s="6">
        <v>1</v>
      </c>
      <c r="F331" s="6">
        <v>639.65</v>
      </c>
      <c r="G331" s="6">
        <v>639.65</v>
      </c>
      <c r="H331" s="6">
        <v>0</v>
      </c>
      <c r="I331" s="6">
        <v>0</v>
      </c>
    </row>
    <row r="332" spans="2:9" ht="15.75" customHeight="1" x14ac:dyDescent="0.25">
      <c r="B332" s="6" t="s">
        <v>1045</v>
      </c>
      <c r="C332" s="6" t="s">
        <v>1046</v>
      </c>
      <c r="D332" s="6" t="s">
        <v>485</v>
      </c>
      <c r="E332" s="6">
        <v>1</v>
      </c>
      <c r="F332" s="6">
        <v>583.44000000000005</v>
      </c>
      <c r="G332" s="6">
        <v>583.44000000000005</v>
      </c>
      <c r="H332" s="6">
        <v>0</v>
      </c>
      <c r="I332" s="6">
        <v>0</v>
      </c>
    </row>
    <row r="333" spans="2:9" ht="15.75" customHeight="1" x14ac:dyDescent="0.25">
      <c r="B333" s="6" t="s">
        <v>1047</v>
      </c>
      <c r="C333" s="6" t="s">
        <v>1048</v>
      </c>
      <c r="D333" s="6" t="s">
        <v>485</v>
      </c>
      <c r="E333" s="6">
        <v>6</v>
      </c>
      <c r="F333" s="6">
        <v>695.86</v>
      </c>
      <c r="G333" s="6">
        <v>4175.16</v>
      </c>
      <c r="H333" s="6">
        <v>0</v>
      </c>
      <c r="I333" s="6">
        <v>0</v>
      </c>
    </row>
    <row r="334" spans="2:9" ht="15.75" customHeight="1" x14ac:dyDescent="0.25">
      <c r="B334" s="6" t="s">
        <v>1049</v>
      </c>
      <c r="C334" s="6" t="s">
        <v>1050</v>
      </c>
      <c r="D334" s="6" t="s">
        <v>485</v>
      </c>
      <c r="E334" s="6">
        <v>1</v>
      </c>
      <c r="F334" s="6">
        <v>527.23</v>
      </c>
      <c r="G334" s="6">
        <v>527.23</v>
      </c>
      <c r="H334" s="6">
        <v>0</v>
      </c>
      <c r="I334" s="6">
        <v>0</v>
      </c>
    </row>
    <row r="335" spans="2:9" ht="15.75" customHeight="1" x14ac:dyDescent="0.25">
      <c r="B335" s="6" t="s">
        <v>1051</v>
      </c>
      <c r="C335" s="6" t="s">
        <v>1052</v>
      </c>
      <c r="D335" s="6" t="s">
        <v>485</v>
      </c>
      <c r="E335" s="6">
        <v>1</v>
      </c>
      <c r="F335" s="6">
        <v>695.86</v>
      </c>
      <c r="G335" s="6">
        <v>695.86</v>
      </c>
      <c r="H335" s="6">
        <v>0</v>
      </c>
      <c r="I335" s="6">
        <v>0</v>
      </c>
    </row>
    <row r="336" spans="2:9" ht="15.75" customHeight="1" x14ac:dyDescent="0.25">
      <c r="B336" s="6" t="s">
        <v>1053</v>
      </c>
      <c r="C336" s="6" t="s">
        <v>1054</v>
      </c>
      <c r="D336" s="6" t="s">
        <v>485</v>
      </c>
      <c r="E336" s="6">
        <v>8</v>
      </c>
      <c r="F336" s="6">
        <v>695.86</v>
      </c>
      <c r="G336" s="6">
        <v>5566.88</v>
      </c>
      <c r="H336" s="6">
        <v>0</v>
      </c>
      <c r="I336" s="6">
        <v>0</v>
      </c>
    </row>
    <row r="337" spans="2:9" ht="15.75" customHeight="1" x14ac:dyDescent="0.25">
      <c r="B337" s="6" t="s">
        <v>1055</v>
      </c>
      <c r="C337" s="6" t="s">
        <v>1056</v>
      </c>
      <c r="D337" s="6" t="s">
        <v>485</v>
      </c>
      <c r="E337" s="6">
        <v>8</v>
      </c>
      <c r="F337" s="6">
        <v>695.86</v>
      </c>
      <c r="G337" s="6">
        <v>5566.88</v>
      </c>
      <c r="H337" s="6">
        <v>0</v>
      </c>
      <c r="I337" s="6">
        <v>0</v>
      </c>
    </row>
    <row r="338" spans="2:9" ht="15.75" customHeight="1" x14ac:dyDescent="0.25">
      <c r="B338" s="6" t="s">
        <v>1057</v>
      </c>
      <c r="C338" s="6" t="s">
        <v>1058</v>
      </c>
      <c r="D338" s="6" t="s">
        <v>485</v>
      </c>
      <c r="E338" s="6">
        <v>3</v>
      </c>
      <c r="F338" s="6">
        <v>695.86</v>
      </c>
      <c r="G338" s="6">
        <v>2087.58</v>
      </c>
      <c r="H338" s="6">
        <v>0</v>
      </c>
      <c r="I338" s="6">
        <v>0</v>
      </c>
    </row>
    <row r="339" spans="2:9" ht="15.75" customHeight="1" x14ac:dyDescent="0.25">
      <c r="B339" s="6" t="s">
        <v>1059</v>
      </c>
      <c r="C339" s="6" t="s">
        <v>1060</v>
      </c>
      <c r="D339" s="6" t="s">
        <v>485</v>
      </c>
      <c r="E339" s="6">
        <v>1</v>
      </c>
      <c r="F339" s="6">
        <v>695.86</v>
      </c>
      <c r="G339" s="6">
        <v>695.86</v>
      </c>
      <c r="H339" s="6">
        <v>0</v>
      </c>
      <c r="I339" s="6">
        <v>0</v>
      </c>
    </row>
    <row r="340" spans="2:9" ht="15.75" customHeight="1" x14ac:dyDescent="0.25">
      <c r="B340" s="6" t="s">
        <v>1061</v>
      </c>
      <c r="C340" s="6" t="s">
        <v>1062</v>
      </c>
      <c r="D340" s="6" t="s">
        <v>485</v>
      </c>
      <c r="E340" s="6">
        <v>2</v>
      </c>
      <c r="F340" s="6">
        <v>695.86</v>
      </c>
      <c r="G340" s="6">
        <v>1391.72</v>
      </c>
      <c r="H340" s="6">
        <v>0</v>
      </c>
      <c r="I340" s="6">
        <v>0</v>
      </c>
    </row>
    <row r="341" spans="2:9" ht="15.75" customHeight="1" x14ac:dyDescent="0.25">
      <c r="B341" s="6" t="s">
        <v>1063</v>
      </c>
      <c r="C341" s="6" t="s">
        <v>1064</v>
      </c>
      <c r="D341" s="6" t="s">
        <v>485</v>
      </c>
      <c r="E341" s="6">
        <v>1</v>
      </c>
      <c r="F341" s="6">
        <v>695.86</v>
      </c>
      <c r="G341" s="6">
        <v>695.86</v>
      </c>
      <c r="H341" s="6">
        <v>0</v>
      </c>
      <c r="I341" s="6">
        <v>0</v>
      </c>
    </row>
    <row r="342" spans="2:9" ht="15.75" customHeight="1" x14ac:dyDescent="0.25">
      <c r="B342" s="6" t="s">
        <v>1065</v>
      </c>
      <c r="C342" s="6" t="s">
        <v>1066</v>
      </c>
      <c r="D342" s="6" t="s">
        <v>485</v>
      </c>
      <c r="E342" s="6">
        <v>1</v>
      </c>
      <c r="F342" s="6">
        <v>695.86</v>
      </c>
      <c r="G342" s="6">
        <v>695.86</v>
      </c>
      <c r="H342" s="6">
        <v>0</v>
      </c>
      <c r="I342" s="6">
        <v>0</v>
      </c>
    </row>
    <row r="343" spans="2:9" ht="15.75" customHeight="1" x14ac:dyDescent="0.25">
      <c r="B343" s="6" t="s">
        <v>1067</v>
      </c>
      <c r="C343" s="6" t="s">
        <v>1068</v>
      </c>
      <c r="D343" s="6" t="s">
        <v>485</v>
      </c>
      <c r="E343" s="6">
        <v>1</v>
      </c>
      <c r="F343" s="6">
        <v>695.86</v>
      </c>
      <c r="G343" s="6">
        <v>695.86</v>
      </c>
      <c r="H343" s="6">
        <v>0</v>
      </c>
      <c r="I343" s="6">
        <v>0</v>
      </c>
    </row>
    <row r="344" spans="2:9" ht="15.75" customHeight="1" x14ac:dyDescent="0.25">
      <c r="B344" s="6" t="s">
        <v>1069</v>
      </c>
      <c r="C344" s="6" t="s">
        <v>1070</v>
      </c>
      <c r="D344" s="6" t="s">
        <v>485</v>
      </c>
      <c r="E344" s="6">
        <v>6</v>
      </c>
      <c r="F344" s="6">
        <v>695.86</v>
      </c>
      <c r="G344" s="6">
        <v>4175.16</v>
      </c>
      <c r="H344" s="6">
        <v>0</v>
      </c>
      <c r="I344" s="6">
        <v>0</v>
      </c>
    </row>
    <row r="345" spans="2:9" ht="15.75" customHeight="1" x14ac:dyDescent="0.25">
      <c r="B345" s="6" t="s">
        <v>1071</v>
      </c>
      <c r="C345" s="6" t="s">
        <v>1072</v>
      </c>
      <c r="D345" s="6" t="s">
        <v>485</v>
      </c>
      <c r="E345" s="6">
        <v>7</v>
      </c>
      <c r="F345" s="6">
        <v>695.86</v>
      </c>
      <c r="G345" s="6">
        <v>4871.0200000000004</v>
      </c>
      <c r="H345" s="6">
        <v>0</v>
      </c>
      <c r="I345" s="6">
        <v>0</v>
      </c>
    </row>
    <row r="346" spans="2:9" ht="15.75" customHeight="1" x14ac:dyDescent="0.25">
      <c r="B346" s="6" t="s">
        <v>1073</v>
      </c>
      <c r="C346" s="6" t="s">
        <v>1074</v>
      </c>
      <c r="D346" s="6" t="s">
        <v>485</v>
      </c>
      <c r="E346" s="6">
        <v>2</v>
      </c>
      <c r="F346" s="6">
        <v>695.86</v>
      </c>
      <c r="G346" s="6">
        <v>1391.72</v>
      </c>
      <c r="H346" s="6">
        <v>0</v>
      </c>
      <c r="I346" s="6">
        <v>0</v>
      </c>
    </row>
    <row r="347" spans="2:9" ht="15.75" customHeight="1" x14ac:dyDescent="0.25">
      <c r="B347" s="6" t="s">
        <v>1075</v>
      </c>
      <c r="C347" s="6" t="s">
        <v>1076</v>
      </c>
      <c r="D347" s="6" t="s">
        <v>485</v>
      </c>
      <c r="E347" s="6">
        <v>2</v>
      </c>
      <c r="F347" s="6">
        <v>695.86</v>
      </c>
      <c r="G347" s="6">
        <v>1391.72</v>
      </c>
      <c r="H347" s="6">
        <v>0</v>
      </c>
      <c r="I347" s="6">
        <v>0</v>
      </c>
    </row>
    <row r="348" spans="2:9" ht="15.75" customHeight="1" x14ac:dyDescent="0.25">
      <c r="B348" s="5" t="s">
        <v>1077</v>
      </c>
      <c r="C348" s="5" t="s">
        <v>1078</v>
      </c>
      <c r="D348" s="1"/>
      <c r="E348" s="1"/>
      <c r="F348" s="1"/>
      <c r="G348" s="5">
        <v>350884.29</v>
      </c>
      <c r="H348" s="1"/>
      <c r="I348" s="5">
        <v>24477</v>
      </c>
    </row>
    <row r="349" spans="2:9" ht="15.75" customHeight="1" x14ac:dyDescent="0.25">
      <c r="B349" s="7" t="s">
        <v>1079</v>
      </c>
      <c r="C349" s="7" t="s">
        <v>1080</v>
      </c>
      <c r="D349" s="1"/>
      <c r="E349" s="1"/>
      <c r="F349" s="1"/>
      <c r="G349" s="7">
        <v>129638.7</v>
      </c>
      <c r="H349" s="1"/>
      <c r="I349" s="7">
        <v>0</v>
      </c>
    </row>
    <row r="350" spans="2:9" ht="15.75" customHeight="1" x14ac:dyDescent="0.25">
      <c r="B350" s="6" t="s">
        <v>1081</v>
      </c>
      <c r="C350" s="6" t="s">
        <v>1082</v>
      </c>
      <c r="D350" s="6" t="s">
        <v>474</v>
      </c>
      <c r="E350" s="6">
        <v>91.83</v>
      </c>
      <c r="F350" s="6">
        <v>300</v>
      </c>
      <c r="G350" s="6">
        <v>27549</v>
      </c>
      <c r="H350" s="6">
        <v>0</v>
      </c>
      <c r="I350" s="6">
        <v>0</v>
      </c>
    </row>
    <row r="351" spans="2:9" ht="15.75" customHeight="1" x14ac:dyDescent="0.25">
      <c r="B351" s="6" t="s">
        <v>1083</v>
      </c>
      <c r="C351" s="6" t="s">
        <v>1084</v>
      </c>
      <c r="D351" s="6" t="s">
        <v>474</v>
      </c>
      <c r="E351" s="6">
        <v>211.78</v>
      </c>
      <c r="F351" s="6">
        <v>90</v>
      </c>
      <c r="G351" s="6">
        <v>19060.2</v>
      </c>
      <c r="H351" s="6">
        <v>0</v>
      </c>
      <c r="I351" s="6">
        <v>0</v>
      </c>
    </row>
    <row r="352" spans="2:9" ht="15.75" customHeight="1" x14ac:dyDescent="0.25">
      <c r="B352" s="6" t="s">
        <v>1085</v>
      </c>
      <c r="C352" s="6" t="s">
        <v>1086</v>
      </c>
      <c r="D352" s="6" t="s">
        <v>474</v>
      </c>
      <c r="E352" s="6">
        <v>48.76</v>
      </c>
      <c r="F352" s="6">
        <v>90</v>
      </c>
      <c r="G352" s="6">
        <v>4388.3999999999996</v>
      </c>
      <c r="H352" s="6">
        <v>0</v>
      </c>
      <c r="I352" s="6">
        <v>0</v>
      </c>
    </row>
    <row r="353" spans="2:9" ht="15.75" customHeight="1" x14ac:dyDescent="0.25">
      <c r="B353" s="6" t="s">
        <v>1087</v>
      </c>
      <c r="C353" s="6" t="s">
        <v>1088</v>
      </c>
      <c r="D353" s="6" t="s">
        <v>474</v>
      </c>
      <c r="E353" s="6">
        <v>60.52</v>
      </c>
      <c r="F353" s="6">
        <v>360</v>
      </c>
      <c r="G353" s="6">
        <v>21787.200000000001</v>
      </c>
      <c r="H353" s="6">
        <v>0</v>
      </c>
      <c r="I353" s="6">
        <v>0</v>
      </c>
    </row>
    <row r="354" spans="2:9" ht="15.75" customHeight="1" x14ac:dyDescent="0.25">
      <c r="B354" s="6" t="s">
        <v>1089</v>
      </c>
      <c r="C354" s="6" t="s">
        <v>1090</v>
      </c>
      <c r="D354" s="6" t="s">
        <v>474</v>
      </c>
      <c r="E354" s="6">
        <v>54</v>
      </c>
      <c r="F354" s="6">
        <v>420</v>
      </c>
      <c r="G354" s="6">
        <v>22680</v>
      </c>
      <c r="H354" s="6">
        <v>0</v>
      </c>
      <c r="I354" s="6">
        <v>0</v>
      </c>
    </row>
    <row r="355" spans="2:9" ht="15.75" customHeight="1" x14ac:dyDescent="0.25">
      <c r="B355" s="6" t="s">
        <v>1091</v>
      </c>
      <c r="C355" s="6" t="s">
        <v>1092</v>
      </c>
      <c r="D355" s="6" t="s">
        <v>474</v>
      </c>
      <c r="E355" s="6">
        <v>25.79</v>
      </c>
      <c r="F355" s="6">
        <v>90</v>
      </c>
      <c r="G355" s="6">
        <v>2321.1</v>
      </c>
      <c r="H355" s="6">
        <v>0</v>
      </c>
      <c r="I355" s="6">
        <v>0</v>
      </c>
    </row>
    <row r="356" spans="2:9" ht="15.75" customHeight="1" x14ac:dyDescent="0.25">
      <c r="B356" s="6" t="s">
        <v>1093</v>
      </c>
      <c r="C356" s="6" t="s">
        <v>1094</v>
      </c>
      <c r="D356" s="6" t="s">
        <v>34</v>
      </c>
      <c r="E356" s="6">
        <v>75.84</v>
      </c>
      <c r="F356" s="6">
        <v>420</v>
      </c>
      <c r="G356" s="6">
        <v>31852.799999999999</v>
      </c>
      <c r="H356" s="6">
        <v>0</v>
      </c>
      <c r="I356" s="6">
        <v>0</v>
      </c>
    </row>
    <row r="357" spans="2:9" ht="15.75" customHeight="1" x14ac:dyDescent="0.25">
      <c r="B357" s="7" t="s">
        <v>1095</v>
      </c>
      <c r="C357" s="7" t="s">
        <v>1096</v>
      </c>
      <c r="D357" s="1"/>
      <c r="E357" s="1"/>
      <c r="F357" s="1"/>
      <c r="G357" s="7">
        <v>17986.37</v>
      </c>
      <c r="H357" s="1"/>
      <c r="I357" s="7">
        <v>2222</v>
      </c>
    </row>
    <row r="358" spans="2:9" ht="15.75" customHeight="1" x14ac:dyDescent="0.25">
      <c r="B358" s="6" t="s">
        <v>1097</v>
      </c>
      <c r="C358" s="6" t="s">
        <v>1098</v>
      </c>
      <c r="D358" s="6" t="s">
        <v>474</v>
      </c>
      <c r="E358" s="6">
        <v>9.15</v>
      </c>
      <c r="F358" s="6">
        <v>259.2</v>
      </c>
      <c r="G358" s="6">
        <v>2371.6799999999998</v>
      </c>
      <c r="H358" s="6">
        <v>0</v>
      </c>
      <c r="I358" s="6">
        <v>0</v>
      </c>
    </row>
    <row r="359" spans="2:9" ht="15.75" customHeight="1" x14ac:dyDescent="0.25">
      <c r="B359" s="6" t="s">
        <v>1099</v>
      </c>
      <c r="C359" s="6" t="s">
        <v>1100</v>
      </c>
      <c r="D359" s="6" t="s">
        <v>474</v>
      </c>
      <c r="E359" s="6">
        <v>13.13</v>
      </c>
      <c r="F359" s="6">
        <v>237.6</v>
      </c>
      <c r="G359" s="6">
        <v>3119.69</v>
      </c>
      <c r="H359" s="6">
        <v>0</v>
      </c>
      <c r="I359" s="6">
        <v>0</v>
      </c>
    </row>
    <row r="360" spans="2:9" ht="15.75" customHeight="1" x14ac:dyDescent="0.25">
      <c r="B360" s="6" t="s">
        <v>1101</v>
      </c>
      <c r="C360" s="6" t="s">
        <v>1102</v>
      </c>
      <c r="D360" s="6" t="s">
        <v>474</v>
      </c>
      <c r="E360" s="6">
        <v>1</v>
      </c>
      <c r="F360" s="6">
        <v>45</v>
      </c>
      <c r="G360" s="6">
        <v>45</v>
      </c>
      <c r="H360" s="6">
        <v>0</v>
      </c>
      <c r="I360" s="6">
        <v>0</v>
      </c>
    </row>
    <row r="361" spans="2:9" ht="15.75" customHeight="1" x14ac:dyDescent="0.25">
      <c r="B361" s="6" t="s">
        <v>1103</v>
      </c>
      <c r="C361" s="6" t="s">
        <v>1104</v>
      </c>
      <c r="D361" s="6" t="s">
        <v>485</v>
      </c>
      <c r="E361" s="6">
        <v>101</v>
      </c>
      <c r="F361" s="6">
        <v>90</v>
      </c>
      <c r="G361" s="6">
        <v>9090</v>
      </c>
      <c r="H361" s="6">
        <v>22</v>
      </c>
      <c r="I361" s="6">
        <v>2222</v>
      </c>
    </row>
    <row r="362" spans="2:9" ht="15.75" customHeight="1" x14ac:dyDescent="0.25">
      <c r="B362" s="6" t="s">
        <v>1105</v>
      </c>
      <c r="C362" s="6" t="s">
        <v>1106</v>
      </c>
      <c r="D362" s="6" t="s">
        <v>485</v>
      </c>
      <c r="E362" s="6">
        <v>56</v>
      </c>
      <c r="F362" s="6">
        <v>60</v>
      </c>
      <c r="G362" s="6">
        <v>3360</v>
      </c>
      <c r="H362" s="6">
        <v>0</v>
      </c>
      <c r="I362" s="6">
        <v>0</v>
      </c>
    </row>
    <row r="363" spans="2:9" ht="15.75" customHeight="1" x14ac:dyDescent="0.25">
      <c r="B363" s="7" t="s">
        <v>1107</v>
      </c>
      <c r="C363" s="7" t="s">
        <v>1108</v>
      </c>
      <c r="D363" s="1"/>
      <c r="E363" s="1"/>
      <c r="F363" s="1"/>
      <c r="G363" s="7">
        <v>41580</v>
      </c>
      <c r="H363" s="1"/>
      <c r="I363" s="7">
        <v>0</v>
      </c>
    </row>
    <row r="364" spans="2:9" ht="15.75" customHeight="1" x14ac:dyDescent="0.25">
      <c r="B364" s="6" t="s">
        <v>1109</v>
      </c>
      <c r="C364" s="6" t="s">
        <v>1110</v>
      </c>
      <c r="D364" s="6" t="s">
        <v>485</v>
      </c>
      <c r="E364" s="6">
        <v>11</v>
      </c>
      <c r="F364" s="6">
        <v>3780</v>
      </c>
      <c r="G364" s="6">
        <v>41580</v>
      </c>
      <c r="H364" s="6">
        <v>0</v>
      </c>
      <c r="I364" s="6">
        <v>0</v>
      </c>
    </row>
    <row r="365" spans="2:9" ht="15.75" customHeight="1" x14ac:dyDescent="0.25">
      <c r="B365" s="7" t="s">
        <v>1111</v>
      </c>
      <c r="C365" s="7" t="s">
        <v>628</v>
      </c>
      <c r="D365" s="1"/>
      <c r="E365" s="1"/>
      <c r="F365" s="1"/>
      <c r="G365" s="7">
        <v>161679.22</v>
      </c>
      <c r="H365" s="1"/>
      <c r="I365" s="7">
        <v>0</v>
      </c>
    </row>
    <row r="366" spans="2:9" ht="15.75" customHeight="1" x14ac:dyDescent="0.25">
      <c r="B366" s="6" t="s">
        <v>1112</v>
      </c>
      <c r="C366" s="6" t="s">
        <v>1113</v>
      </c>
      <c r="D366" s="6" t="s">
        <v>485</v>
      </c>
      <c r="E366" s="6">
        <v>3</v>
      </c>
      <c r="F366" s="6">
        <v>1620</v>
      </c>
      <c r="G366" s="6">
        <v>4860</v>
      </c>
      <c r="H366" s="6">
        <v>0</v>
      </c>
      <c r="I366" s="6">
        <v>0</v>
      </c>
    </row>
    <row r="367" spans="2:9" ht="15.75" customHeight="1" x14ac:dyDescent="0.25">
      <c r="B367" s="6" t="s">
        <v>1114</v>
      </c>
      <c r="C367" s="6" t="s">
        <v>1115</v>
      </c>
      <c r="D367" s="6" t="s">
        <v>485</v>
      </c>
      <c r="E367" s="6">
        <v>3</v>
      </c>
      <c r="F367" s="6">
        <v>350</v>
      </c>
      <c r="G367" s="6">
        <v>1050</v>
      </c>
      <c r="H367" s="6">
        <v>0</v>
      </c>
      <c r="I367" s="6">
        <v>0</v>
      </c>
    </row>
    <row r="368" spans="2:9" ht="15.75" customHeight="1" x14ac:dyDescent="0.25">
      <c r="B368" s="6" t="s">
        <v>1116</v>
      </c>
      <c r="C368" s="6" t="s">
        <v>1117</v>
      </c>
      <c r="D368" s="6" t="s">
        <v>485</v>
      </c>
      <c r="E368" s="6">
        <v>1</v>
      </c>
      <c r="F368" s="6">
        <v>1350</v>
      </c>
      <c r="G368" s="6">
        <v>1350</v>
      </c>
      <c r="H368" s="6">
        <v>0</v>
      </c>
      <c r="I368" s="6">
        <v>0</v>
      </c>
    </row>
    <row r="369" spans="2:9" ht="15.75" customHeight="1" x14ac:dyDescent="0.25">
      <c r="B369" s="6" t="s">
        <v>1118</v>
      </c>
      <c r="C369" s="6" t="s">
        <v>1119</v>
      </c>
      <c r="D369" s="6" t="s">
        <v>485</v>
      </c>
      <c r="E369" s="6">
        <v>187</v>
      </c>
      <c r="F369" s="6">
        <v>345.6</v>
      </c>
      <c r="G369" s="6">
        <v>64627.199999999997</v>
      </c>
      <c r="H369" s="6">
        <v>0</v>
      </c>
      <c r="I369" s="6">
        <v>0</v>
      </c>
    </row>
    <row r="370" spans="2:9" ht="15.75" customHeight="1" x14ac:dyDescent="0.25">
      <c r="B370" s="6" t="s">
        <v>1120</v>
      </c>
      <c r="C370" s="6" t="s">
        <v>1121</v>
      </c>
      <c r="D370" s="6" t="s">
        <v>485</v>
      </c>
      <c r="E370" s="6">
        <v>22</v>
      </c>
      <c r="F370" s="6">
        <v>706.91</v>
      </c>
      <c r="G370" s="6">
        <v>15552.02</v>
      </c>
      <c r="H370" s="6">
        <v>0</v>
      </c>
      <c r="I370" s="6">
        <v>0</v>
      </c>
    </row>
    <row r="371" spans="2:9" ht="15.75" customHeight="1" x14ac:dyDescent="0.25">
      <c r="B371" s="6" t="s">
        <v>1122</v>
      </c>
      <c r="C371" s="6" t="s">
        <v>1123</v>
      </c>
      <c r="D371" s="6" t="s">
        <v>474</v>
      </c>
      <c r="E371" s="6">
        <v>32</v>
      </c>
      <c r="F371" s="6">
        <v>1890</v>
      </c>
      <c r="G371" s="6">
        <v>60480</v>
      </c>
      <c r="H371" s="6">
        <v>0</v>
      </c>
      <c r="I371" s="6">
        <v>0</v>
      </c>
    </row>
    <row r="372" spans="2:9" ht="15.75" customHeight="1" x14ac:dyDescent="0.25">
      <c r="B372" s="6" t="s">
        <v>1124</v>
      </c>
      <c r="C372" s="6" t="s">
        <v>1125</v>
      </c>
      <c r="D372" s="6" t="s">
        <v>112</v>
      </c>
      <c r="E372" s="6">
        <v>3</v>
      </c>
      <c r="F372" s="6">
        <v>860</v>
      </c>
      <c r="G372" s="6">
        <v>2580</v>
      </c>
      <c r="H372" s="6">
        <v>0</v>
      </c>
      <c r="I372" s="6">
        <v>0</v>
      </c>
    </row>
    <row r="373" spans="2:9" ht="15.75" customHeight="1" x14ac:dyDescent="0.25">
      <c r="B373" s="6" t="s">
        <v>1126</v>
      </c>
      <c r="C373" s="6" t="s">
        <v>1127</v>
      </c>
      <c r="D373" s="6" t="s">
        <v>112</v>
      </c>
      <c r="E373" s="6">
        <v>3</v>
      </c>
      <c r="F373" s="6">
        <v>860</v>
      </c>
      <c r="G373" s="6">
        <v>2580</v>
      </c>
      <c r="H373" s="6">
        <v>0</v>
      </c>
      <c r="I373" s="6">
        <v>0</v>
      </c>
    </row>
    <row r="374" spans="2:9" ht="15.75" customHeight="1" x14ac:dyDescent="0.25">
      <c r="B374" s="6" t="s">
        <v>1128</v>
      </c>
      <c r="C374" s="6" t="s">
        <v>1129</v>
      </c>
      <c r="D374" s="6" t="s">
        <v>112</v>
      </c>
      <c r="E374" s="6">
        <v>10</v>
      </c>
      <c r="F374" s="6">
        <v>860</v>
      </c>
      <c r="G374" s="6">
        <v>8600</v>
      </c>
      <c r="H374" s="6">
        <v>0</v>
      </c>
      <c r="I374" s="6">
        <v>0</v>
      </c>
    </row>
    <row r="375" spans="2:9" ht="15.75" customHeight="1" x14ac:dyDescent="0.25">
      <c r="B375" s="7" t="s">
        <v>1130</v>
      </c>
      <c r="C375" s="7" t="s">
        <v>1131</v>
      </c>
      <c r="D375" s="1"/>
      <c r="E375" s="1"/>
      <c r="F375" s="1"/>
      <c r="G375" s="7">
        <v>0</v>
      </c>
      <c r="H375" s="1"/>
      <c r="I375" s="7">
        <v>22255</v>
      </c>
    </row>
    <row r="376" spans="2:9" ht="15.75" customHeight="1" x14ac:dyDescent="0.25">
      <c r="B376" s="6" t="s">
        <v>1132</v>
      </c>
      <c r="C376" s="6" t="s">
        <v>1133</v>
      </c>
      <c r="D376" s="6" t="s">
        <v>485</v>
      </c>
      <c r="E376" s="6">
        <v>16</v>
      </c>
      <c r="F376" s="6">
        <v>0</v>
      </c>
      <c r="G376" s="6">
        <v>0</v>
      </c>
      <c r="H376" s="6">
        <v>333.25</v>
      </c>
      <c r="I376" s="6">
        <v>5332</v>
      </c>
    </row>
    <row r="377" spans="2:9" ht="15.75" customHeight="1" x14ac:dyDescent="0.25">
      <c r="B377" s="6" t="s">
        <v>1134</v>
      </c>
      <c r="C377" s="6" t="s">
        <v>1135</v>
      </c>
      <c r="D377" s="6" t="s">
        <v>485</v>
      </c>
      <c r="E377" s="6">
        <v>9</v>
      </c>
      <c r="F377" s="6">
        <v>0</v>
      </c>
      <c r="G377" s="6">
        <v>0</v>
      </c>
      <c r="H377" s="6">
        <v>317</v>
      </c>
      <c r="I377" s="6">
        <v>2853</v>
      </c>
    </row>
    <row r="378" spans="2:9" ht="15.75" customHeight="1" x14ac:dyDescent="0.25">
      <c r="B378" s="6" t="s">
        <v>1136</v>
      </c>
      <c r="C378" s="6" t="s">
        <v>1137</v>
      </c>
      <c r="D378" s="6" t="s">
        <v>485</v>
      </c>
      <c r="E378" s="6">
        <v>5</v>
      </c>
      <c r="F378" s="6">
        <v>0</v>
      </c>
      <c r="G378" s="6">
        <v>0</v>
      </c>
      <c r="H378" s="6">
        <v>337</v>
      </c>
      <c r="I378" s="6">
        <v>1685</v>
      </c>
    </row>
    <row r="379" spans="2:9" ht="15.75" customHeight="1" x14ac:dyDescent="0.25">
      <c r="B379" s="6" t="s">
        <v>1138</v>
      </c>
      <c r="C379" s="6" t="s">
        <v>1139</v>
      </c>
      <c r="D379" s="6" t="s">
        <v>485</v>
      </c>
      <c r="E379" s="6">
        <v>3</v>
      </c>
      <c r="F379" s="6">
        <v>0</v>
      </c>
      <c r="G379" s="6">
        <v>0</v>
      </c>
      <c r="H379" s="6">
        <v>337</v>
      </c>
      <c r="I379" s="6">
        <v>1011</v>
      </c>
    </row>
    <row r="380" spans="2:9" ht="15.75" customHeight="1" x14ac:dyDescent="0.25">
      <c r="B380" s="6" t="s">
        <v>1140</v>
      </c>
      <c r="C380" s="6" t="s">
        <v>1141</v>
      </c>
      <c r="D380" s="6" t="s">
        <v>485</v>
      </c>
      <c r="E380" s="6">
        <v>2</v>
      </c>
      <c r="F380" s="6">
        <v>0</v>
      </c>
      <c r="G380" s="6">
        <v>0</v>
      </c>
      <c r="H380" s="6">
        <v>835</v>
      </c>
      <c r="I380" s="6">
        <v>1670</v>
      </c>
    </row>
    <row r="381" spans="2:9" ht="15.75" customHeight="1" x14ac:dyDescent="0.25">
      <c r="B381" s="6" t="s">
        <v>1142</v>
      </c>
      <c r="C381" s="6" t="s">
        <v>1143</v>
      </c>
      <c r="D381" s="6" t="s">
        <v>485</v>
      </c>
      <c r="E381" s="6">
        <v>1</v>
      </c>
      <c r="F381" s="6">
        <v>0</v>
      </c>
      <c r="G381" s="6">
        <v>0</v>
      </c>
      <c r="H381" s="6">
        <v>855</v>
      </c>
      <c r="I381" s="6">
        <v>855</v>
      </c>
    </row>
    <row r="382" spans="2:9" ht="15.75" customHeight="1" x14ac:dyDescent="0.25">
      <c r="B382" s="6" t="s">
        <v>1144</v>
      </c>
      <c r="C382" s="6" t="s">
        <v>1145</v>
      </c>
      <c r="D382" s="6" t="s">
        <v>485</v>
      </c>
      <c r="E382" s="6">
        <v>7</v>
      </c>
      <c r="F382" s="6">
        <v>0</v>
      </c>
      <c r="G382" s="6">
        <v>0</v>
      </c>
      <c r="H382" s="6">
        <v>682</v>
      </c>
      <c r="I382" s="6">
        <v>4774</v>
      </c>
    </row>
    <row r="383" spans="2:9" ht="15.75" customHeight="1" x14ac:dyDescent="0.25">
      <c r="B383" s="6" t="s">
        <v>1146</v>
      </c>
      <c r="C383" s="6" t="s">
        <v>1147</v>
      </c>
      <c r="D383" s="6" t="s">
        <v>485</v>
      </c>
      <c r="E383" s="6">
        <v>1</v>
      </c>
      <c r="F383" s="6">
        <v>0</v>
      </c>
      <c r="G383" s="6">
        <v>0</v>
      </c>
      <c r="H383" s="6">
        <v>855</v>
      </c>
      <c r="I383" s="6">
        <v>855</v>
      </c>
    </row>
    <row r="384" spans="2:9" ht="15.75" customHeight="1" x14ac:dyDescent="0.25">
      <c r="B384" s="6" t="s">
        <v>1148</v>
      </c>
      <c r="C384" s="6" t="s">
        <v>1149</v>
      </c>
      <c r="D384" s="6" t="s">
        <v>485</v>
      </c>
      <c r="E384" s="6">
        <v>10</v>
      </c>
      <c r="F384" s="6">
        <v>0</v>
      </c>
      <c r="G384" s="6">
        <v>0</v>
      </c>
      <c r="H384" s="6">
        <v>307</v>
      </c>
      <c r="I384" s="6">
        <v>3070</v>
      </c>
    </row>
    <row r="385" spans="2:9" ht="15.75" customHeight="1" x14ac:dyDescent="0.25">
      <c r="B385" s="6" t="s">
        <v>1150</v>
      </c>
      <c r="C385" s="6" t="s">
        <v>1151</v>
      </c>
      <c r="D385" s="6" t="s">
        <v>1152</v>
      </c>
      <c r="E385" s="6">
        <v>1</v>
      </c>
      <c r="F385" s="6">
        <v>0</v>
      </c>
      <c r="G385" s="6">
        <v>0</v>
      </c>
      <c r="H385" s="6">
        <v>150</v>
      </c>
      <c r="I385" s="6">
        <v>150</v>
      </c>
    </row>
    <row r="386" spans="2:9" ht="15.75" customHeight="1" x14ac:dyDescent="0.25">
      <c r="B386" s="5" t="s">
        <v>1153</v>
      </c>
      <c r="C386" s="5" t="s">
        <v>1154</v>
      </c>
      <c r="D386" s="1"/>
      <c r="E386" s="1"/>
      <c r="F386" s="1"/>
      <c r="G386" s="5">
        <v>670226.86</v>
      </c>
      <c r="H386" s="1"/>
      <c r="I386" s="5">
        <v>0</v>
      </c>
    </row>
    <row r="387" spans="2:9" ht="15.75" customHeight="1" x14ac:dyDescent="0.25">
      <c r="B387" s="7" t="s">
        <v>1155</v>
      </c>
      <c r="C387" s="7" t="s">
        <v>1156</v>
      </c>
      <c r="D387" s="1"/>
      <c r="E387" s="1"/>
      <c r="F387" s="1"/>
      <c r="G387" s="7">
        <v>61325.7</v>
      </c>
      <c r="H387" s="1"/>
      <c r="I387" s="7">
        <v>0</v>
      </c>
    </row>
    <row r="388" spans="2:9" ht="15.75" customHeight="1" x14ac:dyDescent="0.25">
      <c r="B388" s="6" t="s">
        <v>1157</v>
      </c>
      <c r="C388" s="6" t="s">
        <v>1158</v>
      </c>
      <c r="D388" s="6" t="s">
        <v>457</v>
      </c>
      <c r="E388" s="6">
        <v>732</v>
      </c>
      <c r="F388" s="6">
        <v>14.08</v>
      </c>
      <c r="G388" s="6">
        <v>10306.56</v>
      </c>
      <c r="H388" s="6">
        <v>0</v>
      </c>
      <c r="I388" s="6">
        <v>0</v>
      </c>
    </row>
    <row r="389" spans="2:9" ht="15.75" customHeight="1" x14ac:dyDescent="0.25">
      <c r="B389" s="6" t="s">
        <v>1159</v>
      </c>
      <c r="C389" s="6" t="s">
        <v>1160</v>
      </c>
      <c r="D389" s="6" t="s">
        <v>457</v>
      </c>
      <c r="E389" s="6">
        <v>426.31</v>
      </c>
      <c r="F389" s="6">
        <v>19.37</v>
      </c>
      <c r="G389" s="6">
        <v>8257.6200000000008</v>
      </c>
      <c r="H389" s="6">
        <v>0</v>
      </c>
      <c r="I389" s="6">
        <v>0</v>
      </c>
    </row>
    <row r="390" spans="2:9" ht="15.75" customHeight="1" x14ac:dyDescent="0.25">
      <c r="B390" s="6" t="s">
        <v>1161</v>
      </c>
      <c r="C390" s="6" t="s">
        <v>1162</v>
      </c>
      <c r="D390" s="6" t="s">
        <v>457</v>
      </c>
      <c r="E390" s="6">
        <v>3037.04</v>
      </c>
      <c r="F390" s="6">
        <v>14.08</v>
      </c>
      <c r="G390" s="6">
        <v>42761.52</v>
      </c>
      <c r="H390" s="6">
        <v>0</v>
      </c>
      <c r="I390" s="6">
        <v>0</v>
      </c>
    </row>
    <row r="391" spans="2:9" ht="15.75" customHeight="1" x14ac:dyDescent="0.25">
      <c r="B391" s="7" t="s">
        <v>1163</v>
      </c>
      <c r="C391" s="7" t="s">
        <v>1164</v>
      </c>
      <c r="D391" s="1"/>
      <c r="E391" s="1"/>
      <c r="F391" s="1"/>
      <c r="G391" s="7">
        <v>201415.42</v>
      </c>
      <c r="H391" s="1"/>
      <c r="I391" s="7">
        <v>0</v>
      </c>
    </row>
    <row r="392" spans="2:9" ht="15.75" customHeight="1" x14ac:dyDescent="0.25">
      <c r="B392" s="6" t="s">
        <v>1165</v>
      </c>
      <c r="C392" s="6" t="s">
        <v>1166</v>
      </c>
      <c r="D392" s="6" t="s">
        <v>457</v>
      </c>
      <c r="E392" s="6">
        <v>4188.0600000000004</v>
      </c>
      <c r="F392" s="6">
        <v>8</v>
      </c>
      <c r="G392" s="6">
        <v>33504.480000000003</v>
      </c>
      <c r="H392" s="6">
        <v>0</v>
      </c>
      <c r="I392" s="6">
        <v>0</v>
      </c>
    </row>
    <row r="393" spans="2:9" ht="15.75" customHeight="1" x14ac:dyDescent="0.25">
      <c r="B393" s="6" t="s">
        <v>1167</v>
      </c>
      <c r="C393" s="6" t="s">
        <v>1168</v>
      </c>
      <c r="D393" s="6" t="s">
        <v>457</v>
      </c>
      <c r="E393" s="6">
        <v>1087.19</v>
      </c>
      <c r="F393" s="6">
        <v>14.08</v>
      </c>
      <c r="G393" s="6">
        <v>15307.64</v>
      </c>
      <c r="H393" s="6">
        <v>0</v>
      </c>
      <c r="I393" s="6">
        <v>0</v>
      </c>
    </row>
    <row r="394" spans="2:9" ht="15.75" customHeight="1" x14ac:dyDescent="0.25">
      <c r="B394" s="6" t="s">
        <v>1169</v>
      </c>
      <c r="C394" s="6" t="s">
        <v>1170</v>
      </c>
      <c r="D394" s="6" t="s">
        <v>457</v>
      </c>
      <c r="E394" s="6">
        <v>5700.03</v>
      </c>
      <c r="F394" s="6">
        <v>19.5</v>
      </c>
      <c r="G394" s="6">
        <v>111150.59</v>
      </c>
      <c r="H394" s="6">
        <v>0</v>
      </c>
      <c r="I394" s="6">
        <v>0</v>
      </c>
    </row>
    <row r="395" spans="2:9" ht="15.75" customHeight="1" x14ac:dyDescent="0.25">
      <c r="B395" s="6" t="s">
        <v>1171</v>
      </c>
      <c r="C395" s="6" t="s">
        <v>1172</v>
      </c>
      <c r="D395" s="6" t="s">
        <v>457</v>
      </c>
      <c r="E395" s="6">
        <v>2125.7800000000002</v>
      </c>
      <c r="F395" s="6">
        <v>19.5</v>
      </c>
      <c r="G395" s="6">
        <v>41452.71</v>
      </c>
      <c r="H395" s="6">
        <v>0</v>
      </c>
      <c r="I395" s="6">
        <v>0</v>
      </c>
    </row>
    <row r="396" spans="2:9" ht="15.75" customHeight="1" x14ac:dyDescent="0.25">
      <c r="B396" s="7" t="s">
        <v>1173</v>
      </c>
      <c r="C396" s="7" t="s">
        <v>1174</v>
      </c>
      <c r="D396" s="1"/>
      <c r="E396" s="1"/>
      <c r="F396" s="1"/>
      <c r="G396" s="7">
        <v>20034.689999999999</v>
      </c>
      <c r="H396" s="1"/>
      <c r="I396" s="7">
        <v>0</v>
      </c>
    </row>
    <row r="397" spans="2:9" ht="15.75" customHeight="1" x14ac:dyDescent="0.25">
      <c r="B397" s="6" t="s">
        <v>1175</v>
      </c>
      <c r="C397" s="6" t="s">
        <v>1176</v>
      </c>
      <c r="D397" s="6" t="s">
        <v>457</v>
      </c>
      <c r="E397" s="6">
        <v>145.06</v>
      </c>
      <c r="F397" s="6">
        <v>19.5</v>
      </c>
      <c r="G397" s="6">
        <v>2828.67</v>
      </c>
      <c r="H397" s="6">
        <v>0</v>
      </c>
      <c r="I397" s="6">
        <v>0</v>
      </c>
    </row>
    <row r="398" spans="2:9" ht="15.75" customHeight="1" x14ac:dyDescent="0.25">
      <c r="B398" s="6" t="s">
        <v>1177</v>
      </c>
      <c r="C398" s="6" t="s">
        <v>1178</v>
      </c>
      <c r="D398" s="6" t="s">
        <v>457</v>
      </c>
      <c r="E398" s="6">
        <v>882.36</v>
      </c>
      <c r="F398" s="6">
        <v>19.5</v>
      </c>
      <c r="G398" s="6">
        <v>17206.02</v>
      </c>
      <c r="H398" s="6">
        <v>0</v>
      </c>
      <c r="I398" s="6">
        <v>0</v>
      </c>
    </row>
    <row r="399" spans="2:9" ht="15.75" customHeight="1" x14ac:dyDescent="0.25">
      <c r="B399" s="7" t="s">
        <v>1179</v>
      </c>
      <c r="C399" s="7" t="s">
        <v>1180</v>
      </c>
      <c r="D399" s="1"/>
      <c r="E399" s="1"/>
      <c r="F399" s="1"/>
      <c r="G399" s="7">
        <v>265863.13</v>
      </c>
      <c r="H399" s="1"/>
      <c r="I399" s="7">
        <v>0</v>
      </c>
    </row>
    <row r="400" spans="2:9" ht="15.75" customHeight="1" x14ac:dyDescent="0.25">
      <c r="B400" s="6" t="s">
        <v>1181</v>
      </c>
      <c r="C400" s="6" t="s">
        <v>1182</v>
      </c>
      <c r="D400" s="6" t="s">
        <v>457</v>
      </c>
      <c r="E400" s="6">
        <v>9545</v>
      </c>
      <c r="F400" s="6">
        <v>19.37</v>
      </c>
      <c r="G400" s="6">
        <v>184886.65</v>
      </c>
      <c r="H400" s="6">
        <v>0</v>
      </c>
      <c r="I400" s="6">
        <v>0</v>
      </c>
    </row>
    <row r="401" spans="2:9" ht="15.75" customHeight="1" x14ac:dyDescent="0.25">
      <c r="B401" s="6" t="s">
        <v>1183</v>
      </c>
      <c r="C401" s="6" t="s">
        <v>1184</v>
      </c>
      <c r="D401" s="6" t="s">
        <v>457</v>
      </c>
      <c r="E401" s="6">
        <v>605.72</v>
      </c>
      <c r="F401" s="6">
        <v>19.37</v>
      </c>
      <c r="G401" s="6">
        <v>11732.8</v>
      </c>
      <c r="H401" s="6">
        <v>0</v>
      </c>
      <c r="I401" s="6">
        <v>0</v>
      </c>
    </row>
    <row r="402" spans="2:9" ht="15.75" customHeight="1" x14ac:dyDescent="0.25">
      <c r="B402" s="6" t="s">
        <v>1185</v>
      </c>
      <c r="C402" s="6" t="s">
        <v>1186</v>
      </c>
      <c r="D402" s="6" t="s">
        <v>457</v>
      </c>
      <c r="E402" s="6">
        <v>1198.79</v>
      </c>
      <c r="F402" s="6">
        <v>19.37</v>
      </c>
      <c r="G402" s="6">
        <v>23220.560000000001</v>
      </c>
      <c r="H402" s="6">
        <v>0</v>
      </c>
      <c r="I402" s="6">
        <v>0</v>
      </c>
    </row>
    <row r="403" spans="2:9" ht="15.75" customHeight="1" x14ac:dyDescent="0.25">
      <c r="B403" s="6" t="s">
        <v>1187</v>
      </c>
      <c r="C403" s="6" t="s">
        <v>1188</v>
      </c>
      <c r="D403" s="6" t="s">
        <v>457</v>
      </c>
      <c r="E403" s="6">
        <v>2376</v>
      </c>
      <c r="F403" s="6">
        <v>19.37</v>
      </c>
      <c r="G403" s="6">
        <v>46023.12</v>
      </c>
      <c r="H403" s="6">
        <v>0</v>
      </c>
      <c r="I403" s="6">
        <v>0</v>
      </c>
    </row>
    <row r="404" spans="2:9" ht="15.75" customHeight="1" x14ac:dyDescent="0.25">
      <c r="B404" s="7" t="s">
        <v>1189</v>
      </c>
      <c r="C404" s="7" t="s">
        <v>1190</v>
      </c>
      <c r="D404" s="1"/>
      <c r="E404" s="1"/>
      <c r="F404" s="1"/>
      <c r="G404" s="7">
        <v>29397.66</v>
      </c>
      <c r="H404" s="1"/>
      <c r="I404" s="7">
        <v>0</v>
      </c>
    </row>
    <row r="405" spans="2:9" ht="15.75" customHeight="1" x14ac:dyDescent="0.25">
      <c r="B405" s="6" t="s">
        <v>1191</v>
      </c>
      <c r="C405" s="6" t="s">
        <v>1192</v>
      </c>
      <c r="D405" s="6" t="s">
        <v>457</v>
      </c>
      <c r="E405" s="6">
        <v>504.78</v>
      </c>
      <c r="F405" s="6">
        <v>19.37</v>
      </c>
      <c r="G405" s="6">
        <v>9777.59</v>
      </c>
      <c r="H405" s="6">
        <v>0</v>
      </c>
      <c r="I405" s="6">
        <v>0</v>
      </c>
    </row>
    <row r="406" spans="2:9" ht="15.75" customHeight="1" x14ac:dyDescent="0.25">
      <c r="B406" s="6" t="s">
        <v>1193</v>
      </c>
      <c r="C406" s="6" t="s">
        <v>1194</v>
      </c>
      <c r="D406" s="6" t="s">
        <v>457</v>
      </c>
      <c r="E406" s="6">
        <v>188.5</v>
      </c>
      <c r="F406" s="6">
        <v>19.37</v>
      </c>
      <c r="G406" s="6">
        <v>3651.25</v>
      </c>
      <c r="H406" s="6">
        <v>0</v>
      </c>
      <c r="I406" s="6">
        <v>0</v>
      </c>
    </row>
    <row r="407" spans="2:9" ht="15.75" customHeight="1" x14ac:dyDescent="0.25">
      <c r="B407" s="6" t="s">
        <v>1195</v>
      </c>
      <c r="C407" s="6" t="s">
        <v>1196</v>
      </c>
      <c r="D407" s="6" t="s">
        <v>457</v>
      </c>
      <c r="E407" s="6">
        <v>821.55</v>
      </c>
      <c r="F407" s="6">
        <v>19.37</v>
      </c>
      <c r="G407" s="6">
        <v>15913.42</v>
      </c>
      <c r="H407" s="6">
        <v>0</v>
      </c>
      <c r="I407" s="6">
        <v>0</v>
      </c>
    </row>
    <row r="408" spans="2:9" ht="15.75" customHeight="1" x14ac:dyDescent="0.25">
      <c r="B408" s="6" t="s">
        <v>1197</v>
      </c>
      <c r="C408" s="6" t="s">
        <v>1198</v>
      </c>
      <c r="D408" s="6" t="s">
        <v>457</v>
      </c>
      <c r="E408" s="6">
        <v>2.86</v>
      </c>
      <c r="F408" s="6">
        <v>19.37</v>
      </c>
      <c r="G408" s="6">
        <v>55.4</v>
      </c>
      <c r="H408" s="6">
        <v>0</v>
      </c>
      <c r="I408" s="6">
        <v>0</v>
      </c>
    </row>
    <row r="409" spans="2:9" ht="15.75" customHeight="1" x14ac:dyDescent="0.25">
      <c r="B409" s="7" t="s">
        <v>1199</v>
      </c>
      <c r="C409" s="7" t="s">
        <v>1200</v>
      </c>
      <c r="D409" s="1"/>
      <c r="E409" s="1"/>
      <c r="F409" s="1"/>
      <c r="G409" s="7">
        <v>53151.199999999997</v>
      </c>
      <c r="H409" s="1"/>
      <c r="I409" s="7">
        <v>0</v>
      </c>
    </row>
    <row r="410" spans="2:9" ht="15.75" customHeight="1" x14ac:dyDescent="0.25">
      <c r="B410" s="6" t="s">
        <v>1201</v>
      </c>
      <c r="C410" s="6" t="s">
        <v>1202</v>
      </c>
      <c r="D410" s="6" t="s">
        <v>457</v>
      </c>
      <c r="E410" s="6">
        <v>1426.16</v>
      </c>
      <c r="F410" s="6">
        <v>25.9</v>
      </c>
      <c r="G410" s="6">
        <v>36937.54</v>
      </c>
      <c r="H410" s="6">
        <v>0</v>
      </c>
      <c r="I410" s="6">
        <v>0</v>
      </c>
    </row>
    <row r="411" spans="2:9" ht="15.75" customHeight="1" x14ac:dyDescent="0.25">
      <c r="B411" s="6" t="s">
        <v>1203</v>
      </c>
      <c r="C411" s="6" t="s">
        <v>1204</v>
      </c>
      <c r="D411" s="6" t="s">
        <v>457</v>
      </c>
      <c r="E411" s="6">
        <v>626.01</v>
      </c>
      <c r="F411" s="6">
        <v>25.9</v>
      </c>
      <c r="G411" s="6">
        <v>16213.66</v>
      </c>
      <c r="H411" s="6">
        <v>0</v>
      </c>
      <c r="I411" s="6">
        <v>0</v>
      </c>
    </row>
    <row r="412" spans="2:9" ht="15.75" customHeight="1" x14ac:dyDescent="0.25">
      <c r="B412" s="7" t="s">
        <v>1205</v>
      </c>
      <c r="C412" s="7" t="s">
        <v>1206</v>
      </c>
      <c r="D412" s="1"/>
      <c r="E412" s="1"/>
      <c r="F412" s="1"/>
      <c r="G412" s="7">
        <v>39039.06</v>
      </c>
      <c r="H412" s="1"/>
      <c r="I412" s="7">
        <v>0</v>
      </c>
    </row>
    <row r="413" spans="2:9" ht="15.75" customHeight="1" x14ac:dyDescent="0.25">
      <c r="B413" s="6" t="s">
        <v>1207</v>
      </c>
      <c r="C413" s="6" t="s">
        <v>1208</v>
      </c>
      <c r="D413" s="6" t="s">
        <v>474</v>
      </c>
      <c r="E413" s="6">
        <v>779.81</v>
      </c>
      <c r="F413" s="6">
        <v>14.39</v>
      </c>
      <c r="G413" s="6">
        <v>11221.47</v>
      </c>
      <c r="H413" s="6">
        <v>0</v>
      </c>
      <c r="I413" s="6">
        <v>0</v>
      </c>
    </row>
    <row r="414" spans="2:9" ht="15.75" customHeight="1" x14ac:dyDescent="0.25">
      <c r="B414" s="6" t="s">
        <v>1209</v>
      </c>
      <c r="C414" s="6" t="s">
        <v>1210</v>
      </c>
      <c r="D414" s="6" t="s">
        <v>485</v>
      </c>
      <c r="E414" s="6">
        <v>130</v>
      </c>
      <c r="F414" s="6">
        <v>49.81</v>
      </c>
      <c r="G414" s="6">
        <v>6475.3</v>
      </c>
      <c r="H414" s="6">
        <v>0</v>
      </c>
      <c r="I414" s="6">
        <v>0</v>
      </c>
    </row>
    <row r="415" spans="2:9" ht="15.75" customHeight="1" x14ac:dyDescent="0.25">
      <c r="B415" s="6" t="s">
        <v>1211</v>
      </c>
      <c r="C415" s="6" t="s">
        <v>1212</v>
      </c>
      <c r="D415" s="6" t="s">
        <v>485</v>
      </c>
      <c r="E415" s="6">
        <v>36</v>
      </c>
      <c r="F415" s="6">
        <v>55.34</v>
      </c>
      <c r="G415" s="6">
        <v>1992.24</v>
      </c>
      <c r="H415" s="6">
        <v>0</v>
      </c>
      <c r="I415" s="6">
        <v>0</v>
      </c>
    </row>
    <row r="416" spans="2:9" ht="15.75" customHeight="1" x14ac:dyDescent="0.25">
      <c r="B416" s="6" t="s">
        <v>1213</v>
      </c>
      <c r="C416" s="6" t="s">
        <v>1214</v>
      </c>
      <c r="D416" s="6" t="s">
        <v>457</v>
      </c>
      <c r="E416" s="6">
        <v>461.15</v>
      </c>
      <c r="F416" s="6">
        <v>38.74</v>
      </c>
      <c r="G416" s="6">
        <v>17864.95</v>
      </c>
      <c r="H416" s="6">
        <v>0</v>
      </c>
      <c r="I416" s="6">
        <v>0</v>
      </c>
    </row>
    <row r="417" spans="2:9" ht="15.75" customHeight="1" x14ac:dyDescent="0.25">
      <c r="B417" s="6" t="s">
        <v>1215</v>
      </c>
      <c r="C417" s="6" t="s">
        <v>1216</v>
      </c>
      <c r="D417" s="6" t="s">
        <v>485</v>
      </c>
      <c r="E417" s="6">
        <v>5</v>
      </c>
      <c r="F417" s="6">
        <v>33.200000000000003</v>
      </c>
      <c r="G417" s="6">
        <v>166</v>
      </c>
      <c r="H417" s="6">
        <v>0</v>
      </c>
      <c r="I417" s="6">
        <v>0</v>
      </c>
    </row>
    <row r="418" spans="2:9" ht="15.75" customHeight="1" x14ac:dyDescent="0.25">
      <c r="B418" s="6" t="s">
        <v>1217</v>
      </c>
      <c r="C418" s="6" t="s">
        <v>1218</v>
      </c>
      <c r="D418" s="6" t="s">
        <v>457</v>
      </c>
      <c r="E418" s="6">
        <v>34.049999999999997</v>
      </c>
      <c r="F418" s="6">
        <v>38.74</v>
      </c>
      <c r="G418" s="6">
        <v>1319.1</v>
      </c>
      <c r="H418" s="6">
        <v>0</v>
      </c>
      <c r="I418" s="6">
        <v>0</v>
      </c>
    </row>
    <row r="419" spans="2:9" ht="15.75" customHeight="1" x14ac:dyDescent="0.25">
      <c r="B419" s="5" t="s">
        <v>1219</v>
      </c>
      <c r="C419" s="5" t="s">
        <v>1220</v>
      </c>
      <c r="D419" s="1"/>
      <c r="E419" s="1"/>
      <c r="F419" s="1"/>
      <c r="G419" s="5">
        <v>5046.8</v>
      </c>
      <c r="H419" s="1"/>
      <c r="I419" s="5">
        <v>171025.95</v>
      </c>
    </row>
    <row r="420" spans="2:9" ht="15.75" customHeight="1" x14ac:dyDescent="0.25">
      <c r="B420" s="7" t="s">
        <v>1221</v>
      </c>
      <c r="C420" s="7" t="s">
        <v>1222</v>
      </c>
      <c r="D420" s="1"/>
      <c r="E420" s="1"/>
      <c r="F420" s="1"/>
      <c r="G420" s="7">
        <v>0</v>
      </c>
      <c r="H420" s="1"/>
      <c r="I420" s="7">
        <v>31156.95</v>
      </c>
    </row>
    <row r="421" spans="2:9" ht="15.75" customHeight="1" x14ac:dyDescent="0.25">
      <c r="B421" s="6" t="s">
        <v>1223</v>
      </c>
      <c r="C421" s="6" t="s">
        <v>1224</v>
      </c>
      <c r="D421" s="6" t="s">
        <v>474</v>
      </c>
      <c r="E421" s="6">
        <v>225.31</v>
      </c>
      <c r="F421" s="6">
        <v>0</v>
      </c>
      <c r="G421" s="6">
        <v>0</v>
      </c>
      <c r="H421" s="6">
        <v>137.72999999999999</v>
      </c>
      <c r="I421" s="6">
        <v>31031.95</v>
      </c>
    </row>
    <row r="422" spans="2:9" ht="15.75" customHeight="1" x14ac:dyDescent="0.25">
      <c r="B422" s="6" t="s">
        <v>1225</v>
      </c>
      <c r="C422" s="6" t="s">
        <v>1226</v>
      </c>
      <c r="D422" s="6" t="s">
        <v>474</v>
      </c>
      <c r="E422" s="6">
        <v>1</v>
      </c>
      <c r="F422" s="6">
        <v>0</v>
      </c>
      <c r="G422" s="6">
        <v>0</v>
      </c>
      <c r="H422" s="6">
        <v>125</v>
      </c>
      <c r="I422" s="6">
        <v>125</v>
      </c>
    </row>
    <row r="423" spans="2:9" ht="15.75" customHeight="1" x14ac:dyDescent="0.25">
      <c r="B423" s="7" t="s">
        <v>1227</v>
      </c>
      <c r="C423" s="7" t="s">
        <v>1228</v>
      </c>
      <c r="D423" s="1"/>
      <c r="E423" s="1"/>
      <c r="F423" s="1"/>
      <c r="G423" s="7">
        <v>5046.8</v>
      </c>
      <c r="H423" s="1"/>
      <c r="I423" s="7">
        <v>139869</v>
      </c>
    </row>
    <row r="424" spans="2:9" ht="15.75" customHeight="1" x14ac:dyDescent="0.25">
      <c r="B424" s="6" t="s">
        <v>1229</v>
      </c>
      <c r="C424" s="6" t="s">
        <v>1230</v>
      </c>
      <c r="D424" s="6" t="s">
        <v>474</v>
      </c>
      <c r="E424" s="6">
        <v>41.46</v>
      </c>
      <c r="F424" s="6">
        <v>0</v>
      </c>
      <c r="G424" s="6">
        <v>0</v>
      </c>
      <c r="H424" s="6">
        <v>140</v>
      </c>
      <c r="I424" s="6">
        <v>5804.4</v>
      </c>
    </row>
    <row r="425" spans="2:9" ht="15.75" customHeight="1" x14ac:dyDescent="0.25">
      <c r="B425" s="6" t="s">
        <v>1231</v>
      </c>
      <c r="C425" s="6" t="s">
        <v>1232</v>
      </c>
      <c r="D425" s="6" t="s">
        <v>474</v>
      </c>
      <c r="E425" s="6">
        <v>592.71</v>
      </c>
      <c r="F425" s="6">
        <v>0</v>
      </c>
      <c r="G425" s="6">
        <v>0</v>
      </c>
      <c r="H425" s="6">
        <v>182.93</v>
      </c>
      <c r="I425" s="6">
        <v>108424.44</v>
      </c>
    </row>
    <row r="426" spans="2:9" ht="15.75" customHeight="1" x14ac:dyDescent="0.25">
      <c r="B426" s="6" t="s">
        <v>1233</v>
      </c>
      <c r="C426" s="6" t="s">
        <v>1234</v>
      </c>
      <c r="D426" s="6" t="s">
        <v>474</v>
      </c>
      <c r="E426" s="6">
        <v>140.88</v>
      </c>
      <c r="F426" s="6">
        <v>0</v>
      </c>
      <c r="G426" s="6">
        <v>0</v>
      </c>
      <c r="H426" s="6">
        <v>182</v>
      </c>
      <c r="I426" s="6">
        <v>25640.16</v>
      </c>
    </row>
    <row r="427" spans="2:9" ht="15.75" customHeight="1" x14ac:dyDescent="0.25">
      <c r="B427" s="6" t="s">
        <v>1235</v>
      </c>
      <c r="C427" s="6" t="s">
        <v>1236</v>
      </c>
      <c r="D427" s="6" t="s">
        <v>20</v>
      </c>
      <c r="E427" s="6">
        <v>1</v>
      </c>
      <c r="F427" s="6">
        <v>5046.8</v>
      </c>
      <c r="G427" s="6">
        <v>5046.8</v>
      </c>
      <c r="H427" s="6">
        <v>0</v>
      </c>
      <c r="I427" s="6">
        <v>0</v>
      </c>
    </row>
    <row r="428" spans="2:9" ht="15.75" customHeight="1" x14ac:dyDescent="0.25">
      <c r="B428" s="5" t="s">
        <v>1237</v>
      </c>
      <c r="C428" s="5" t="s">
        <v>1238</v>
      </c>
      <c r="D428" s="1"/>
      <c r="E428" s="1"/>
      <c r="F428" s="1"/>
      <c r="G428" s="5">
        <v>1000</v>
      </c>
      <c r="H428" s="1"/>
      <c r="I428" s="5">
        <v>318017.15999999997</v>
      </c>
    </row>
    <row r="429" spans="2:9" ht="15.75" customHeight="1" x14ac:dyDescent="0.25">
      <c r="B429" s="7" t="s">
        <v>1239</v>
      </c>
      <c r="C429" s="7" t="s">
        <v>1240</v>
      </c>
      <c r="D429" s="1"/>
      <c r="E429" s="1"/>
      <c r="F429" s="1"/>
      <c r="G429" s="7">
        <v>0</v>
      </c>
      <c r="H429" s="1"/>
      <c r="I429" s="7">
        <v>73351.92</v>
      </c>
    </row>
    <row r="430" spans="2:9" ht="15.75" customHeight="1" x14ac:dyDescent="0.25">
      <c r="B430" s="6" t="s">
        <v>1241</v>
      </c>
      <c r="C430" s="6" t="s">
        <v>1242</v>
      </c>
      <c r="D430" s="6" t="s">
        <v>485</v>
      </c>
      <c r="E430" s="6">
        <v>6</v>
      </c>
      <c r="F430" s="6">
        <v>0</v>
      </c>
      <c r="G430" s="6">
        <v>0</v>
      </c>
      <c r="H430" s="6">
        <v>1090.6099999999999</v>
      </c>
      <c r="I430" s="6">
        <v>6543.66</v>
      </c>
    </row>
    <row r="431" spans="2:9" ht="15.75" customHeight="1" x14ac:dyDescent="0.25">
      <c r="B431" s="6" t="s">
        <v>1243</v>
      </c>
      <c r="C431" s="6" t="s">
        <v>1244</v>
      </c>
      <c r="D431" s="6" t="s">
        <v>485</v>
      </c>
      <c r="E431" s="6">
        <v>6</v>
      </c>
      <c r="F431" s="6">
        <v>0</v>
      </c>
      <c r="G431" s="6">
        <v>0</v>
      </c>
      <c r="H431" s="6">
        <v>444.1</v>
      </c>
      <c r="I431" s="6">
        <v>2664.6</v>
      </c>
    </row>
    <row r="432" spans="2:9" ht="15.75" customHeight="1" x14ac:dyDescent="0.25">
      <c r="B432" s="6" t="s">
        <v>1245</v>
      </c>
      <c r="C432" s="6" t="s">
        <v>1246</v>
      </c>
      <c r="D432" s="6" t="s">
        <v>485</v>
      </c>
      <c r="E432" s="6">
        <v>6</v>
      </c>
      <c r="F432" s="6">
        <v>0</v>
      </c>
      <c r="G432" s="6">
        <v>0</v>
      </c>
      <c r="H432" s="6">
        <v>317.73</v>
      </c>
      <c r="I432" s="6">
        <v>1906.38</v>
      </c>
    </row>
    <row r="433" spans="2:9" ht="15.75" customHeight="1" x14ac:dyDescent="0.25">
      <c r="B433" s="6" t="s">
        <v>1247</v>
      </c>
      <c r="C433" s="6" t="s">
        <v>1248</v>
      </c>
      <c r="D433" s="6" t="s">
        <v>485</v>
      </c>
      <c r="E433" s="6">
        <v>6</v>
      </c>
      <c r="F433" s="6">
        <v>0</v>
      </c>
      <c r="G433" s="6">
        <v>0</v>
      </c>
      <c r="H433" s="6">
        <v>145.71</v>
      </c>
      <c r="I433" s="6">
        <v>874.26</v>
      </c>
    </row>
    <row r="434" spans="2:9" ht="15.75" customHeight="1" x14ac:dyDescent="0.25">
      <c r="B434" s="6" t="s">
        <v>1249</v>
      </c>
      <c r="C434" s="6" t="s">
        <v>1250</v>
      </c>
      <c r="D434" s="6" t="s">
        <v>485</v>
      </c>
      <c r="E434" s="6">
        <v>6</v>
      </c>
      <c r="F434" s="6">
        <v>0</v>
      </c>
      <c r="G434" s="6">
        <v>0</v>
      </c>
      <c r="H434" s="6">
        <v>450.1</v>
      </c>
      <c r="I434" s="6">
        <v>2700.6</v>
      </c>
    </row>
    <row r="435" spans="2:9" ht="15.75" customHeight="1" x14ac:dyDescent="0.25">
      <c r="B435" s="6" t="s">
        <v>1251</v>
      </c>
      <c r="C435" s="6" t="s">
        <v>1252</v>
      </c>
      <c r="D435" s="6" t="s">
        <v>485</v>
      </c>
      <c r="E435" s="6">
        <v>1</v>
      </c>
      <c r="F435" s="6">
        <v>0</v>
      </c>
      <c r="G435" s="6">
        <v>0</v>
      </c>
      <c r="H435" s="6">
        <v>599.64</v>
      </c>
      <c r="I435" s="6">
        <v>599.64</v>
      </c>
    </row>
    <row r="436" spans="2:9" ht="15.75" customHeight="1" x14ac:dyDescent="0.25">
      <c r="B436" s="6" t="s">
        <v>1253</v>
      </c>
      <c r="C436" s="6" t="s">
        <v>1254</v>
      </c>
      <c r="D436" s="6" t="s">
        <v>485</v>
      </c>
      <c r="E436" s="6">
        <v>1</v>
      </c>
      <c r="F436" s="6">
        <v>0</v>
      </c>
      <c r="G436" s="6">
        <v>0</v>
      </c>
      <c r="H436" s="6">
        <v>567.92999999999995</v>
      </c>
      <c r="I436" s="6">
        <v>567.92999999999995</v>
      </c>
    </row>
    <row r="437" spans="2:9" ht="15.75" customHeight="1" x14ac:dyDescent="0.25">
      <c r="B437" s="6" t="s">
        <v>1255</v>
      </c>
      <c r="C437" s="6" t="s">
        <v>1256</v>
      </c>
      <c r="D437" s="6" t="s">
        <v>485</v>
      </c>
      <c r="E437" s="6">
        <v>1</v>
      </c>
      <c r="F437" s="6">
        <v>0</v>
      </c>
      <c r="G437" s="6">
        <v>0</v>
      </c>
      <c r="H437" s="6">
        <v>1069.96</v>
      </c>
      <c r="I437" s="6">
        <v>1069.96</v>
      </c>
    </row>
    <row r="438" spans="2:9" ht="15.75" customHeight="1" x14ac:dyDescent="0.25">
      <c r="B438" s="6" t="s">
        <v>1257</v>
      </c>
      <c r="C438" s="6" t="s">
        <v>1258</v>
      </c>
      <c r="D438" s="6" t="s">
        <v>485</v>
      </c>
      <c r="E438" s="6">
        <v>1</v>
      </c>
      <c r="F438" s="6">
        <v>0</v>
      </c>
      <c r="G438" s="6">
        <v>0</v>
      </c>
      <c r="H438" s="6">
        <v>615.52</v>
      </c>
      <c r="I438" s="6">
        <v>615.52</v>
      </c>
    </row>
    <row r="439" spans="2:9" ht="15.75" customHeight="1" x14ac:dyDescent="0.25">
      <c r="B439" s="6" t="s">
        <v>1259</v>
      </c>
      <c r="C439" s="6" t="s">
        <v>1260</v>
      </c>
      <c r="D439" s="6" t="s">
        <v>485</v>
      </c>
      <c r="E439" s="6">
        <v>8</v>
      </c>
      <c r="F439" s="6">
        <v>0</v>
      </c>
      <c r="G439" s="6">
        <v>0</v>
      </c>
      <c r="H439" s="6">
        <v>1269.22</v>
      </c>
      <c r="I439" s="6">
        <v>10153.76</v>
      </c>
    </row>
    <row r="440" spans="2:9" ht="15.75" customHeight="1" x14ac:dyDescent="0.25">
      <c r="B440" s="6" t="s">
        <v>1261</v>
      </c>
      <c r="C440" s="6" t="s">
        <v>1262</v>
      </c>
      <c r="D440" s="6" t="s">
        <v>485</v>
      </c>
      <c r="E440" s="6">
        <v>8</v>
      </c>
      <c r="F440" s="6">
        <v>0</v>
      </c>
      <c r="G440" s="6">
        <v>0</v>
      </c>
      <c r="H440" s="6">
        <v>955.41</v>
      </c>
      <c r="I440" s="6">
        <v>7643.28</v>
      </c>
    </row>
    <row r="441" spans="2:9" ht="15.75" customHeight="1" x14ac:dyDescent="0.25">
      <c r="B441" s="6" t="s">
        <v>1263</v>
      </c>
      <c r="C441" s="6" t="s">
        <v>1264</v>
      </c>
      <c r="D441" s="6" t="s">
        <v>485</v>
      </c>
      <c r="E441" s="6">
        <v>8</v>
      </c>
      <c r="F441" s="6">
        <v>0</v>
      </c>
      <c r="G441" s="6">
        <v>0</v>
      </c>
      <c r="H441" s="6">
        <v>582.73</v>
      </c>
      <c r="I441" s="6">
        <v>4661.84</v>
      </c>
    </row>
    <row r="442" spans="2:9" ht="15.75" customHeight="1" x14ac:dyDescent="0.25">
      <c r="B442" s="6" t="s">
        <v>1265</v>
      </c>
      <c r="C442" s="6" t="s">
        <v>1266</v>
      </c>
      <c r="D442" s="6" t="s">
        <v>485</v>
      </c>
      <c r="E442" s="6">
        <v>8</v>
      </c>
      <c r="F442" s="6">
        <v>0</v>
      </c>
      <c r="G442" s="6">
        <v>0</v>
      </c>
      <c r="H442" s="6">
        <v>846.56</v>
      </c>
      <c r="I442" s="6">
        <v>6772.48</v>
      </c>
    </row>
    <row r="443" spans="2:9" ht="15.75" customHeight="1" x14ac:dyDescent="0.25">
      <c r="B443" s="6" t="s">
        <v>1267</v>
      </c>
      <c r="C443" s="6" t="s">
        <v>1268</v>
      </c>
      <c r="D443" s="6" t="s">
        <v>485</v>
      </c>
      <c r="E443" s="6">
        <v>8</v>
      </c>
      <c r="F443" s="6">
        <v>0</v>
      </c>
      <c r="G443" s="6">
        <v>0</v>
      </c>
      <c r="H443" s="6">
        <v>598.84</v>
      </c>
      <c r="I443" s="6">
        <v>4790.72</v>
      </c>
    </row>
    <row r="444" spans="2:9" ht="15.75" customHeight="1" x14ac:dyDescent="0.25">
      <c r="B444" s="6" t="s">
        <v>1269</v>
      </c>
      <c r="C444" s="6" t="s">
        <v>1270</v>
      </c>
      <c r="D444" s="6" t="s">
        <v>485</v>
      </c>
      <c r="E444" s="6">
        <v>8</v>
      </c>
      <c r="F444" s="6">
        <v>0</v>
      </c>
      <c r="G444" s="6">
        <v>0</v>
      </c>
      <c r="H444" s="6">
        <v>547.67999999999995</v>
      </c>
      <c r="I444" s="6">
        <v>4381.4399999999996</v>
      </c>
    </row>
    <row r="445" spans="2:9" ht="15.75" customHeight="1" x14ac:dyDescent="0.25">
      <c r="B445" s="6" t="s">
        <v>1271</v>
      </c>
      <c r="C445" s="6" t="s">
        <v>1272</v>
      </c>
      <c r="D445" s="6" t="s">
        <v>485</v>
      </c>
      <c r="E445" s="6">
        <v>8</v>
      </c>
      <c r="F445" s="6">
        <v>0</v>
      </c>
      <c r="G445" s="6">
        <v>0</v>
      </c>
      <c r="H445" s="6">
        <v>949.59</v>
      </c>
      <c r="I445" s="6">
        <v>7596.72</v>
      </c>
    </row>
    <row r="446" spans="2:9" ht="15.75" customHeight="1" x14ac:dyDescent="0.25">
      <c r="B446" s="6" t="s">
        <v>1273</v>
      </c>
      <c r="C446" s="6" t="s">
        <v>1274</v>
      </c>
      <c r="D446" s="6" t="s">
        <v>485</v>
      </c>
      <c r="E446" s="6">
        <v>2</v>
      </c>
      <c r="F446" s="6">
        <v>0</v>
      </c>
      <c r="G446" s="6">
        <v>0</v>
      </c>
      <c r="H446" s="6">
        <v>945.53</v>
      </c>
      <c r="I446" s="6">
        <v>1891.06</v>
      </c>
    </row>
    <row r="447" spans="2:9" ht="15.75" customHeight="1" x14ac:dyDescent="0.25">
      <c r="B447" s="6" t="s">
        <v>1275</v>
      </c>
      <c r="C447" s="6" t="s">
        <v>1276</v>
      </c>
      <c r="D447" s="6" t="s">
        <v>485</v>
      </c>
      <c r="E447" s="6">
        <v>3</v>
      </c>
      <c r="F447" s="6">
        <v>0</v>
      </c>
      <c r="G447" s="6">
        <v>0</v>
      </c>
      <c r="H447" s="6">
        <v>317.73</v>
      </c>
      <c r="I447" s="6">
        <v>953.19</v>
      </c>
    </row>
    <row r="448" spans="2:9" ht="15.75" customHeight="1" x14ac:dyDescent="0.25">
      <c r="B448" s="6" t="s">
        <v>1277</v>
      </c>
      <c r="C448" s="6" t="s">
        <v>1278</v>
      </c>
      <c r="D448" s="6" t="s">
        <v>485</v>
      </c>
      <c r="E448" s="6">
        <v>2</v>
      </c>
      <c r="F448" s="6">
        <v>0</v>
      </c>
      <c r="G448" s="6">
        <v>0</v>
      </c>
      <c r="H448" s="6">
        <v>600.03</v>
      </c>
      <c r="I448" s="6">
        <v>1200.06</v>
      </c>
    </row>
    <row r="449" spans="2:9" ht="15.75" customHeight="1" x14ac:dyDescent="0.25">
      <c r="B449" s="6" t="s">
        <v>1279</v>
      </c>
      <c r="C449" s="6" t="s">
        <v>1280</v>
      </c>
      <c r="D449" s="6" t="s">
        <v>485</v>
      </c>
      <c r="E449" s="6">
        <v>2</v>
      </c>
      <c r="F449" s="6">
        <v>0</v>
      </c>
      <c r="G449" s="6">
        <v>0</v>
      </c>
      <c r="H449" s="6">
        <v>1325.86</v>
      </c>
      <c r="I449" s="6">
        <v>2651.72</v>
      </c>
    </row>
    <row r="450" spans="2:9" ht="15.75" customHeight="1" x14ac:dyDescent="0.25">
      <c r="B450" s="6" t="s">
        <v>1281</v>
      </c>
      <c r="C450" s="6" t="s">
        <v>1282</v>
      </c>
      <c r="D450" s="6" t="s">
        <v>485</v>
      </c>
      <c r="E450" s="6">
        <v>2</v>
      </c>
      <c r="F450" s="6">
        <v>0</v>
      </c>
      <c r="G450" s="6">
        <v>0</v>
      </c>
      <c r="H450" s="6">
        <v>229.93</v>
      </c>
      <c r="I450" s="6">
        <v>459.86</v>
      </c>
    </row>
    <row r="451" spans="2:9" ht="15.75" customHeight="1" x14ac:dyDescent="0.25">
      <c r="B451" s="6" t="s">
        <v>1283</v>
      </c>
      <c r="C451" s="6" t="s">
        <v>1284</v>
      </c>
      <c r="D451" s="6" t="s">
        <v>485</v>
      </c>
      <c r="E451" s="6">
        <v>12</v>
      </c>
      <c r="F451" s="6">
        <v>0</v>
      </c>
      <c r="G451" s="6">
        <v>0</v>
      </c>
      <c r="H451" s="6">
        <v>131.96</v>
      </c>
      <c r="I451" s="6">
        <v>1583.52</v>
      </c>
    </row>
    <row r="452" spans="2:9" ht="15.75" customHeight="1" x14ac:dyDescent="0.25">
      <c r="B452" s="6" t="s">
        <v>1285</v>
      </c>
      <c r="C452" s="6" t="s">
        <v>1286</v>
      </c>
      <c r="D452" s="6" t="s">
        <v>485</v>
      </c>
      <c r="E452" s="6">
        <v>1</v>
      </c>
      <c r="F452" s="6">
        <v>0</v>
      </c>
      <c r="G452" s="6">
        <v>0</v>
      </c>
      <c r="H452" s="6">
        <v>265.41000000000003</v>
      </c>
      <c r="I452" s="6">
        <v>265.41000000000003</v>
      </c>
    </row>
    <row r="453" spans="2:9" ht="15.75" customHeight="1" x14ac:dyDescent="0.25">
      <c r="B453" s="6" t="s">
        <v>1287</v>
      </c>
      <c r="C453" s="6" t="s">
        <v>1288</v>
      </c>
      <c r="D453" s="6" t="s">
        <v>485</v>
      </c>
      <c r="E453" s="6">
        <v>1</v>
      </c>
      <c r="F453" s="6">
        <v>0</v>
      </c>
      <c r="G453" s="6">
        <v>0</v>
      </c>
      <c r="H453" s="6">
        <v>278.57</v>
      </c>
      <c r="I453" s="6">
        <v>278.57</v>
      </c>
    </row>
    <row r="454" spans="2:9" ht="15.75" customHeight="1" x14ac:dyDescent="0.25">
      <c r="B454" s="6" t="s">
        <v>1289</v>
      </c>
      <c r="C454" s="6" t="s">
        <v>1290</v>
      </c>
      <c r="D454" s="6" t="s">
        <v>485</v>
      </c>
      <c r="E454" s="6">
        <v>1</v>
      </c>
      <c r="F454" s="6">
        <v>0</v>
      </c>
      <c r="G454" s="6">
        <v>0</v>
      </c>
      <c r="H454" s="6">
        <v>275.54000000000002</v>
      </c>
      <c r="I454" s="6">
        <v>275.54000000000002</v>
      </c>
    </row>
    <row r="455" spans="2:9" ht="15.75" customHeight="1" x14ac:dyDescent="0.25">
      <c r="B455" s="6" t="s">
        <v>1291</v>
      </c>
      <c r="C455" s="6" t="s">
        <v>1292</v>
      </c>
      <c r="D455" s="6" t="s">
        <v>485</v>
      </c>
      <c r="E455" s="6">
        <v>1</v>
      </c>
      <c r="F455" s="6">
        <v>0</v>
      </c>
      <c r="G455" s="6">
        <v>0</v>
      </c>
      <c r="H455" s="6">
        <v>250.2</v>
      </c>
      <c r="I455" s="6">
        <v>250.2</v>
      </c>
    </row>
    <row r="456" spans="2:9" ht="15.75" customHeight="1" x14ac:dyDescent="0.25">
      <c r="B456" s="7" t="s">
        <v>1293</v>
      </c>
      <c r="C456" s="7" t="s">
        <v>1294</v>
      </c>
      <c r="D456" s="1"/>
      <c r="E456" s="1"/>
      <c r="F456" s="1"/>
      <c r="G456" s="7">
        <v>0</v>
      </c>
      <c r="H456" s="1"/>
      <c r="I456" s="7">
        <v>183816.09</v>
      </c>
    </row>
    <row r="457" spans="2:9" ht="15.75" customHeight="1" x14ac:dyDescent="0.25">
      <c r="B457" s="6" t="s">
        <v>1295</v>
      </c>
      <c r="C457" s="6" t="s">
        <v>1296</v>
      </c>
      <c r="D457" s="6" t="s">
        <v>485</v>
      </c>
      <c r="E457" s="6">
        <v>1</v>
      </c>
      <c r="F457" s="6">
        <v>0</v>
      </c>
      <c r="G457" s="6">
        <v>0</v>
      </c>
      <c r="H457" s="6">
        <v>553.29</v>
      </c>
      <c r="I457" s="6">
        <v>553.29</v>
      </c>
    </row>
    <row r="458" spans="2:9" ht="15.75" customHeight="1" x14ac:dyDescent="0.25">
      <c r="B458" s="6" t="s">
        <v>1297</v>
      </c>
      <c r="C458" s="6" t="s">
        <v>1298</v>
      </c>
      <c r="D458" s="6" t="s">
        <v>485</v>
      </c>
      <c r="E458" s="6">
        <v>1</v>
      </c>
      <c r="F458" s="6">
        <v>0</v>
      </c>
      <c r="G458" s="6">
        <v>0</v>
      </c>
      <c r="H458" s="6">
        <v>553.29</v>
      </c>
      <c r="I458" s="6">
        <v>553.29</v>
      </c>
    </row>
    <row r="459" spans="2:9" ht="15.75" customHeight="1" x14ac:dyDescent="0.25">
      <c r="B459" s="6" t="s">
        <v>1299</v>
      </c>
      <c r="C459" s="6" t="s">
        <v>1300</v>
      </c>
      <c r="D459" s="6" t="s">
        <v>485</v>
      </c>
      <c r="E459" s="6">
        <v>1</v>
      </c>
      <c r="F459" s="6">
        <v>0</v>
      </c>
      <c r="G459" s="6">
        <v>0</v>
      </c>
      <c r="H459" s="6">
        <v>2900.3</v>
      </c>
      <c r="I459" s="6">
        <v>2900.3</v>
      </c>
    </row>
    <row r="460" spans="2:9" ht="15.75" customHeight="1" x14ac:dyDescent="0.25">
      <c r="B460" s="6" t="s">
        <v>1301</v>
      </c>
      <c r="C460" s="6" t="s">
        <v>1302</v>
      </c>
      <c r="D460" s="6" t="s">
        <v>485</v>
      </c>
      <c r="E460" s="6">
        <v>1</v>
      </c>
      <c r="F460" s="6">
        <v>0</v>
      </c>
      <c r="G460" s="6">
        <v>0</v>
      </c>
      <c r="H460" s="6">
        <v>1097.08</v>
      </c>
      <c r="I460" s="6">
        <v>1097.08</v>
      </c>
    </row>
    <row r="461" spans="2:9" ht="15.75" customHeight="1" x14ac:dyDescent="0.25">
      <c r="B461" s="6" t="s">
        <v>1303</v>
      </c>
      <c r="C461" s="6" t="s">
        <v>1304</v>
      </c>
      <c r="D461" s="6" t="s">
        <v>485</v>
      </c>
      <c r="E461" s="6">
        <v>1</v>
      </c>
      <c r="F461" s="6">
        <v>0</v>
      </c>
      <c r="G461" s="6">
        <v>0</v>
      </c>
      <c r="H461" s="6">
        <v>767.74</v>
      </c>
      <c r="I461" s="6">
        <v>767.74</v>
      </c>
    </row>
    <row r="462" spans="2:9" ht="15.75" customHeight="1" x14ac:dyDescent="0.25">
      <c r="B462" s="6" t="s">
        <v>1305</v>
      </c>
      <c r="C462" s="6" t="s">
        <v>1306</v>
      </c>
      <c r="D462" s="6" t="s">
        <v>485</v>
      </c>
      <c r="E462" s="6">
        <v>1</v>
      </c>
      <c r="F462" s="6">
        <v>0</v>
      </c>
      <c r="G462" s="6">
        <v>0</v>
      </c>
      <c r="H462" s="6">
        <v>1287.6400000000001</v>
      </c>
      <c r="I462" s="6">
        <v>1287.6400000000001</v>
      </c>
    </row>
    <row r="463" spans="2:9" ht="15.75" customHeight="1" x14ac:dyDescent="0.25">
      <c r="B463" s="6" t="s">
        <v>1307</v>
      </c>
      <c r="C463" s="6" t="s">
        <v>1308</v>
      </c>
      <c r="D463" s="6" t="s">
        <v>485</v>
      </c>
      <c r="E463" s="6">
        <v>1</v>
      </c>
      <c r="F463" s="6">
        <v>0</v>
      </c>
      <c r="G463" s="6">
        <v>0</v>
      </c>
      <c r="H463" s="6">
        <v>732.7</v>
      </c>
      <c r="I463" s="6">
        <v>732.7</v>
      </c>
    </row>
    <row r="464" spans="2:9" ht="15.75" customHeight="1" x14ac:dyDescent="0.25">
      <c r="B464" s="6" t="s">
        <v>1309</v>
      </c>
      <c r="C464" s="6" t="s">
        <v>1310</v>
      </c>
      <c r="D464" s="6" t="s">
        <v>485</v>
      </c>
      <c r="E464" s="6">
        <v>1</v>
      </c>
      <c r="F464" s="6">
        <v>0</v>
      </c>
      <c r="G464" s="6">
        <v>0</v>
      </c>
      <c r="H464" s="6">
        <v>1897.76</v>
      </c>
      <c r="I464" s="6">
        <v>1897.76</v>
      </c>
    </row>
    <row r="465" spans="2:9" ht="15.75" customHeight="1" x14ac:dyDescent="0.25">
      <c r="B465" s="6" t="s">
        <v>1311</v>
      </c>
      <c r="C465" s="6" t="s">
        <v>1312</v>
      </c>
      <c r="D465" s="6" t="s">
        <v>485</v>
      </c>
      <c r="E465" s="6">
        <v>1</v>
      </c>
      <c r="F465" s="6">
        <v>0</v>
      </c>
      <c r="G465" s="6">
        <v>0</v>
      </c>
      <c r="H465" s="6">
        <v>1897.76</v>
      </c>
      <c r="I465" s="6">
        <v>1897.76</v>
      </c>
    </row>
    <row r="466" spans="2:9" ht="15.75" customHeight="1" x14ac:dyDescent="0.25">
      <c r="B466" s="6" t="s">
        <v>1313</v>
      </c>
      <c r="C466" s="6" t="s">
        <v>1314</v>
      </c>
      <c r="D466" s="6" t="s">
        <v>485</v>
      </c>
      <c r="E466" s="6">
        <v>2</v>
      </c>
      <c r="F466" s="6">
        <v>0</v>
      </c>
      <c r="G466" s="6">
        <v>0</v>
      </c>
      <c r="H466" s="6">
        <v>1954.34</v>
      </c>
      <c r="I466" s="6">
        <v>3908.68</v>
      </c>
    </row>
    <row r="467" spans="2:9" ht="15.75" customHeight="1" x14ac:dyDescent="0.25">
      <c r="B467" s="6" t="s">
        <v>1315</v>
      </c>
      <c r="C467" s="6" t="s">
        <v>1316</v>
      </c>
      <c r="D467" s="6" t="s">
        <v>485</v>
      </c>
      <c r="E467" s="6">
        <v>1</v>
      </c>
      <c r="F467" s="6">
        <v>0</v>
      </c>
      <c r="G467" s="6">
        <v>0</v>
      </c>
      <c r="H467" s="6">
        <v>2005.77</v>
      </c>
      <c r="I467" s="6">
        <v>2005.77</v>
      </c>
    </row>
    <row r="468" spans="2:9" ht="15.75" customHeight="1" x14ac:dyDescent="0.25">
      <c r="B468" s="6" t="s">
        <v>1317</v>
      </c>
      <c r="C468" s="6" t="s">
        <v>1318</v>
      </c>
      <c r="D468" s="6" t="s">
        <v>485</v>
      </c>
      <c r="E468" s="6">
        <v>1</v>
      </c>
      <c r="F468" s="6">
        <v>0</v>
      </c>
      <c r="G468" s="6">
        <v>0</v>
      </c>
      <c r="H468" s="6">
        <v>2159.29</v>
      </c>
      <c r="I468" s="6">
        <v>2159.29</v>
      </c>
    </row>
    <row r="469" spans="2:9" ht="15.75" customHeight="1" x14ac:dyDescent="0.25">
      <c r="B469" s="6" t="s">
        <v>1319</v>
      </c>
      <c r="C469" s="6" t="s">
        <v>1320</v>
      </c>
      <c r="D469" s="6" t="s">
        <v>485</v>
      </c>
      <c r="E469" s="6">
        <v>1</v>
      </c>
      <c r="F469" s="6">
        <v>0</v>
      </c>
      <c r="G469" s="6">
        <v>0</v>
      </c>
      <c r="H469" s="6">
        <v>1899.11</v>
      </c>
      <c r="I469" s="6">
        <v>1899.11</v>
      </c>
    </row>
    <row r="470" spans="2:9" ht="15.75" customHeight="1" x14ac:dyDescent="0.25">
      <c r="B470" s="6" t="s">
        <v>1321</v>
      </c>
      <c r="C470" s="6" t="s">
        <v>1322</v>
      </c>
      <c r="D470" s="6" t="s">
        <v>485</v>
      </c>
      <c r="E470" s="6">
        <v>1</v>
      </c>
      <c r="F470" s="6">
        <v>0</v>
      </c>
      <c r="G470" s="6">
        <v>0</v>
      </c>
      <c r="H470" s="6">
        <v>391.53</v>
      </c>
      <c r="I470" s="6">
        <v>391.53</v>
      </c>
    </row>
    <row r="471" spans="2:9" ht="15.75" customHeight="1" x14ac:dyDescent="0.25">
      <c r="B471" s="6" t="s">
        <v>1323</v>
      </c>
      <c r="C471" s="6" t="s">
        <v>1324</v>
      </c>
      <c r="D471" s="6" t="s">
        <v>485</v>
      </c>
      <c r="E471" s="6">
        <v>1</v>
      </c>
      <c r="F471" s="6">
        <v>0</v>
      </c>
      <c r="G471" s="6">
        <v>0</v>
      </c>
      <c r="H471" s="6">
        <v>391.53</v>
      </c>
      <c r="I471" s="6">
        <v>391.53</v>
      </c>
    </row>
    <row r="472" spans="2:9" ht="15.75" customHeight="1" x14ac:dyDescent="0.25">
      <c r="B472" s="6" t="s">
        <v>1325</v>
      </c>
      <c r="C472" s="6" t="s">
        <v>1326</v>
      </c>
      <c r="D472" s="6" t="s">
        <v>485</v>
      </c>
      <c r="E472" s="6">
        <v>1</v>
      </c>
      <c r="F472" s="6">
        <v>0</v>
      </c>
      <c r="G472" s="6">
        <v>0</v>
      </c>
      <c r="H472" s="6">
        <v>1248.8399999999999</v>
      </c>
      <c r="I472" s="6">
        <v>1248.8399999999999</v>
      </c>
    </row>
    <row r="473" spans="2:9" ht="15.75" customHeight="1" x14ac:dyDescent="0.25">
      <c r="B473" s="6" t="s">
        <v>1327</v>
      </c>
      <c r="C473" s="6" t="s">
        <v>1328</v>
      </c>
      <c r="D473" s="6" t="s">
        <v>485</v>
      </c>
      <c r="E473" s="6">
        <v>1</v>
      </c>
      <c r="F473" s="6">
        <v>0</v>
      </c>
      <c r="G473" s="6">
        <v>0</v>
      </c>
      <c r="H473" s="6">
        <v>988.19</v>
      </c>
      <c r="I473" s="6">
        <v>988.19</v>
      </c>
    </row>
    <row r="474" spans="2:9" ht="15.75" customHeight="1" x14ac:dyDescent="0.25">
      <c r="B474" s="6" t="s">
        <v>1329</v>
      </c>
      <c r="C474" s="6" t="s">
        <v>1330</v>
      </c>
      <c r="D474" s="6" t="s">
        <v>485</v>
      </c>
      <c r="E474" s="6">
        <v>1</v>
      </c>
      <c r="F474" s="6">
        <v>0</v>
      </c>
      <c r="G474" s="6">
        <v>0</v>
      </c>
      <c r="H474" s="6">
        <v>1077.01</v>
      </c>
      <c r="I474" s="6">
        <v>1077.01</v>
      </c>
    </row>
    <row r="475" spans="2:9" ht="15.75" customHeight="1" x14ac:dyDescent="0.25">
      <c r="B475" s="6" t="s">
        <v>1331</v>
      </c>
      <c r="C475" s="6" t="s">
        <v>1332</v>
      </c>
      <c r="D475" s="6" t="s">
        <v>485</v>
      </c>
      <c r="E475" s="6">
        <v>9</v>
      </c>
      <c r="F475" s="6">
        <v>0</v>
      </c>
      <c r="G475" s="6">
        <v>0</v>
      </c>
      <c r="H475" s="6">
        <v>903.84</v>
      </c>
      <c r="I475" s="6">
        <v>8134.56</v>
      </c>
    </row>
    <row r="476" spans="2:9" ht="15.75" customHeight="1" x14ac:dyDescent="0.25">
      <c r="B476" s="6" t="s">
        <v>1333</v>
      </c>
      <c r="C476" s="6" t="s">
        <v>1334</v>
      </c>
      <c r="D476" s="6" t="s">
        <v>485</v>
      </c>
      <c r="E476" s="6">
        <v>6</v>
      </c>
      <c r="F476" s="6">
        <v>0</v>
      </c>
      <c r="G476" s="6">
        <v>0</v>
      </c>
      <c r="H476" s="6">
        <v>1432.64</v>
      </c>
      <c r="I476" s="6">
        <v>8595.84</v>
      </c>
    </row>
    <row r="477" spans="2:9" ht="15.75" customHeight="1" x14ac:dyDescent="0.25">
      <c r="B477" s="6" t="s">
        <v>1335</v>
      </c>
      <c r="C477" s="6" t="s">
        <v>1336</v>
      </c>
      <c r="D477" s="6" t="s">
        <v>485</v>
      </c>
      <c r="E477" s="6">
        <v>6</v>
      </c>
      <c r="F477" s="6">
        <v>0</v>
      </c>
      <c r="G477" s="6">
        <v>0</v>
      </c>
      <c r="H477" s="6">
        <v>1027.3599999999999</v>
      </c>
      <c r="I477" s="6">
        <v>6164.16</v>
      </c>
    </row>
    <row r="478" spans="2:9" ht="15.75" customHeight="1" x14ac:dyDescent="0.25">
      <c r="B478" s="6" t="s">
        <v>1337</v>
      </c>
      <c r="C478" s="6" t="s">
        <v>1338</v>
      </c>
      <c r="D478" s="6" t="s">
        <v>485</v>
      </c>
      <c r="E478" s="6">
        <v>6</v>
      </c>
      <c r="F478" s="6">
        <v>0</v>
      </c>
      <c r="G478" s="6">
        <v>0</v>
      </c>
      <c r="H478" s="6">
        <v>1623.76</v>
      </c>
      <c r="I478" s="6">
        <v>9742.56</v>
      </c>
    </row>
    <row r="479" spans="2:9" ht="15.75" customHeight="1" x14ac:dyDescent="0.25">
      <c r="B479" s="6" t="s">
        <v>1339</v>
      </c>
      <c r="C479" s="6" t="s">
        <v>1340</v>
      </c>
      <c r="D479" s="6" t="s">
        <v>485</v>
      </c>
      <c r="E479" s="6">
        <v>6</v>
      </c>
      <c r="F479" s="6">
        <v>0</v>
      </c>
      <c r="G479" s="6">
        <v>0</v>
      </c>
      <c r="H479" s="6">
        <v>1613.48</v>
      </c>
      <c r="I479" s="6">
        <v>9680.8799999999992</v>
      </c>
    </row>
    <row r="480" spans="2:9" ht="15.75" customHeight="1" x14ac:dyDescent="0.25">
      <c r="B480" s="6" t="s">
        <v>1341</v>
      </c>
      <c r="C480" s="6" t="s">
        <v>1342</v>
      </c>
      <c r="D480" s="6" t="s">
        <v>485</v>
      </c>
      <c r="E480" s="6">
        <v>1</v>
      </c>
      <c r="F480" s="6">
        <v>0</v>
      </c>
      <c r="G480" s="6">
        <v>0</v>
      </c>
      <c r="H480" s="6">
        <v>1243.79</v>
      </c>
      <c r="I480" s="6">
        <v>1243.79</v>
      </c>
    </row>
    <row r="481" spans="2:9" ht="15.75" customHeight="1" x14ac:dyDescent="0.25">
      <c r="B481" s="6" t="s">
        <v>1343</v>
      </c>
      <c r="C481" s="6" t="s">
        <v>1344</v>
      </c>
      <c r="D481" s="6" t="s">
        <v>485</v>
      </c>
      <c r="E481" s="6">
        <v>1</v>
      </c>
      <c r="F481" s="6">
        <v>0</v>
      </c>
      <c r="G481" s="6">
        <v>0</v>
      </c>
      <c r="H481" s="6">
        <v>1222.3599999999999</v>
      </c>
      <c r="I481" s="6">
        <v>1222.3599999999999</v>
      </c>
    </row>
    <row r="482" spans="2:9" ht="15.75" customHeight="1" x14ac:dyDescent="0.25">
      <c r="B482" s="6" t="s">
        <v>1345</v>
      </c>
      <c r="C482" s="6" t="s">
        <v>1346</v>
      </c>
      <c r="D482" s="6" t="s">
        <v>485</v>
      </c>
      <c r="E482" s="6">
        <v>2</v>
      </c>
      <c r="F482" s="6">
        <v>0</v>
      </c>
      <c r="G482" s="6">
        <v>0</v>
      </c>
      <c r="H482" s="6">
        <v>665.9</v>
      </c>
      <c r="I482" s="6">
        <v>1331.8</v>
      </c>
    </row>
    <row r="483" spans="2:9" ht="15.75" customHeight="1" x14ac:dyDescent="0.25">
      <c r="B483" s="6" t="s">
        <v>1347</v>
      </c>
      <c r="C483" s="6" t="s">
        <v>1348</v>
      </c>
      <c r="D483" s="6" t="s">
        <v>485</v>
      </c>
      <c r="E483" s="6">
        <v>2</v>
      </c>
      <c r="F483" s="6">
        <v>0</v>
      </c>
      <c r="G483" s="6">
        <v>0</v>
      </c>
      <c r="H483" s="6">
        <v>981.72</v>
      </c>
      <c r="I483" s="6">
        <v>1963.44</v>
      </c>
    </row>
    <row r="484" spans="2:9" ht="15.75" customHeight="1" x14ac:dyDescent="0.25">
      <c r="B484" s="6" t="s">
        <v>1349</v>
      </c>
      <c r="C484" s="6" t="s">
        <v>1350</v>
      </c>
      <c r="D484" s="6" t="s">
        <v>485</v>
      </c>
      <c r="E484" s="6">
        <v>8</v>
      </c>
      <c r="F484" s="6">
        <v>0</v>
      </c>
      <c r="G484" s="6">
        <v>0</v>
      </c>
      <c r="H484" s="6">
        <v>955.35</v>
      </c>
      <c r="I484" s="6">
        <v>7642.8</v>
      </c>
    </row>
    <row r="485" spans="2:9" ht="15.75" customHeight="1" x14ac:dyDescent="0.25">
      <c r="B485" s="6" t="s">
        <v>1351</v>
      </c>
      <c r="C485" s="6" t="s">
        <v>1352</v>
      </c>
      <c r="D485" s="6" t="s">
        <v>485</v>
      </c>
      <c r="E485" s="6">
        <v>8</v>
      </c>
      <c r="F485" s="6">
        <v>0</v>
      </c>
      <c r="G485" s="6">
        <v>0</v>
      </c>
      <c r="H485" s="6">
        <v>1549.22</v>
      </c>
      <c r="I485" s="6">
        <v>12393.76</v>
      </c>
    </row>
    <row r="486" spans="2:9" ht="15.75" customHeight="1" x14ac:dyDescent="0.25">
      <c r="B486" s="6" t="s">
        <v>1353</v>
      </c>
      <c r="C486" s="6" t="s">
        <v>1354</v>
      </c>
      <c r="D486" s="6" t="s">
        <v>485</v>
      </c>
      <c r="E486" s="6">
        <v>8</v>
      </c>
      <c r="F486" s="6">
        <v>0</v>
      </c>
      <c r="G486" s="6">
        <v>0</v>
      </c>
      <c r="H486" s="6">
        <v>1214.3</v>
      </c>
      <c r="I486" s="6">
        <v>9714.4</v>
      </c>
    </row>
    <row r="487" spans="2:9" ht="15.75" customHeight="1" x14ac:dyDescent="0.25">
      <c r="B487" s="6" t="s">
        <v>1355</v>
      </c>
      <c r="C487" s="6" t="s">
        <v>1356</v>
      </c>
      <c r="D487" s="6" t="s">
        <v>485</v>
      </c>
      <c r="E487" s="6">
        <v>8</v>
      </c>
      <c r="F487" s="6">
        <v>0</v>
      </c>
      <c r="G487" s="6">
        <v>0</v>
      </c>
      <c r="H487" s="6">
        <v>977.4</v>
      </c>
      <c r="I487" s="6">
        <v>7819.2</v>
      </c>
    </row>
    <row r="488" spans="2:9" ht="15.75" customHeight="1" x14ac:dyDescent="0.25">
      <c r="B488" s="6" t="s">
        <v>1357</v>
      </c>
      <c r="C488" s="6" t="s">
        <v>1358</v>
      </c>
      <c r="D488" s="6" t="s">
        <v>485</v>
      </c>
      <c r="E488" s="6">
        <v>8</v>
      </c>
      <c r="F488" s="6">
        <v>0</v>
      </c>
      <c r="G488" s="6">
        <v>0</v>
      </c>
      <c r="H488" s="6">
        <v>960.25</v>
      </c>
      <c r="I488" s="6">
        <v>7682</v>
      </c>
    </row>
    <row r="489" spans="2:9" ht="15.75" customHeight="1" x14ac:dyDescent="0.25">
      <c r="B489" s="6" t="s">
        <v>1359</v>
      </c>
      <c r="C489" s="6" t="s">
        <v>1360</v>
      </c>
      <c r="D489" s="6" t="s">
        <v>485</v>
      </c>
      <c r="E489" s="6">
        <v>8</v>
      </c>
      <c r="F489" s="6">
        <v>0</v>
      </c>
      <c r="G489" s="6">
        <v>0</v>
      </c>
      <c r="H489" s="6">
        <v>2078.3000000000002</v>
      </c>
      <c r="I489" s="6">
        <v>16626.400000000001</v>
      </c>
    </row>
    <row r="490" spans="2:9" ht="15.75" customHeight="1" x14ac:dyDescent="0.25">
      <c r="B490" s="6" t="s">
        <v>1361</v>
      </c>
      <c r="C490" s="6" t="s">
        <v>1362</v>
      </c>
      <c r="D490" s="6" t="s">
        <v>485</v>
      </c>
      <c r="E490" s="6">
        <v>8</v>
      </c>
      <c r="F490" s="6">
        <v>0</v>
      </c>
      <c r="G490" s="6">
        <v>0</v>
      </c>
      <c r="H490" s="6">
        <v>2034.38</v>
      </c>
      <c r="I490" s="6">
        <v>16275.04</v>
      </c>
    </row>
    <row r="491" spans="2:9" ht="15.75" customHeight="1" x14ac:dyDescent="0.25">
      <c r="B491" s="6" t="s">
        <v>1363</v>
      </c>
      <c r="C491" s="6" t="s">
        <v>1364</v>
      </c>
      <c r="D491" s="6" t="s">
        <v>485</v>
      </c>
      <c r="E491" s="6">
        <v>8</v>
      </c>
      <c r="F491" s="6">
        <v>0</v>
      </c>
      <c r="G491" s="6">
        <v>0</v>
      </c>
      <c r="H491" s="6">
        <v>1353.63</v>
      </c>
      <c r="I491" s="6">
        <v>10829.04</v>
      </c>
    </row>
    <row r="492" spans="2:9" ht="15.75" customHeight="1" x14ac:dyDescent="0.25">
      <c r="B492" s="6" t="s">
        <v>1365</v>
      </c>
      <c r="C492" s="6" t="s">
        <v>1366</v>
      </c>
      <c r="D492" s="6" t="s">
        <v>485</v>
      </c>
      <c r="E492" s="6">
        <v>3</v>
      </c>
      <c r="F492" s="6">
        <v>0</v>
      </c>
      <c r="G492" s="6">
        <v>0</v>
      </c>
      <c r="H492" s="6">
        <v>1224.19</v>
      </c>
      <c r="I492" s="6">
        <v>3672.57</v>
      </c>
    </row>
    <row r="493" spans="2:9" ht="15.75" customHeight="1" x14ac:dyDescent="0.25">
      <c r="B493" s="6" t="s">
        <v>1367</v>
      </c>
      <c r="C493" s="6" t="s">
        <v>1368</v>
      </c>
      <c r="D493" s="6" t="s">
        <v>485</v>
      </c>
      <c r="E493" s="6">
        <v>1</v>
      </c>
      <c r="F493" s="6">
        <v>0</v>
      </c>
      <c r="G493" s="6">
        <v>0</v>
      </c>
      <c r="H493" s="6">
        <v>1944.06</v>
      </c>
      <c r="I493" s="6">
        <v>1944.06</v>
      </c>
    </row>
    <row r="494" spans="2:9" ht="15.75" customHeight="1" x14ac:dyDescent="0.25">
      <c r="B494" s="6" t="s">
        <v>1369</v>
      </c>
      <c r="C494" s="6" t="s">
        <v>1370</v>
      </c>
      <c r="D494" s="6" t="s">
        <v>485</v>
      </c>
      <c r="E494" s="6">
        <v>3</v>
      </c>
      <c r="F494" s="6">
        <v>0</v>
      </c>
      <c r="G494" s="6">
        <v>0</v>
      </c>
      <c r="H494" s="6">
        <v>824.87</v>
      </c>
      <c r="I494" s="6">
        <v>2474.61</v>
      </c>
    </row>
    <row r="495" spans="2:9" ht="15.75" customHeight="1" x14ac:dyDescent="0.25">
      <c r="B495" s="6" t="s">
        <v>1371</v>
      </c>
      <c r="C495" s="6" t="s">
        <v>1372</v>
      </c>
      <c r="D495" s="6" t="s">
        <v>485</v>
      </c>
      <c r="E495" s="6">
        <v>1</v>
      </c>
      <c r="F495" s="6">
        <v>0</v>
      </c>
      <c r="G495" s="6">
        <v>0</v>
      </c>
      <c r="H495" s="6">
        <v>870.27</v>
      </c>
      <c r="I495" s="6">
        <v>870.27</v>
      </c>
    </row>
    <row r="496" spans="2:9" ht="15.75" customHeight="1" x14ac:dyDescent="0.25">
      <c r="B496" s="6" t="s">
        <v>1373</v>
      </c>
      <c r="C496" s="6" t="s">
        <v>1374</v>
      </c>
      <c r="D496" s="6" t="s">
        <v>485</v>
      </c>
      <c r="E496" s="6">
        <v>1</v>
      </c>
      <c r="F496" s="6">
        <v>0</v>
      </c>
      <c r="G496" s="6">
        <v>0</v>
      </c>
      <c r="H496" s="6">
        <v>1126.76</v>
      </c>
      <c r="I496" s="6">
        <v>1126.76</v>
      </c>
    </row>
    <row r="497" spans="2:9" ht="15.75" customHeight="1" x14ac:dyDescent="0.25">
      <c r="B497" s="6" t="s">
        <v>1375</v>
      </c>
      <c r="C497" s="6" t="s">
        <v>1376</v>
      </c>
      <c r="D497" s="6" t="s">
        <v>485</v>
      </c>
      <c r="E497" s="6">
        <v>1</v>
      </c>
      <c r="F497" s="6">
        <v>0</v>
      </c>
      <c r="G497" s="6">
        <v>0</v>
      </c>
      <c r="H497" s="6">
        <v>1509.67</v>
      </c>
      <c r="I497" s="6">
        <v>1509.67</v>
      </c>
    </row>
    <row r="498" spans="2:9" ht="15.75" customHeight="1" x14ac:dyDescent="0.25">
      <c r="B498" s="6" t="s">
        <v>1377</v>
      </c>
      <c r="C498" s="6" t="s">
        <v>1378</v>
      </c>
      <c r="D498" s="6" t="s">
        <v>485</v>
      </c>
      <c r="E498" s="6">
        <v>1</v>
      </c>
      <c r="F498" s="6">
        <v>0</v>
      </c>
      <c r="G498" s="6">
        <v>0</v>
      </c>
      <c r="H498" s="6">
        <v>275.55</v>
      </c>
      <c r="I498" s="6">
        <v>275.55</v>
      </c>
    </row>
    <row r="499" spans="2:9" ht="15.75" customHeight="1" x14ac:dyDescent="0.25">
      <c r="B499" s="6" t="s">
        <v>1379</v>
      </c>
      <c r="C499" s="6" t="s">
        <v>1380</v>
      </c>
      <c r="D499" s="6" t="s">
        <v>485</v>
      </c>
      <c r="E499" s="6">
        <v>1</v>
      </c>
      <c r="F499" s="6">
        <v>0</v>
      </c>
      <c r="G499" s="6">
        <v>0</v>
      </c>
      <c r="H499" s="6">
        <v>599.53</v>
      </c>
      <c r="I499" s="6">
        <v>599.53</v>
      </c>
    </row>
    <row r="500" spans="2:9" ht="15.75" customHeight="1" x14ac:dyDescent="0.25">
      <c r="B500" s="6" t="s">
        <v>1381</v>
      </c>
      <c r="C500" s="6" t="s">
        <v>1382</v>
      </c>
      <c r="D500" s="6" t="s">
        <v>485</v>
      </c>
      <c r="E500" s="6">
        <v>1</v>
      </c>
      <c r="F500" s="6">
        <v>0</v>
      </c>
      <c r="G500" s="6">
        <v>0</v>
      </c>
      <c r="H500" s="6">
        <v>1294.1099999999999</v>
      </c>
      <c r="I500" s="6">
        <v>1294.1099999999999</v>
      </c>
    </row>
    <row r="501" spans="2:9" ht="15.75" customHeight="1" x14ac:dyDescent="0.25">
      <c r="B501" s="6" t="s">
        <v>1383</v>
      </c>
      <c r="C501" s="6" t="s">
        <v>1384</v>
      </c>
      <c r="D501" s="6" t="s">
        <v>485</v>
      </c>
      <c r="E501" s="6">
        <v>1</v>
      </c>
      <c r="F501" s="6">
        <v>0</v>
      </c>
      <c r="G501" s="6">
        <v>0</v>
      </c>
      <c r="H501" s="6">
        <v>880.94</v>
      </c>
      <c r="I501" s="6">
        <v>880.94</v>
      </c>
    </row>
    <row r="502" spans="2:9" ht="15.75" customHeight="1" x14ac:dyDescent="0.25">
      <c r="B502" s="6" t="s">
        <v>1385</v>
      </c>
      <c r="C502" s="6" t="s">
        <v>1386</v>
      </c>
      <c r="D502" s="6" t="s">
        <v>485</v>
      </c>
      <c r="E502" s="6">
        <v>1</v>
      </c>
      <c r="F502" s="6">
        <v>0</v>
      </c>
      <c r="G502" s="6">
        <v>0</v>
      </c>
      <c r="H502" s="6">
        <v>1289.97</v>
      </c>
      <c r="I502" s="6">
        <v>1289.97</v>
      </c>
    </row>
    <row r="503" spans="2:9" ht="15.75" customHeight="1" x14ac:dyDescent="0.25">
      <c r="B503" s="6" t="s">
        <v>1387</v>
      </c>
      <c r="C503" s="6" t="s">
        <v>1388</v>
      </c>
      <c r="D503" s="6" t="s">
        <v>485</v>
      </c>
      <c r="E503" s="6">
        <v>1</v>
      </c>
      <c r="F503" s="6">
        <v>0</v>
      </c>
      <c r="G503" s="6">
        <v>0</v>
      </c>
      <c r="H503" s="6">
        <v>262.81</v>
      </c>
      <c r="I503" s="6">
        <v>262.81</v>
      </c>
    </row>
    <row r="504" spans="2:9" ht="15.75" customHeight="1" x14ac:dyDescent="0.25">
      <c r="B504" s="6" t="s">
        <v>1389</v>
      </c>
      <c r="C504" s="6" t="s">
        <v>1390</v>
      </c>
      <c r="D504" s="6" t="s">
        <v>485</v>
      </c>
      <c r="E504" s="6">
        <v>1</v>
      </c>
      <c r="F504" s="6">
        <v>0</v>
      </c>
      <c r="G504" s="6">
        <v>0</v>
      </c>
      <c r="H504" s="6">
        <v>262.48</v>
      </c>
      <c r="I504" s="6">
        <v>262.48</v>
      </c>
    </row>
    <row r="505" spans="2:9" ht="15.75" customHeight="1" x14ac:dyDescent="0.25">
      <c r="B505" s="6" t="s">
        <v>1391</v>
      </c>
      <c r="C505" s="6" t="s">
        <v>1392</v>
      </c>
      <c r="D505" s="6" t="s">
        <v>485</v>
      </c>
      <c r="E505" s="6">
        <v>1</v>
      </c>
      <c r="F505" s="6">
        <v>0</v>
      </c>
      <c r="G505" s="6">
        <v>0</v>
      </c>
      <c r="H505" s="6">
        <v>274.92</v>
      </c>
      <c r="I505" s="6">
        <v>274.92</v>
      </c>
    </row>
    <row r="506" spans="2:9" ht="15.75" customHeight="1" x14ac:dyDescent="0.25">
      <c r="B506" s="6" t="s">
        <v>1393</v>
      </c>
      <c r="C506" s="6" t="s">
        <v>1394</v>
      </c>
      <c r="D506" s="6" t="s">
        <v>485</v>
      </c>
      <c r="E506" s="6">
        <v>1</v>
      </c>
      <c r="F506" s="6">
        <v>0</v>
      </c>
      <c r="G506" s="6">
        <v>0</v>
      </c>
      <c r="H506" s="6">
        <v>867.17</v>
      </c>
      <c r="I506" s="6">
        <v>867.17</v>
      </c>
    </row>
    <row r="507" spans="2:9" ht="15.75" customHeight="1" x14ac:dyDescent="0.25">
      <c r="B507" s="6" t="s">
        <v>1395</v>
      </c>
      <c r="C507" s="6" t="s">
        <v>1396</v>
      </c>
      <c r="D507" s="6" t="s">
        <v>485</v>
      </c>
      <c r="E507" s="6">
        <v>1</v>
      </c>
      <c r="F507" s="6">
        <v>0</v>
      </c>
      <c r="G507" s="6">
        <v>0</v>
      </c>
      <c r="H507" s="6">
        <v>1599.98</v>
      </c>
      <c r="I507" s="6">
        <v>1599.98</v>
      </c>
    </row>
    <row r="508" spans="2:9" ht="15.75" customHeight="1" x14ac:dyDescent="0.25">
      <c r="B508" s="6" t="s">
        <v>1397</v>
      </c>
      <c r="C508" s="6" t="s">
        <v>1398</v>
      </c>
      <c r="D508" s="6" t="s">
        <v>485</v>
      </c>
      <c r="E508" s="6">
        <v>1</v>
      </c>
      <c r="F508" s="6">
        <v>0</v>
      </c>
      <c r="G508" s="6">
        <v>0</v>
      </c>
      <c r="H508" s="6">
        <v>928.07</v>
      </c>
      <c r="I508" s="6">
        <v>928.07</v>
      </c>
    </row>
    <row r="509" spans="2:9" ht="15.75" customHeight="1" x14ac:dyDescent="0.25">
      <c r="B509" s="6" t="s">
        <v>1399</v>
      </c>
      <c r="C509" s="6" t="s">
        <v>1400</v>
      </c>
      <c r="D509" s="6" t="s">
        <v>485</v>
      </c>
      <c r="E509" s="6">
        <v>1</v>
      </c>
      <c r="F509" s="6">
        <v>0</v>
      </c>
      <c r="G509" s="6">
        <v>0</v>
      </c>
      <c r="H509" s="6">
        <v>863.08</v>
      </c>
      <c r="I509" s="6">
        <v>863.08</v>
      </c>
    </row>
    <row r="510" spans="2:9" ht="15.75" customHeight="1" x14ac:dyDescent="0.25">
      <c r="B510" s="7" t="s">
        <v>1401</v>
      </c>
      <c r="C510" s="7" t="s">
        <v>628</v>
      </c>
      <c r="D510" s="1"/>
      <c r="E510" s="1"/>
      <c r="F510" s="1"/>
      <c r="G510" s="7">
        <v>1000</v>
      </c>
      <c r="H510" s="1"/>
      <c r="I510" s="7">
        <v>13783.44</v>
      </c>
    </row>
    <row r="511" spans="2:9" ht="15.75" customHeight="1" x14ac:dyDescent="0.25">
      <c r="B511" s="6" t="s">
        <v>1402</v>
      </c>
      <c r="C511" s="6" t="s">
        <v>1403</v>
      </c>
      <c r="D511" s="6" t="s">
        <v>474</v>
      </c>
      <c r="E511" s="6">
        <v>51.75</v>
      </c>
      <c r="F511" s="6">
        <v>0</v>
      </c>
      <c r="G511" s="6">
        <v>0</v>
      </c>
      <c r="H511" s="6">
        <v>50.27</v>
      </c>
      <c r="I511" s="6">
        <v>2601.4699999999998</v>
      </c>
    </row>
    <row r="512" spans="2:9" ht="15.75" customHeight="1" x14ac:dyDescent="0.25">
      <c r="B512" s="6" t="s">
        <v>1404</v>
      </c>
      <c r="C512" s="6" t="s">
        <v>1405</v>
      </c>
      <c r="D512" s="6" t="s">
        <v>485</v>
      </c>
      <c r="E512" s="6">
        <v>0</v>
      </c>
      <c r="F512" s="6">
        <v>500</v>
      </c>
      <c r="G512" s="6">
        <v>0</v>
      </c>
      <c r="H512" s="6">
        <v>0</v>
      </c>
      <c r="I512" s="6">
        <v>0</v>
      </c>
    </row>
    <row r="513" spans="2:9" ht="15.75" customHeight="1" x14ac:dyDescent="0.25">
      <c r="B513" s="6" t="s">
        <v>1406</v>
      </c>
      <c r="C513" s="6" t="s">
        <v>1407</v>
      </c>
      <c r="D513" s="6" t="s">
        <v>485</v>
      </c>
      <c r="E513" s="6">
        <v>2</v>
      </c>
      <c r="F513" s="6">
        <v>500</v>
      </c>
      <c r="G513" s="6">
        <v>1000</v>
      </c>
      <c r="H513" s="6">
        <v>0</v>
      </c>
      <c r="I513" s="6">
        <v>0</v>
      </c>
    </row>
    <row r="514" spans="2:9" ht="15.75" customHeight="1" x14ac:dyDescent="0.25">
      <c r="B514" s="6" t="s">
        <v>1408</v>
      </c>
      <c r="C514" s="6" t="s">
        <v>1409</v>
      </c>
      <c r="D514" s="6" t="s">
        <v>485</v>
      </c>
      <c r="E514" s="6">
        <v>2</v>
      </c>
      <c r="F514" s="6">
        <v>0</v>
      </c>
      <c r="G514" s="6">
        <v>0</v>
      </c>
      <c r="H514" s="6">
        <v>906.94</v>
      </c>
      <c r="I514" s="6">
        <v>1813.88</v>
      </c>
    </row>
    <row r="515" spans="2:9" ht="15.75" customHeight="1" x14ac:dyDescent="0.25">
      <c r="B515" s="6" t="s">
        <v>1410</v>
      </c>
      <c r="C515" s="6" t="s">
        <v>1411</v>
      </c>
      <c r="D515" s="6" t="s">
        <v>485</v>
      </c>
      <c r="E515" s="6">
        <v>6</v>
      </c>
      <c r="F515" s="6">
        <v>0</v>
      </c>
      <c r="G515" s="6">
        <v>0</v>
      </c>
      <c r="H515" s="6">
        <v>992.88</v>
      </c>
      <c r="I515" s="6">
        <v>5957.28</v>
      </c>
    </row>
    <row r="516" spans="2:9" ht="15.75" customHeight="1" x14ac:dyDescent="0.25">
      <c r="B516" s="6" t="s">
        <v>1412</v>
      </c>
      <c r="C516" s="6" t="s">
        <v>1413</v>
      </c>
      <c r="D516" s="6" t="s">
        <v>20</v>
      </c>
      <c r="E516" s="6">
        <v>1</v>
      </c>
      <c r="F516" s="6">
        <v>0</v>
      </c>
      <c r="G516" s="6">
        <v>0</v>
      </c>
      <c r="H516" s="6">
        <v>3410.81</v>
      </c>
      <c r="I516" s="6">
        <v>3410.81</v>
      </c>
    </row>
    <row r="517" spans="2:9" ht="15.75" customHeight="1" x14ac:dyDescent="0.25">
      <c r="B517" s="7" t="s">
        <v>1414</v>
      </c>
      <c r="C517" s="7" t="s">
        <v>1415</v>
      </c>
      <c r="D517" s="1"/>
      <c r="E517" s="1"/>
      <c r="F517" s="1"/>
      <c r="G517" s="7">
        <v>0</v>
      </c>
      <c r="H517" s="1"/>
      <c r="I517" s="7">
        <v>47065.71</v>
      </c>
    </row>
    <row r="518" spans="2:9" ht="15.75" customHeight="1" x14ac:dyDescent="0.25">
      <c r="B518" s="6" t="s">
        <v>1416</v>
      </c>
      <c r="C518" s="6" t="s">
        <v>1417</v>
      </c>
      <c r="D518" s="6" t="s">
        <v>112</v>
      </c>
      <c r="E518" s="6">
        <v>1</v>
      </c>
      <c r="F518" s="6">
        <v>0</v>
      </c>
      <c r="G518" s="6">
        <v>0</v>
      </c>
      <c r="H518" s="6">
        <v>1111.81</v>
      </c>
      <c r="I518" s="6">
        <v>1111.81</v>
      </c>
    </row>
    <row r="519" spans="2:9" ht="15.75" customHeight="1" x14ac:dyDescent="0.25">
      <c r="B519" s="6" t="s">
        <v>1418</v>
      </c>
      <c r="C519" s="6" t="s">
        <v>1419</v>
      </c>
      <c r="D519" s="6" t="s">
        <v>112</v>
      </c>
      <c r="E519" s="6">
        <v>1</v>
      </c>
      <c r="F519" s="6">
        <v>0</v>
      </c>
      <c r="G519" s="6">
        <v>0</v>
      </c>
      <c r="H519" s="6">
        <v>569.97</v>
      </c>
      <c r="I519" s="6">
        <v>569.97</v>
      </c>
    </row>
    <row r="520" spans="2:9" ht="15.75" customHeight="1" x14ac:dyDescent="0.25">
      <c r="B520" s="6" t="s">
        <v>1420</v>
      </c>
      <c r="C520" s="6" t="s">
        <v>1421</v>
      </c>
      <c r="D520" s="6" t="s">
        <v>112</v>
      </c>
      <c r="E520" s="6">
        <v>1</v>
      </c>
      <c r="F520" s="6">
        <v>0</v>
      </c>
      <c r="G520" s="6">
        <v>0</v>
      </c>
      <c r="H520" s="6">
        <v>602.5</v>
      </c>
      <c r="I520" s="6">
        <v>602.5</v>
      </c>
    </row>
    <row r="521" spans="2:9" ht="15.75" customHeight="1" x14ac:dyDescent="0.25">
      <c r="B521" s="6" t="s">
        <v>1422</v>
      </c>
      <c r="C521" s="6" t="s">
        <v>1423</v>
      </c>
      <c r="D521" s="6" t="s">
        <v>112</v>
      </c>
      <c r="E521" s="6">
        <v>8</v>
      </c>
      <c r="F521" s="6">
        <v>0</v>
      </c>
      <c r="G521" s="6">
        <v>0</v>
      </c>
      <c r="H521" s="6">
        <v>877.44</v>
      </c>
      <c r="I521" s="6">
        <v>7019.52</v>
      </c>
    </row>
    <row r="522" spans="2:9" ht="15.75" customHeight="1" x14ac:dyDescent="0.25">
      <c r="B522" s="6" t="s">
        <v>1424</v>
      </c>
      <c r="C522" s="6" t="s">
        <v>1425</v>
      </c>
      <c r="D522" s="6" t="s">
        <v>112</v>
      </c>
      <c r="E522" s="6">
        <v>8</v>
      </c>
      <c r="F522" s="6">
        <v>0</v>
      </c>
      <c r="G522" s="6">
        <v>0</v>
      </c>
      <c r="H522" s="6">
        <v>967.18</v>
      </c>
      <c r="I522" s="6">
        <v>7737.44</v>
      </c>
    </row>
    <row r="523" spans="2:9" ht="15.75" customHeight="1" x14ac:dyDescent="0.25">
      <c r="B523" s="6" t="s">
        <v>1426</v>
      </c>
      <c r="C523" s="6" t="s">
        <v>1427</v>
      </c>
      <c r="D523" s="6" t="s">
        <v>112</v>
      </c>
      <c r="E523" s="6">
        <v>8</v>
      </c>
      <c r="F523" s="6">
        <v>0</v>
      </c>
      <c r="G523" s="6">
        <v>0</v>
      </c>
      <c r="H523" s="6">
        <v>997.09</v>
      </c>
      <c r="I523" s="6">
        <v>7976.72</v>
      </c>
    </row>
    <row r="524" spans="2:9" ht="15.75" customHeight="1" x14ac:dyDescent="0.25">
      <c r="B524" s="6" t="s">
        <v>1428</v>
      </c>
      <c r="C524" s="6" t="s">
        <v>1429</v>
      </c>
      <c r="D524" s="6" t="s">
        <v>112</v>
      </c>
      <c r="E524" s="6">
        <v>5</v>
      </c>
      <c r="F524" s="6">
        <v>0</v>
      </c>
      <c r="G524" s="6">
        <v>0</v>
      </c>
      <c r="H524" s="6">
        <v>658.07</v>
      </c>
      <c r="I524" s="6">
        <v>3290.35</v>
      </c>
    </row>
    <row r="525" spans="2:9" ht="15.75" customHeight="1" x14ac:dyDescent="0.25">
      <c r="B525" s="6" t="s">
        <v>1430</v>
      </c>
      <c r="C525" s="6" t="s">
        <v>1431</v>
      </c>
      <c r="D525" s="6" t="s">
        <v>112</v>
      </c>
      <c r="E525" s="6">
        <v>8</v>
      </c>
      <c r="F525" s="6">
        <v>0</v>
      </c>
      <c r="G525" s="6">
        <v>0</v>
      </c>
      <c r="H525" s="6">
        <v>239.31</v>
      </c>
      <c r="I525" s="6">
        <v>1914.48</v>
      </c>
    </row>
    <row r="526" spans="2:9" ht="15.75" customHeight="1" x14ac:dyDescent="0.25">
      <c r="B526" s="6" t="s">
        <v>1432</v>
      </c>
      <c r="C526" s="6" t="s">
        <v>1433</v>
      </c>
      <c r="D526" s="6" t="s">
        <v>112</v>
      </c>
      <c r="E526" s="6">
        <v>3</v>
      </c>
      <c r="F526" s="6">
        <v>0</v>
      </c>
      <c r="G526" s="6">
        <v>0</v>
      </c>
      <c r="H526" s="6">
        <v>388.87</v>
      </c>
      <c r="I526" s="6">
        <v>1166.6099999999999</v>
      </c>
    </row>
    <row r="527" spans="2:9" ht="15.75" customHeight="1" x14ac:dyDescent="0.25">
      <c r="B527" s="6" t="s">
        <v>1434</v>
      </c>
      <c r="C527" s="6" t="s">
        <v>1435</v>
      </c>
      <c r="D527" s="6" t="s">
        <v>34</v>
      </c>
      <c r="E527" s="6">
        <v>4.75</v>
      </c>
      <c r="F527" s="6">
        <v>0</v>
      </c>
      <c r="G527" s="6">
        <v>0</v>
      </c>
      <c r="H527" s="6">
        <v>334.73</v>
      </c>
      <c r="I527" s="6">
        <v>1589.97</v>
      </c>
    </row>
    <row r="528" spans="2:9" ht="15.75" customHeight="1" x14ac:dyDescent="0.25">
      <c r="B528" s="6" t="s">
        <v>1436</v>
      </c>
      <c r="C528" s="6" t="s">
        <v>1437</v>
      </c>
      <c r="D528" s="6" t="s">
        <v>112</v>
      </c>
      <c r="E528" s="6">
        <v>8</v>
      </c>
      <c r="F528" s="6">
        <v>0</v>
      </c>
      <c r="G528" s="6">
        <v>0</v>
      </c>
      <c r="H528" s="6">
        <v>687.99</v>
      </c>
      <c r="I528" s="6">
        <v>5503.92</v>
      </c>
    </row>
    <row r="529" spans="2:9" ht="15.75" customHeight="1" x14ac:dyDescent="0.25">
      <c r="B529" s="6" t="s">
        <v>1438</v>
      </c>
      <c r="C529" s="6" t="s">
        <v>1439</v>
      </c>
      <c r="D529" s="6" t="s">
        <v>34</v>
      </c>
      <c r="E529" s="6">
        <v>51.9</v>
      </c>
      <c r="F529" s="6">
        <v>0</v>
      </c>
      <c r="G529" s="6">
        <v>0</v>
      </c>
      <c r="H529" s="6">
        <v>126.11</v>
      </c>
      <c r="I529" s="6">
        <v>6545.11</v>
      </c>
    </row>
    <row r="530" spans="2:9" ht="15.75" customHeight="1" x14ac:dyDescent="0.25">
      <c r="B530" s="6" t="s">
        <v>1440</v>
      </c>
      <c r="C530" s="6" t="s">
        <v>1441</v>
      </c>
      <c r="D530" s="6" t="s">
        <v>34</v>
      </c>
      <c r="E530" s="6">
        <v>14.45</v>
      </c>
      <c r="F530" s="6">
        <v>0</v>
      </c>
      <c r="G530" s="6">
        <v>0</v>
      </c>
      <c r="H530" s="6">
        <v>140.99</v>
      </c>
      <c r="I530" s="6">
        <v>2037.31</v>
      </c>
    </row>
    <row r="531" spans="2:9" ht="15.75" customHeight="1" x14ac:dyDescent="0.25">
      <c r="B531" s="5" t="s">
        <v>1442</v>
      </c>
      <c r="C531" s="5" t="s">
        <v>1443</v>
      </c>
      <c r="D531" s="1"/>
      <c r="E531" s="1"/>
      <c r="F531" s="1"/>
      <c r="G531" s="5">
        <v>5052</v>
      </c>
      <c r="H531" s="1"/>
      <c r="I531" s="5">
        <v>114869.7</v>
      </c>
    </row>
    <row r="532" spans="2:9" ht="15.75" customHeight="1" x14ac:dyDescent="0.25">
      <c r="B532" s="7" t="s">
        <v>1444</v>
      </c>
      <c r="C532" s="7" t="s">
        <v>1445</v>
      </c>
      <c r="D532" s="1"/>
      <c r="E532" s="1"/>
      <c r="F532" s="1"/>
      <c r="G532" s="7">
        <v>8</v>
      </c>
      <c r="H532" s="1"/>
      <c r="I532" s="7">
        <v>93.56</v>
      </c>
    </row>
    <row r="533" spans="2:9" ht="15.75" customHeight="1" x14ac:dyDescent="0.25">
      <c r="B533" s="6" t="s">
        <v>1446</v>
      </c>
      <c r="C533" s="6" t="s">
        <v>1447</v>
      </c>
      <c r="D533" s="6" t="s">
        <v>485</v>
      </c>
      <c r="E533" s="6">
        <v>1</v>
      </c>
      <c r="F533" s="6">
        <v>8</v>
      </c>
      <c r="G533" s="6">
        <v>8</v>
      </c>
      <c r="H533" s="6">
        <v>89.56</v>
      </c>
      <c r="I533" s="6">
        <v>89.56</v>
      </c>
    </row>
    <row r="534" spans="2:9" ht="15.75" customHeight="1" x14ac:dyDescent="0.25">
      <c r="B534" s="6" t="s">
        <v>1448</v>
      </c>
      <c r="C534" s="6" t="s">
        <v>1449</v>
      </c>
      <c r="D534" s="6" t="s">
        <v>485</v>
      </c>
      <c r="E534" s="6">
        <v>1</v>
      </c>
      <c r="F534" s="6">
        <v>0</v>
      </c>
      <c r="G534" s="6">
        <v>0</v>
      </c>
      <c r="H534" s="6">
        <v>4</v>
      </c>
      <c r="I534" s="6">
        <v>4</v>
      </c>
    </row>
    <row r="535" spans="2:9" ht="15.75" customHeight="1" x14ac:dyDescent="0.25">
      <c r="B535" s="7" t="s">
        <v>1450</v>
      </c>
      <c r="C535" s="7" t="s">
        <v>860</v>
      </c>
      <c r="D535" s="1"/>
      <c r="E535" s="1"/>
      <c r="F535" s="1"/>
      <c r="G535" s="7">
        <v>0</v>
      </c>
      <c r="H535" s="1"/>
      <c r="I535" s="7">
        <v>4</v>
      </c>
    </row>
    <row r="536" spans="2:9" ht="15.75" customHeight="1" x14ac:dyDescent="0.25">
      <c r="B536" s="6" t="s">
        <v>1451</v>
      </c>
      <c r="C536" s="6" t="s">
        <v>1452</v>
      </c>
      <c r="D536" s="6" t="s">
        <v>485</v>
      </c>
      <c r="E536" s="6">
        <v>1</v>
      </c>
      <c r="F536" s="6">
        <v>0</v>
      </c>
      <c r="G536" s="6">
        <v>0</v>
      </c>
      <c r="H536" s="6">
        <v>4</v>
      </c>
      <c r="I536" s="6">
        <v>4</v>
      </c>
    </row>
    <row r="537" spans="2:9" ht="15.75" customHeight="1" x14ac:dyDescent="0.25">
      <c r="B537" s="7" t="s">
        <v>1453</v>
      </c>
      <c r="C537" s="7" t="s">
        <v>1454</v>
      </c>
      <c r="D537" s="1"/>
      <c r="E537" s="1"/>
      <c r="F537" s="1"/>
      <c r="G537" s="7">
        <v>266</v>
      </c>
      <c r="H537" s="1"/>
      <c r="I537" s="7">
        <v>378.79</v>
      </c>
    </row>
    <row r="538" spans="2:9" ht="15.75" customHeight="1" x14ac:dyDescent="0.25">
      <c r="B538" s="6" t="s">
        <v>1455</v>
      </c>
      <c r="C538" s="6" t="s">
        <v>1456</v>
      </c>
      <c r="D538" s="6" t="s">
        <v>485</v>
      </c>
      <c r="E538" s="6">
        <v>1</v>
      </c>
      <c r="F538" s="6">
        <v>8</v>
      </c>
      <c r="G538" s="6">
        <v>8</v>
      </c>
      <c r="H538" s="6">
        <v>116.98</v>
      </c>
      <c r="I538" s="6">
        <v>116.98</v>
      </c>
    </row>
    <row r="539" spans="2:9" ht="15.75" customHeight="1" x14ac:dyDescent="0.25">
      <c r="B539" s="6" t="s">
        <v>1457</v>
      </c>
      <c r="C539" s="6" t="s">
        <v>1458</v>
      </c>
      <c r="D539" s="6" t="s">
        <v>485</v>
      </c>
      <c r="E539" s="6">
        <v>1</v>
      </c>
      <c r="F539" s="6">
        <v>8</v>
      </c>
      <c r="G539" s="6">
        <v>8</v>
      </c>
      <c r="H539" s="6">
        <v>61.81</v>
      </c>
      <c r="I539" s="6">
        <v>61.81</v>
      </c>
    </row>
    <row r="540" spans="2:9" ht="15.75" customHeight="1" x14ac:dyDescent="0.25">
      <c r="B540" s="6" t="s">
        <v>1459</v>
      </c>
      <c r="C540" s="6" t="s">
        <v>1460</v>
      </c>
      <c r="D540" s="6" t="s">
        <v>485</v>
      </c>
      <c r="E540" s="6">
        <v>1</v>
      </c>
      <c r="F540" s="6">
        <v>0</v>
      </c>
      <c r="G540" s="6">
        <v>0</v>
      </c>
      <c r="H540" s="6">
        <v>80</v>
      </c>
      <c r="I540" s="6">
        <v>80</v>
      </c>
    </row>
    <row r="541" spans="2:9" ht="15.75" customHeight="1" x14ac:dyDescent="0.25">
      <c r="B541" s="6" t="s">
        <v>1461</v>
      </c>
      <c r="C541" s="6" t="s">
        <v>1462</v>
      </c>
      <c r="D541" s="6" t="s">
        <v>485</v>
      </c>
      <c r="E541" s="6">
        <v>1</v>
      </c>
      <c r="F541" s="6">
        <v>0</v>
      </c>
      <c r="G541" s="6">
        <v>0</v>
      </c>
      <c r="H541" s="6">
        <v>77</v>
      </c>
      <c r="I541" s="6">
        <v>77</v>
      </c>
    </row>
    <row r="542" spans="2:9" ht="15.75" customHeight="1" x14ac:dyDescent="0.25">
      <c r="B542" s="6" t="s">
        <v>1463</v>
      </c>
      <c r="C542" s="6" t="s">
        <v>1464</v>
      </c>
      <c r="D542" s="6" t="s">
        <v>485</v>
      </c>
      <c r="E542" s="6">
        <v>1</v>
      </c>
      <c r="F542" s="6">
        <v>250</v>
      </c>
      <c r="G542" s="6">
        <v>250</v>
      </c>
      <c r="H542" s="6">
        <v>0</v>
      </c>
      <c r="I542" s="6">
        <v>0</v>
      </c>
    </row>
    <row r="543" spans="2:9" ht="15.75" customHeight="1" x14ac:dyDescent="0.25">
      <c r="B543" s="6" t="s">
        <v>1465</v>
      </c>
      <c r="C543" s="6" t="s">
        <v>1466</v>
      </c>
      <c r="D543" s="6" t="s">
        <v>485</v>
      </c>
      <c r="E543" s="6">
        <v>1</v>
      </c>
      <c r="F543" s="6">
        <v>0</v>
      </c>
      <c r="G543" s="6">
        <v>0</v>
      </c>
      <c r="H543" s="6">
        <v>5</v>
      </c>
      <c r="I543" s="6">
        <v>5</v>
      </c>
    </row>
    <row r="544" spans="2:9" ht="15.75" customHeight="1" x14ac:dyDescent="0.25">
      <c r="B544" s="6" t="s">
        <v>1467</v>
      </c>
      <c r="C544" s="6" t="s">
        <v>1468</v>
      </c>
      <c r="D544" s="6" t="s">
        <v>485</v>
      </c>
      <c r="E544" s="6">
        <v>1</v>
      </c>
      <c r="F544" s="6">
        <v>0</v>
      </c>
      <c r="G544" s="6">
        <v>0</v>
      </c>
      <c r="H544" s="6">
        <v>20</v>
      </c>
      <c r="I544" s="6">
        <v>20</v>
      </c>
    </row>
    <row r="545" spans="2:9" ht="15.75" customHeight="1" x14ac:dyDescent="0.25">
      <c r="B545" s="6" t="s">
        <v>1469</v>
      </c>
      <c r="C545" s="6" t="s">
        <v>1470</v>
      </c>
      <c r="D545" s="6" t="s">
        <v>485</v>
      </c>
      <c r="E545" s="6">
        <v>1</v>
      </c>
      <c r="F545" s="6">
        <v>0</v>
      </c>
      <c r="G545" s="6">
        <v>0</v>
      </c>
      <c r="H545" s="6">
        <v>18</v>
      </c>
      <c r="I545" s="6">
        <v>18</v>
      </c>
    </row>
    <row r="546" spans="2:9" ht="15.75" customHeight="1" x14ac:dyDescent="0.25">
      <c r="B546" s="7" t="s">
        <v>1471</v>
      </c>
      <c r="C546" s="7" t="s">
        <v>1472</v>
      </c>
      <c r="D546" s="1"/>
      <c r="E546" s="1"/>
      <c r="F546" s="1"/>
      <c r="G546" s="7">
        <v>8</v>
      </c>
      <c r="H546" s="1"/>
      <c r="I546" s="7">
        <v>388.61</v>
      </c>
    </row>
    <row r="547" spans="2:9" ht="15.75" customHeight="1" x14ac:dyDescent="0.25">
      <c r="B547" s="6" t="s">
        <v>1473</v>
      </c>
      <c r="C547" s="6" t="s">
        <v>1474</v>
      </c>
      <c r="D547" s="6" t="s">
        <v>485</v>
      </c>
      <c r="E547" s="6">
        <v>1</v>
      </c>
      <c r="F547" s="6">
        <v>8</v>
      </c>
      <c r="G547" s="6">
        <v>8</v>
      </c>
      <c r="H547" s="6">
        <v>76.81</v>
      </c>
      <c r="I547" s="6">
        <v>76.81</v>
      </c>
    </row>
    <row r="548" spans="2:9" ht="15.75" customHeight="1" x14ac:dyDescent="0.25">
      <c r="B548" s="6" t="s">
        <v>1475</v>
      </c>
      <c r="C548" s="6" t="s">
        <v>1476</v>
      </c>
      <c r="D548" s="6" t="s">
        <v>485</v>
      </c>
      <c r="E548" s="6">
        <v>1</v>
      </c>
      <c r="F548" s="6">
        <v>0</v>
      </c>
      <c r="G548" s="6">
        <v>0</v>
      </c>
      <c r="H548" s="6">
        <v>311.8</v>
      </c>
      <c r="I548" s="6">
        <v>311.8</v>
      </c>
    </row>
    <row r="549" spans="2:9" ht="15.75" customHeight="1" x14ac:dyDescent="0.25">
      <c r="B549" s="7" t="s">
        <v>1477</v>
      </c>
      <c r="C549" s="7" t="s">
        <v>1478</v>
      </c>
      <c r="D549" s="1"/>
      <c r="E549" s="1"/>
      <c r="F549" s="1"/>
      <c r="G549" s="7">
        <v>16</v>
      </c>
      <c r="H549" s="1"/>
      <c r="I549" s="7">
        <v>280.88</v>
      </c>
    </row>
    <row r="550" spans="2:9" ht="15.75" customHeight="1" x14ac:dyDescent="0.25">
      <c r="B550" s="6" t="s">
        <v>1479</v>
      </c>
      <c r="C550" s="6" t="s">
        <v>1456</v>
      </c>
      <c r="D550" s="6" t="s">
        <v>485</v>
      </c>
      <c r="E550" s="6">
        <v>1</v>
      </c>
      <c r="F550" s="6">
        <v>8</v>
      </c>
      <c r="G550" s="6">
        <v>8</v>
      </c>
      <c r="H550" s="6">
        <v>109.62</v>
      </c>
      <c r="I550" s="6">
        <v>109.62</v>
      </c>
    </row>
    <row r="551" spans="2:9" ht="15.75" customHeight="1" x14ac:dyDescent="0.25">
      <c r="B551" s="6" t="s">
        <v>1480</v>
      </c>
      <c r="C551" s="6" t="s">
        <v>1481</v>
      </c>
      <c r="D551" s="6" t="s">
        <v>485</v>
      </c>
      <c r="E551" s="6">
        <v>1</v>
      </c>
      <c r="F551" s="6">
        <v>8</v>
      </c>
      <c r="G551" s="6">
        <v>8</v>
      </c>
      <c r="H551" s="6">
        <v>84.63</v>
      </c>
      <c r="I551" s="6">
        <v>84.63</v>
      </c>
    </row>
    <row r="552" spans="2:9" ht="15.75" customHeight="1" x14ac:dyDescent="0.25">
      <c r="B552" s="6" t="s">
        <v>1482</v>
      </c>
      <c r="C552" s="6" t="s">
        <v>1483</v>
      </c>
      <c r="D552" s="6" t="s">
        <v>485</v>
      </c>
      <c r="E552" s="6">
        <v>1</v>
      </c>
      <c r="F552" s="6">
        <v>0</v>
      </c>
      <c r="G552" s="6">
        <v>0</v>
      </c>
      <c r="H552" s="6">
        <v>38.630000000000003</v>
      </c>
      <c r="I552" s="6">
        <v>38.630000000000003</v>
      </c>
    </row>
    <row r="553" spans="2:9" ht="15.75" customHeight="1" x14ac:dyDescent="0.25">
      <c r="B553" s="6" t="s">
        <v>1484</v>
      </c>
      <c r="C553" s="6" t="s">
        <v>1485</v>
      </c>
      <c r="D553" s="6" t="s">
        <v>485</v>
      </c>
      <c r="E553" s="6">
        <v>1</v>
      </c>
      <c r="F553" s="6">
        <v>0</v>
      </c>
      <c r="G553" s="6">
        <v>0</v>
      </c>
      <c r="H553" s="6">
        <v>15</v>
      </c>
      <c r="I553" s="6">
        <v>15</v>
      </c>
    </row>
    <row r="554" spans="2:9" ht="15.75" customHeight="1" x14ac:dyDescent="0.25">
      <c r="B554" s="6" t="s">
        <v>1486</v>
      </c>
      <c r="C554" s="6" t="s">
        <v>1487</v>
      </c>
      <c r="D554" s="6" t="s">
        <v>485</v>
      </c>
      <c r="E554" s="6">
        <v>1</v>
      </c>
      <c r="F554" s="6">
        <v>0</v>
      </c>
      <c r="G554" s="6">
        <v>0</v>
      </c>
      <c r="H554" s="6">
        <v>33</v>
      </c>
      <c r="I554" s="6">
        <v>33</v>
      </c>
    </row>
    <row r="555" spans="2:9" ht="15.75" customHeight="1" x14ac:dyDescent="0.25">
      <c r="B555" s="7" t="s">
        <v>1488</v>
      </c>
      <c r="C555" s="7" t="s">
        <v>1489</v>
      </c>
      <c r="D555" s="1"/>
      <c r="E555" s="1"/>
      <c r="F555" s="1"/>
      <c r="G555" s="7">
        <v>480</v>
      </c>
      <c r="H555" s="1"/>
      <c r="I555" s="7">
        <v>15827.1</v>
      </c>
    </row>
    <row r="556" spans="2:9" ht="15.75" customHeight="1" x14ac:dyDescent="0.25">
      <c r="B556" s="6" t="s">
        <v>1490</v>
      </c>
      <c r="C556" s="6" t="s">
        <v>1491</v>
      </c>
      <c r="D556" s="6" t="s">
        <v>485</v>
      </c>
      <c r="E556" s="6">
        <v>30</v>
      </c>
      <c r="F556" s="6">
        <v>8</v>
      </c>
      <c r="G556" s="6">
        <v>240</v>
      </c>
      <c r="H556" s="6">
        <v>286.27</v>
      </c>
      <c r="I556" s="6">
        <v>8588.1</v>
      </c>
    </row>
    <row r="557" spans="2:9" ht="15.75" customHeight="1" x14ac:dyDescent="0.25">
      <c r="B557" s="6" t="s">
        <v>1492</v>
      </c>
      <c r="C557" s="6" t="s">
        <v>1493</v>
      </c>
      <c r="D557" s="6" t="s">
        <v>485</v>
      </c>
      <c r="E557" s="6">
        <v>30</v>
      </c>
      <c r="F557" s="6">
        <v>8</v>
      </c>
      <c r="G557" s="6">
        <v>240</v>
      </c>
      <c r="H557" s="6">
        <v>105.72</v>
      </c>
      <c r="I557" s="6">
        <v>3171.6</v>
      </c>
    </row>
    <row r="558" spans="2:9" ht="15.75" customHeight="1" x14ac:dyDescent="0.25">
      <c r="B558" s="6" t="s">
        <v>1494</v>
      </c>
      <c r="C558" s="6" t="s">
        <v>1495</v>
      </c>
      <c r="D558" s="6" t="s">
        <v>485</v>
      </c>
      <c r="E558" s="6">
        <v>30</v>
      </c>
      <c r="F558" s="6">
        <v>0</v>
      </c>
      <c r="G558" s="6">
        <v>0</v>
      </c>
      <c r="H558" s="6">
        <v>95.58</v>
      </c>
      <c r="I558" s="6">
        <v>2867.4</v>
      </c>
    </row>
    <row r="559" spans="2:9" ht="15.75" customHeight="1" x14ac:dyDescent="0.25">
      <c r="B559" s="6" t="s">
        <v>1496</v>
      </c>
      <c r="C559" s="6" t="s">
        <v>1470</v>
      </c>
      <c r="D559" s="6" t="s">
        <v>485</v>
      </c>
      <c r="E559" s="6">
        <v>30</v>
      </c>
      <c r="F559" s="6">
        <v>0</v>
      </c>
      <c r="G559" s="6">
        <v>0</v>
      </c>
      <c r="H559" s="6">
        <v>18</v>
      </c>
      <c r="I559" s="6">
        <v>540</v>
      </c>
    </row>
    <row r="560" spans="2:9" ht="15.75" customHeight="1" x14ac:dyDescent="0.25">
      <c r="B560" s="6" t="s">
        <v>1497</v>
      </c>
      <c r="C560" s="6" t="s">
        <v>1498</v>
      </c>
      <c r="D560" s="6" t="s">
        <v>485</v>
      </c>
      <c r="E560" s="6">
        <v>30</v>
      </c>
      <c r="F560" s="6">
        <v>0</v>
      </c>
      <c r="G560" s="6">
        <v>0</v>
      </c>
      <c r="H560" s="6">
        <v>22</v>
      </c>
      <c r="I560" s="6">
        <v>660</v>
      </c>
    </row>
    <row r="561" spans="2:9" ht="15.75" customHeight="1" x14ac:dyDescent="0.25">
      <c r="B561" s="7" t="s">
        <v>1499</v>
      </c>
      <c r="C561" s="7" t="s">
        <v>1500</v>
      </c>
      <c r="D561" s="1"/>
      <c r="E561" s="1"/>
      <c r="F561" s="1"/>
      <c r="G561" s="7">
        <v>96</v>
      </c>
      <c r="H561" s="1"/>
      <c r="I561" s="7">
        <v>2891.44</v>
      </c>
    </row>
    <row r="562" spans="2:9" ht="15.75" customHeight="1" x14ac:dyDescent="0.25">
      <c r="B562" s="6" t="s">
        <v>1501</v>
      </c>
      <c r="C562" s="6" t="s">
        <v>1491</v>
      </c>
      <c r="D562" s="6" t="s">
        <v>485</v>
      </c>
      <c r="E562" s="6">
        <v>4</v>
      </c>
      <c r="F562" s="6">
        <v>8</v>
      </c>
      <c r="G562" s="6">
        <v>32</v>
      </c>
      <c r="H562" s="6">
        <v>304.54000000000002</v>
      </c>
      <c r="I562" s="6">
        <v>1218.1600000000001</v>
      </c>
    </row>
    <row r="563" spans="2:9" ht="15.75" customHeight="1" x14ac:dyDescent="0.25">
      <c r="B563" s="6" t="s">
        <v>1502</v>
      </c>
      <c r="C563" s="6" t="s">
        <v>1493</v>
      </c>
      <c r="D563" s="6" t="s">
        <v>485</v>
      </c>
      <c r="E563" s="6">
        <v>4</v>
      </c>
      <c r="F563" s="6">
        <v>8</v>
      </c>
      <c r="G563" s="6">
        <v>32</v>
      </c>
      <c r="H563" s="6">
        <v>101.72</v>
      </c>
      <c r="I563" s="6">
        <v>406.88</v>
      </c>
    </row>
    <row r="564" spans="2:9" ht="15.75" customHeight="1" x14ac:dyDescent="0.25">
      <c r="B564" s="6" t="s">
        <v>1503</v>
      </c>
      <c r="C564" s="6" t="s">
        <v>1504</v>
      </c>
      <c r="D564" s="6" t="s">
        <v>485</v>
      </c>
      <c r="E564" s="6">
        <v>4</v>
      </c>
      <c r="F564" s="6">
        <v>8</v>
      </c>
      <c r="G564" s="6">
        <v>32</v>
      </c>
      <c r="H564" s="6">
        <v>101</v>
      </c>
      <c r="I564" s="6">
        <v>404</v>
      </c>
    </row>
    <row r="565" spans="2:9" ht="15.75" customHeight="1" x14ac:dyDescent="0.25">
      <c r="B565" s="6" t="s">
        <v>1505</v>
      </c>
      <c r="C565" s="6" t="s">
        <v>1506</v>
      </c>
      <c r="D565" s="6" t="s">
        <v>485</v>
      </c>
      <c r="E565" s="6">
        <v>4</v>
      </c>
      <c r="F565" s="6">
        <v>0</v>
      </c>
      <c r="G565" s="6">
        <v>0</v>
      </c>
      <c r="H565" s="6">
        <v>74.41</v>
      </c>
      <c r="I565" s="6">
        <v>297.64</v>
      </c>
    </row>
    <row r="566" spans="2:9" ht="15.75" customHeight="1" x14ac:dyDescent="0.25">
      <c r="B566" s="6" t="s">
        <v>1507</v>
      </c>
      <c r="C566" s="6" t="s">
        <v>1495</v>
      </c>
      <c r="D566" s="6" t="s">
        <v>485</v>
      </c>
      <c r="E566" s="6">
        <v>4</v>
      </c>
      <c r="F566" s="6">
        <v>0</v>
      </c>
      <c r="G566" s="6">
        <v>0</v>
      </c>
      <c r="H566" s="6">
        <v>101.19</v>
      </c>
      <c r="I566" s="6">
        <v>404.76</v>
      </c>
    </row>
    <row r="567" spans="2:9" ht="15.75" customHeight="1" x14ac:dyDescent="0.25">
      <c r="B567" s="6" t="s">
        <v>1508</v>
      </c>
      <c r="C567" s="6" t="s">
        <v>1470</v>
      </c>
      <c r="D567" s="6" t="s">
        <v>485</v>
      </c>
      <c r="E567" s="6">
        <v>4</v>
      </c>
      <c r="F567" s="6">
        <v>0</v>
      </c>
      <c r="G567" s="6">
        <v>0</v>
      </c>
      <c r="H567" s="6">
        <v>18</v>
      </c>
      <c r="I567" s="6">
        <v>72</v>
      </c>
    </row>
    <row r="568" spans="2:9" ht="15.75" customHeight="1" x14ac:dyDescent="0.25">
      <c r="B568" s="6" t="s">
        <v>1509</v>
      </c>
      <c r="C568" s="6" t="s">
        <v>1498</v>
      </c>
      <c r="D568" s="6" t="s">
        <v>485</v>
      </c>
      <c r="E568" s="6">
        <v>4</v>
      </c>
      <c r="F568" s="6">
        <v>0</v>
      </c>
      <c r="G568" s="6">
        <v>0</v>
      </c>
      <c r="H568" s="6">
        <v>22</v>
      </c>
      <c r="I568" s="6">
        <v>88</v>
      </c>
    </row>
    <row r="569" spans="2:9" ht="15.75" customHeight="1" x14ac:dyDescent="0.25">
      <c r="B569" s="7" t="s">
        <v>1510</v>
      </c>
      <c r="C569" s="7" t="s">
        <v>1511</v>
      </c>
      <c r="D569" s="1"/>
      <c r="E569" s="1"/>
      <c r="F569" s="1"/>
      <c r="G569" s="7">
        <v>8</v>
      </c>
      <c r="H569" s="1"/>
      <c r="I569" s="7">
        <v>605.29</v>
      </c>
    </row>
    <row r="570" spans="2:9" ht="15.75" customHeight="1" x14ac:dyDescent="0.25">
      <c r="B570" s="6" t="s">
        <v>1512</v>
      </c>
      <c r="C570" s="6" t="s">
        <v>1491</v>
      </c>
      <c r="D570" s="6" t="s">
        <v>485</v>
      </c>
      <c r="E570" s="6">
        <v>1</v>
      </c>
      <c r="F570" s="6">
        <v>0</v>
      </c>
      <c r="G570" s="6">
        <v>0</v>
      </c>
      <c r="H570" s="6">
        <v>286.27</v>
      </c>
      <c r="I570" s="6">
        <v>286.27</v>
      </c>
    </row>
    <row r="571" spans="2:9" ht="15.75" customHeight="1" x14ac:dyDescent="0.25">
      <c r="B571" s="6" t="s">
        <v>1513</v>
      </c>
      <c r="C571" s="6" t="s">
        <v>1514</v>
      </c>
      <c r="D571" s="6" t="s">
        <v>485</v>
      </c>
      <c r="E571" s="6">
        <v>1</v>
      </c>
      <c r="F571" s="6">
        <v>8</v>
      </c>
      <c r="G571" s="6">
        <v>8</v>
      </c>
      <c r="H571" s="6">
        <v>101</v>
      </c>
      <c r="I571" s="6">
        <v>101</v>
      </c>
    </row>
    <row r="572" spans="2:9" ht="15.75" customHeight="1" x14ac:dyDescent="0.25">
      <c r="B572" s="6" t="s">
        <v>1515</v>
      </c>
      <c r="C572" s="6" t="s">
        <v>1506</v>
      </c>
      <c r="D572" s="6" t="s">
        <v>485</v>
      </c>
      <c r="E572" s="6">
        <v>1</v>
      </c>
      <c r="F572" s="6">
        <v>0</v>
      </c>
      <c r="G572" s="6">
        <v>0</v>
      </c>
      <c r="H572" s="6">
        <v>74.41</v>
      </c>
      <c r="I572" s="6">
        <v>74.41</v>
      </c>
    </row>
    <row r="573" spans="2:9" ht="15.75" customHeight="1" x14ac:dyDescent="0.25">
      <c r="B573" s="6" t="s">
        <v>1516</v>
      </c>
      <c r="C573" s="6" t="s">
        <v>1517</v>
      </c>
      <c r="D573" s="6" t="s">
        <v>485</v>
      </c>
      <c r="E573" s="6">
        <v>1</v>
      </c>
      <c r="F573" s="6">
        <v>0</v>
      </c>
      <c r="G573" s="6">
        <v>0</v>
      </c>
      <c r="H573" s="6">
        <v>143.61000000000001</v>
      </c>
      <c r="I573" s="6">
        <v>143.61000000000001</v>
      </c>
    </row>
    <row r="574" spans="2:9" ht="15.75" customHeight="1" x14ac:dyDescent="0.25">
      <c r="B574" s="7" t="s">
        <v>1518</v>
      </c>
      <c r="C574" s="7" t="s">
        <v>1519</v>
      </c>
      <c r="D574" s="1"/>
      <c r="E574" s="1"/>
      <c r="F574" s="1"/>
      <c r="G574" s="7">
        <v>1176</v>
      </c>
      <c r="H574" s="1"/>
      <c r="I574" s="7">
        <v>38254.300000000003</v>
      </c>
    </row>
    <row r="575" spans="2:9" ht="15.75" customHeight="1" x14ac:dyDescent="0.25">
      <c r="B575" s="6" t="s">
        <v>1520</v>
      </c>
      <c r="C575" s="6" t="s">
        <v>1491</v>
      </c>
      <c r="D575" s="6" t="s">
        <v>485</v>
      </c>
      <c r="E575" s="6">
        <v>49</v>
      </c>
      <c r="F575" s="6">
        <v>8</v>
      </c>
      <c r="G575" s="6">
        <v>392</v>
      </c>
      <c r="H575" s="6">
        <v>286.27</v>
      </c>
      <c r="I575" s="6">
        <v>14027.23</v>
      </c>
    </row>
    <row r="576" spans="2:9" ht="15.75" customHeight="1" x14ac:dyDescent="0.25">
      <c r="B576" s="6" t="s">
        <v>1521</v>
      </c>
      <c r="C576" s="6" t="s">
        <v>1504</v>
      </c>
      <c r="D576" s="6" t="s">
        <v>485</v>
      </c>
      <c r="E576" s="6">
        <v>98</v>
      </c>
      <c r="F576" s="6">
        <v>8</v>
      </c>
      <c r="G576" s="6">
        <v>784</v>
      </c>
      <c r="H576" s="6">
        <v>101</v>
      </c>
      <c r="I576" s="6">
        <v>9898</v>
      </c>
    </row>
    <row r="577" spans="2:9" ht="15.75" customHeight="1" x14ac:dyDescent="0.25">
      <c r="B577" s="6" t="s">
        <v>1522</v>
      </c>
      <c r="C577" s="6" t="s">
        <v>1506</v>
      </c>
      <c r="D577" s="6" t="s">
        <v>485</v>
      </c>
      <c r="E577" s="6">
        <v>98</v>
      </c>
      <c r="F577" s="6">
        <v>0</v>
      </c>
      <c r="G577" s="6">
        <v>0</v>
      </c>
      <c r="H577" s="6">
        <v>74.41</v>
      </c>
      <c r="I577" s="6">
        <v>7292.18</v>
      </c>
    </row>
    <row r="578" spans="2:9" ht="15.75" customHeight="1" x14ac:dyDescent="0.25">
      <c r="B578" s="6" t="s">
        <v>1523</v>
      </c>
      <c r="C578" s="6" t="s">
        <v>1517</v>
      </c>
      <c r="D578" s="6" t="s">
        <v>485</v>
      </c>
      <c r="E578" s="6">
        <v>49</v>
      </c>
      <c r="F578" s="6">
        <v>0</v>
      </c>
      <c r="G578" s="6">
        <v>0</v>
      </c>
      <c r="H578" s="6">
        <v>143.61000000000001</v>
      </c>
      <c r="I578" s="6">
        <v>7036.89</v>
      </c>
    </row>
    <row r="579" spans="2:9" ht="15.75" customHeight="1" x14ac:dyDescent="0.25">
      <c r="B579" s="7" t="s">
        <v>1524</v>
      </c>
      <c r="C579" s="7" t="s">
        <v>1525</v>
      </c>
      <c r="D579" s="1"/>
      <c r="E579" s="1"/>
      <c r="F579" s="1"/>
      <c r="G579" s="7">
        <v>832</v>
      </c>
      <c r="H579" s="1"/>
      <c r="I579" s="7">
        <v>31475.08</v>
      </c>
    </row>
    <row r="580" spans="2:9" ht="15.75" customHeight="1" x14ac:dyDescent="0.25">
      <c r="B580" s="6" t="s">
        <v>1526</v>
      </c>
      <c r="C580" s="6" t="s">
        <v>1491</v>
      </c>
      <c r="D580" s="6" t="s">
        <v>485</v>
      </c>
      <c r="E580" s="6">
        <v>52</v>
      </c>
      <c r="F580" s="6">
        <v>8</v>
      </c>
      <c r="G580" s="6">
        <v>416</v>
      </c>
      <c r="H580" s="6">
        <v>286.27</v>
      </c>
      <c r="I580" s="6">
        <v>14886.04</v>
      </c>
    </row>
    <row r="581" spans="2:9" ht="15.75" customHeight="1" x14ac:dyDescent="0.25">
      <c r="B581" s="6" t="s">
        <v>1527</v>
      </c>
      <c r="C581" s="6" t="s">
        <v>1504</v>
      </c>
      <c r="D581" s="6" t="s">
        <v>485</v>
      </c>
      <c r="E581" s="6">
        <v>52</v>
      </c>
      <c r="F581" s="6">
        <v>8</v>
      </c>
      <c r="G581" s="6">
        <v>416</v>
      </c>
      <c r="H581" s="6">
        <v>101</v>
      </c>
      <c r="I581" s="6">
        <v>5252</v>
      </c>
    </row>
    <row r="582" spans="2:9" ht="15.75" customHeight="1" x14ac:dyDescent="0.25">
      <c r="B582" s="6" t="s">
        <v>1528</v>
      </c>
      <c r="C582" s="6" t="s">
        <v>1506</v>
      </c>
      <c r="D582" s="6" t="s">
        <v>485</v>
      </c>
      <c r="E582" s="6">
        <v>52</v>
      </c>
      <c r="F582" s="6">
        <v>0</v>
      </c>
      <c r="G582" s="6">
        <v>0</v>
      </c>
      <c r="H582" s="6">
        <v>74.41</v>
      </c>
      <c r="I582" s="6">
        <v>3869.32</v>
      </c>
    </row>
    <row r="583" spans="2:9" ht="15.75" customHeight="1" x14ac:dyDescent="0.25">
      <c r="B583" s="6" t="s">
        <v>1529</v>
      </c>
      <c r="C583" s="6" t="s">
        <v>1517</v>
      </c>
      <c r="D583" s="6" t="s">
        <v>485</v>
      </c>
      <c r="E583" s="6">
        <v>52</v>
      </c>
      <c r="F583" s="6">
        <v>0</v>
      </c>
      <c r="G583" s="6">
        <v>0</v>
      </c>
      <c r="H583" s="6">
        <v>143.61000000000001</v>
      </c>
      <c r="I583" s="6">
        <v>7467.72</v>
      </c>
    </row>
    <row r="584" spans="2:9" ht="15.75" customHeight="1" x14ac:dyDescent="0.25">
      <c r="B584" s="7" t="s">
        <v>1530</v>
      </c>
      <c r="C584" s="7" t="s">
        <v>1531</v>
      </c>
      <c r="D584" s="1"/>
      <c r="E584" s="1"/>
      <c r="F584" s="1"/>
      <c r="G584" s="7">
        <v>392</v>
      </c>
      <c r="H584" s="1"/>
      <c r="I584" s="7">
        <v>15958.04</v>
      </c>
    </row>
    <row r="585" spans="2:9" ht="15.75" customHeight="1" x14ac:dyDescent="0.25">
      <c r="B585" s="6" t="s">
        <v>1532</v>
      </c>
      <c r="C585" s="6" t="s">
        <v>1533</v>
      </c>
      <c r="D585" s="6" t="s">
        <v>485</v>
      </c>
      <c r="E585" s="6">
        <v>35</v>
      </c>
      <c r="F585" s="6">
        <v>8</v>
      </c>
      <c r="G585" s="6">
        <v>280</v>
      </c>
      <c r="H585" s="6">
        <v>121.81</v>
      </c>
      <c r="I585" s="6">
        <v>4263.3500000000004</v>
      </c>
    </row>
    <row r="586" spans="2:9" ht="15.75" customHeight="1" x14ac:dyDescent="0.25">
      <c r="B586" s="6" t="s">
        <v>1534</v>
      </c>
      <c r="C586" s="6" t="s">
        <v>1535</v>
      </c>
      <c r="D586" s="6" t="s">
        <v>485</v>
      </c>
      <c r="E586" s="6">
        <v>14</v>
      </c>
      <c r="F586" s="6">
        <v>8</v>
      </c>
      <c r="G586" s="6">
        <v>112</v>
      </c>
      <c r="H586" s="6">
        <v>206</v>
      </c>
      <c r="I586" s="6">
        <v>2884</v>
      </c>
    </row>
    <row r="587" spans="2:9" ht="15.75" customHeight="1" x14ac:dyDescent="0.25">
      <c r="B587" s="6" t="s">
        <v>1536</v>
      </c>
      <c r="C587" s="6" t="s">
        <v>1537</v>
      </c>
      <c r="D587" s="6" t="s">
        <v>485</v>
      </c>
      <c r="E587" s="6">
        <v>49</v>
      </c>
      <c r="F587" s="6">
        <v>0</v>
      </c>
      <c r="G587" s="6">
        <v>0</v>
      </c>
      <c r="H587" s="6">
        <v>179.81</v>
      </c>
      <c r="I587" s="6">
        <v>8810.69</v>
      </c>
    </row>
    <row r="588" spans="2:9" ht="15.75" customHeight="1" x14ac:dyDescent="0.25">
      <c r="B588" s="7" t="s">
        <v>1538</v>
      </c>
      <c r="C588" s="7" t="s">
        <v>1539</v>
      </c>
      <c r="D588" s="1"/>
      <c r="E588" s="1"/>
      <c r="F588" s="1"/>
      <c r="G588" s="7">
        <v>352</v>
      </c>
      <c r="H588" s="1"/>
      <c r="I588" s="7">
        <v>5813.28</v>
      </c>
    </row>
    <row r="589" spans="2:9" ht="15.75" customHeight="1" x14ac:dyDescent="0.25">
      <c r="B589" s="6" t="s">
        <v>1540</v>
      </c>
      <c r="C589" s="6" t="s">
        <v>1541</v>
      </c>
      <c r="D589" s="6" t="s">
        <v>485</v>
      </c>
      <c r="E589" s="6">
        <v>44</v>
      </c>
      <c r="F589" s="6">
        <v>8</v>
      </c>
      <c r="G589" s="6">
        <v>352</v>
      </c>
      <c r="H589" s="6">
        <v>89.56</v>
      </c>
      <c r="I589" s="6">
        <v>3940.64</v>
      </c>
    </row>
    <row r="590" spans="2:9" ht="15.75" customHeight="1" x14ac:dyDescent="0.25">
      <c r="B590" s="6" t="s">
        <v>1542</v>
      </c>
      <c r="C590" s="6" t="s">
        <v>1543</v>
      </c>
      <c r="D590" s="6" t="s">
        <v>485</v>
      </c>
      <c r="E590" s="6">
        <v>44</v>
      </c>
      <c r="F590" s="6">
        <v>0</v>
      </c>
      <c r="G590" s="6">
        <v>0</v>
      </c>
      <c r="H590" s="6">
        <v>42.56</v>
      </c>
      <c r="I590" s="6">
        <v>1872.64</v>
      </c>
    </row>
    <row r="591" spans="2:9" ht="15.75" customHeight="1" x14ac:dyDescent="0.25">
      <c r="B591" s="7" t="s">
        <v>1544</v>
      </c>
      <c r="C591" s="7" t="s">
        <v>1545</v>
      </c>
      <c r="D591" s="1"/>
      <c r="E591" s="1"/>
      <c r="F591" s="1"/>
      <c r="G591" s="7">
        <v>40</v>
      </c>
      <c r="H591" s="1"/>
      <c r="I591" s="7">
        <v>660.6</v>
      </c>
    </row>
    <row r="592" spans="2:9" ht="15.75" customHeight="1" x14ac:dyDescent="0.25">
      <c r="B592" s="6" t="s">
        <v>1546</v>
      </c>
      <c r="C592" s="6" t="s">
        <v>1541</v>
      </c>
      <c r="D592" s="6" t="s">
        <v>485</v>
      </c>
      <c r="E592" s="6">
        <v>5</v>
      </c>
      <c r="F592" s="6">
        <v>8</v>
      </c>
      <c r="G592" s="6">
        <v>40</v>
      </c>
      <c r="H592" s="6">
        <v>89.56</v>
      </c>
      <c r="I592" s="6">
        <v>447.8</v>
      </c>
    </row>
    <row r="593" spans="2:9" ht="15.75" customHeight="1" x14ac:dyDescent="0.25">
      <c r="B593" s="6" t="s">
        <v>1547</v>
      </c>
      <c r="C593" s="6" t="s">
        <v>1543</v>
      </c>
      <c r="D593" s="6" t="s">
        <v>485</v>
      </c>
      <c r="E593" s="6">
        <v>5</v>
      </c>
      <c r="F593" s="6">
        <v>0</v>
      </c>
      <c r="G593" s="6">
        <v>0</v>
      </c>
      <c r="H593" s="6">
        <v>42.56</v>
      </c>
      <c r="I593" s="6">
        <v>212.8</v>
      </c>
    </row>
    <row r="594" spans="2:9" ht="15.75" customHeight="1" x14ac:dyDescent="0.25">
      <c r="B594" s="7" t="s">
        <v>1548</v>
      </c>
      <c r="C594" s="7" t="s">
        <v>1549</v>
      </c>
      <c r="D594" s="1"/>
      <c r="E594" s="1"/>
      <c r="F594" s="1"/>
      <c r="G594" s="7">
        <v>1378</v>
      </c>
      <c r="H594" s="1"/>
      <c r="I594" s="7">
        <v>2238.73</v>
      </c>
    </row>
    <row r="595" spans="2:9" ht="15.75" customHeight="1" x14ac:dyDescent="0.25">
      <c r="B595" s="6" t="s">
        <v>1550</v>
      </c>
      <c r="C595" s="6" t="s">
        <v>1551</v>
      </c>
      <c r="D595" s="6" t="s">
        <v>485</v>
      </c>
      <c r="E595" s="6">
        <v>13</v>
      </c>
      <c r="F595" s="6">
        <v>98</v>
      </c>
      <c r="G595" s="6">
        <v>1274</v>
      </c>
      <c r="H595" s="6">
        <v>0</v>
      </c>
      <c r="I595" s="6">
        <v>0</v>
      </c>
    </row>
    <row r="596" spans="2:9" ht="15.75" customHeight="1" x14ac:dyDescent="0.25">
      <c r="B596" s="6" t="s">
        <v>1552</v>
      </c>
      <c r="C596" s="6" t="s">
        <v>1553</v>
      </c>
      <c r="D596" s="6" t="s">
        <v>485</v>
      </c>
      <c r="E596" s="6">
        <v>13</v>
      </c>
      <c r="F596" s="6">
        <v>8</v>
      </c>
      <c r="G596" s="6">
        <v>104</v>
      </c>
      <c r="H596" s="6">
        <v>71.069999999999993</v>
      </c>
      <c r="I596" s="6">
        <v>923.91</v>
      </c>
    </row>
    <row r="597" spans="2:9" ht="15.75" customHeight="1" x14ac:dyDescent="0.25">
      <c r="B597" s="6" t="s">
        <v>1554</v>
      </c>
      <c r="C597" s="6" t="s">
        <v>1555</v>
      </c>
      <c r="D597" s="6" t="s">
        <v>485</v>
      </c>
      <c r="E597" s="6">
        <v>13</v>
      </c>
      <c r="F597" s="6">
        <v>0</v>
      </c>
      <c r="G597" s="6">
        <v>0</v>
      </c>
      <c r="H597" s="6">
        <v>74</v>
      </c>
      <c r="I597" s="6">
        <v>962</v>
      </c>
    </row>
    <row r="598" spans="2:9" ht="15.75" customHeight="1" x14ac:dyDescent="0.25">
      <c r="B598" s="6" t="s">
        <v>1556</v>
      </c>
      <c r="C598" s="6" t="s">
        <v>1557</v>
      </c>
      <c r="D598" s="6" t="s">
        <v>485</v>
      </c>
      <c r="E598" s="6">
        <v>13</v>
      </c>
      <c r="F598" s="6">
        <v>0</v>
      </c>
      <c r="G598" s="6">
        <v>0</v>
      </c>
      <c r="H598" s="6">
        <v>27.14</v>
      </c>
      <c r="I598" s="6">
        <v>352.82</v>
      </c>
    </row>
    <row r="599" spans="2:9" ht="15.75" customHeight="1" x14ac:dyDescent="0.25">
      <c r="B599" s="5" t="s">
        <v>1558</v>
      </c>
      <c r="C599" s="5" t="s">
        <v>1559</v>
      </c>
      <c r="D599" s="1"/>
      <c r="E599" s="1"/>
      <c r="F599" s="1"/>
      <c r="G599" s="5">
        <v>12914</v>
      </c>
      <c r="H599" s="1"/>
      <c r="I599" s="5">
        <v>0</v>
      </c>
    </row>
    <row r="600" spans="2:9" ht="15.75" customHeight="1" x14ac:dyDescent="0.25">
      <c r="B600" s="6" t="s">
        <v>1560</v>
      </c>
      <c r="C600" s="6" t="s">
        <v>1561</v>
      </c>
      <c r="D600" s="6" t="s">
        <v>485</v>
      </c>
      <c r="E600" s="6">
        <v>89</v>
      </c>
      <c r="F600" s="6">
        <v>12</v>
      </c>
      <c r="G600" s="6">
        <v>1068</v>
      </c>
      <c r="H600" s="6">
        <v>0</v>
      </c>
      <c r="I600" s="6">
        <v>0</v>
      </c>
    </row>
    <row r="601" spans="2:9" ht="15.75" customHeight="1" x14ac:dyDescent="0.25">
      <c r="B601" s="6" t="s">
        <v>1562</v>
      </c>
      <c r="C601" s="6" t="s">
        <v>1563</v>
      </c>
      <c r="D601" s="6" t="s">
        <v>485</v>
      </c>
      <c r="E601" s="6">
        <v>18</v>
      </c>
      <c r="F601" s="6">
        <v>12</v>
      </c>
      <c r="G601" s="6">
        <v>216</v>
      </c>
      <c r="H601" s="6">
        <v>0</v>
      </c>
      <c r="I601" s="6">
        <v>0</v>
      </c>
    </row>
    <row r="602" spans="2:9" ht="15.75" customHeight="1" x14ac:dyDescent="0.25">
      <c r="B602" s="6" t="s">
        <v>1564</v>
      </c>
      <c r="C602" s="6" t="s">
        <v>1565</v>
      </c>
      <c r="D602" s="6" t="s">
        <v>485</v>
      </c>
      <c r="E602" s="6">
        <v>33</v>
      </c>
      <c r="F602" s="6">
        <v>12</v>
      </c>
      <c r="G602" s="6">
        <v>396</v>
      </c>
      <c r="H602" s="6">
        <v>0</v>
      </c>
      <c r="I602" s="6">
        <v>0</v>
      </c>
    </row>
    <row r="603" spans="2:9" ht="15.75" customHeight="1" x14ac:dyDescent="0.25">
      <c r="B603" s="6" t="s">
        <v>1566</v>
      </c>
      <c r="C603" s="6" t="s">
        <v>1567</v>
      </c>
      <c r="D603" s="6" t="s">
        <v>485</v>
      </c>
      <c r="E603" s="6">
        <v>8</v>
      </c>
      <c r="F603" s="6">
        <v>12</v>
      </c>
      <c r="G603" s="6">
        <v>96</v>
      </c>
      <c r="H603" s="6">
        <v>0</v>
      </c>
      <c r="I603" s="6">
        <v>0</v>
      </c>
    </row>
    <row r="604" spans="2:9" ht="15.75" customHeight="1" x14ac:dyDescent="0.25">
      <c r="B604" s="6" t="s">
        <v>1568</v>
      </c>
      <c r="C604" s="6" t="s">
        <v>1569</v>
      </c>
      <c r="D604" s="6" t="s">
        <v>485</v>
      </c>
      <c r="E604" s="6">
        <v>23</v>
      </c>
      <c r="F604" s="6">
        <v>12</v>
      </c>
      <c r="G604" s="6">
        <v>276</v>
      </c>
      <c r="H604" s="6">
        <v>0</v>
      </c>
      <c r="I604" s="6">
        <v>0</v>
      </c>
    </row>
    <row r="605" spans="2:9" ht="15.75" customHeight="1" x14ac:dyDescent="0.25">
      <c r="B605" s="6" t="s">
        <v>1570</v>
      </c>
      <c r="C605" s="6" t="s">
        <v>1571</v>
      </c>
      <c r="D605" s="6" t="s">
        <v>485</v>
      </c>
      <c r="E605" s="6">
        <v>11</v>
      </c>
      <c r="F605" s="6">
        <v>12</v>
      </c>
      <c r="G605" s="6">
        <v>132</v>
      </c>
      <c r="H605" s="6">
        <v>0</v>
      </c>
      <c r="I605" s="6">
        <v>0</v>
      </c>
    </row>
    <row r="606" spans="2:9" ht="15.75" customHeight="1" x14ac:dyDescent="0.25">
      <c r="B606" s="6" t="s">
        <v>1572</v>
      </c>
      <c r="C606" s="6" t="s">
        <v>1573</v>
      </c>
      <c r="D606" s="6" t="s">
        <v>485</v>
      </c>
      <c r="E606" s="6">
        <v>123</v>
      </c>
      <c r="F606" s="6">
        <v>12</v>
      </c>
      <c r="G606" s="6">
        <v>1476</v>
      </c>
      <c r="H606" s="6">
        <v>0</v>
      </c>
      <c r="I606" s="6">
        <v>0</v>
      </c>
    </row>
    <row r="607" spans="2:9" ht="15.75" customHeight="1" x14ac:dyDescent="0.25">
      <c r="B607" s="6" t="s">
        <v>1574</v>
      </c>
      <c r="C607" s="6" t="s">
        <v>1575</v>
      </c>
      <c r="D607" s="6" t="s">
        <v>485</v>
      </c>
      <c r="E607" s="6">
        <v>19</v>
      </c>
      <c r="F607" s="6">
        <v>12</v>
      </c>
      <c r="G607" s="6">
        <v>228</v>
      </c>
      <c r="H607" s="6">
        <v>0</v>
      </c>
      <c r="I607" s="6">
        <v>0</v>
      </c>
    </row>
    <row r="608" spans="2:9" ht="15.75" customHeight="1" x14ac:dyDescent="0.25">
      <c r="B608" s="6" t="s">
        <v>1576</v>
      </c>
      <c r="C608" s="6" t="s">
        <v>1577</v>
      </c>
      <c r="D608" s="6" t="s">
        <v>485</v>
      </c>
      <c r="E608" s="6">
        <v>86</v>
      </c>
      <c r="F608" s="6">
        <v>12</v>
      </c>
      <c r="G608" s="6">
        <v>1032</v>
      </c>
      <c r="H608" s="6">
        <v>0</v>
      </c>
      <c r="I608" s="6">
        <v>0</v>
      </c>
    </row>
    <row r="609" spans="2:9" ht="15.75" customHeight="1" x14ac:dyDescent="0.25">
      <c r="B609" s="6" t="s">
        <v>1578</v>
      </c>
      <c r="C609" s="6" t="s">
        <v>1579</v>
      </c>
      <c r="D609" s="6" t="s">
        <v>485</v>
      </c>
      <c r="E609" s="6">
        <v>26</v>
      </c>
      <c r="F609" s="6">
        <v>12</v>
      </c>
      <c r="G609" s="6">
        <v>312</v>
      </c>
      <c r="H609" s="6">
        <v>0</v>
      </c>
      <c r="I609" s="6">
        <v>0</v>
      </c>
    </row>
    <row r="610" spans="2:9" ht="15.75" customHeight="1" x14ac:dyDescent="0.25">
      <c r="B610" s="6" t="s">
        <v>1580</v>
      </c>
      <c r="C610" s="6" t="s">
        <v>1581</v>
      </c>
      <c r="D610" s="6" t="s">
        <v>485</v>
      </c>
      <c r="E610" s="6">
        <v>15</v>
      </c>
      <c r="F610" s="6">
        <v>12</v>
      </c>
      <c r="G610" s="6">
        <v>180</v>
      </c>
      <c r="H610" s="6">
        <v>0</v>
      </c>
      <c r="I610" s="6">
        <v>0</v>
      </c>
    </row>
    <row r="611" spans="2:9" ht="15.75" customHeight="1" x14ac:dyDescent="0.25">
      <c r="B611" s="6" t="s">
        <v>1582</v>
      </c>
      <c r="C611" s="6" t="s">
        <v>1583</v>
      </c>
      <c r="D611" s="6" t="s">
        <v>485</v>
      </c>
      <c r="E611" s="6">
        <v>5</v>
      </c>
      <c r="F611" s="6">
        <v>12</v>
      </c>
      <c r="G611" s="6">
        <v>60</v>
      </c>
      <c r="H611" s="6">
        <v>0</v>
      </c>
      <c r="I611" s="6">
        <v>0</v>
      </c>
    </row>
    <row r="612" spans="2:9" ht="15.75" customHeight="1" x14ac:dyDescent="0.25">
      <c r="B612" s="6" t="s">
        <v>1584</v>
      </c>
      <c r="C612" s="6" t="s">
        <v>1585</v>
      </c>
      <c r="D612" s="6" t="s">
        <v>485</v>
      </c>
      <c r="E612" s="6">
        <v>146</v>
      </c>
      <c r="F612" s="6">
        <v>12</v>
      </c>
      <c r="G612" s="6">
        <v>1752</v>
      </c>
      <c r="H612" s="6">
        <v>0</v>
      </c>
      <c r="I612" s="6">
        <v>0</v>
      </c>
    </row>
    <row r="613" spans="2:9" ht="15.75" customHeight="1" x14ac:dyDescent="0.25">
      <c r="B613" s="6" t="s">
        <v>1586</v>
      </c>
      <c r="C613" s="6" t="s">
        <v>1587</v>
      </c>
      <c r="D613" s="6" t="s">
        <v>485</v>
      </c>
      <c r="E613" s="6">
        <v>31</v>
      </c>
      <c r="F613" s="6">
        <v>12</v>
      </c>
      <c r="G613" s="6">
        <v>372</v>
      </c>
      <c r="H613" s="6">
        <v>0</v>
      </c>
      <c r="I613" s="6">
        <v>0</v>
      </c>
    </row>
    <row r="614" spans="2:9" ht="15.75" customHeight="1" x14ac:dyDescent="0.25">
      <c r="B614" s="6" t="s">
        <v>1588</v>
      </c>
      <c r="C614" s="6" t="s">
        <v>1589</v>
      </c>
      <c r="D614" s="6" t="s">
        <v>485</v>
      </c>
      <c r="E614" s="6">
        <v>53</v>
      </c>
      <c r="F614" s="6">
        <v>12</v>
      </c>
      <c r="G614" s="6">
        <v>636</v>
      </c>
      <c r="H614" s="6">
        <v>0</v>
      </c>
      <c r="I614" s="6">
        <v>0</v>
      </c>
    </row>
    <row r="615" spans="2:9" ht="15.75" customHeight="1" x14ac:dyDescent="0.25">
      <c r="B615" s="6" t="s">
        <v>1590</v>
      </c>
      <c r="C615" s="6" t="s">
        <v>1591</v>
      </c>
      <c r="D615" s="6" t="s">
        <v>485</v>
      </c>
      <c r="E615" s="6">
        <v>28</v>
      </c>
      <c r="F615" s="6">
        <v>12</v>
      </c>
      <c r="G615" s="6">
        <v>336</v>
      </c>
      <c r="H615" s="6">
        <v>0</v>
      </c>
      <c r="I615" s="6">
        <v>0</v>
      </c>
    </row>
    <row r="616" spans="2:9" ht="15.75" customHeight="1" x14ac:dyDescent="0.25">
      <c r="B616" s="6" t="s">
        <v>1592</v>
      </c>
      <c r="C616" s="6" t="s">
        <v>1593</v>
      </c>
      <c r="D616" s="6" t="s">
        <v>485</v>
      </c>
      <c r="E616" s="6">
        <v>1</v>
      </c>
      <c r="F616" s="6">
        <v>12</v>
      </c>
      <c r="G616" s="6">
        <v>12</v>
      </c>
      <c r="H616" s="6">
        <v>0</v>
      </c>
      <c r="I616" s="6">
        <v>0</v>
      </c>
    </row>
    <row r="617" spans="2:9" ht="15.75" customHeight="1" x14ac:dyDescent="0.25">
      <c r="B617" s="6" t="s">
        <v>1594</v>
      </c>
      <c r="C617" s="6" t="s">
        <v>1595</v>
      </c>
      <c r="D617" s="6" t="s">
        <v>485</v>
      </c>
      <c r="E617" s="6">
        <v>1</v>
      </c>
      <c r="F617" s="6">
        <v>12</v>
      </c>
      <c r="G617" s="6">
        <v>12</v>
      </c>
      <c r="H617" s="6">
        <v>0</v>
      </c>
      <c r="I617" s="6">
        <v>0</v>
      </c>
    </row>
    <row r="618" spans="2:9" ht="15.75" customHeight="1" x14ac:dyDescent="0.25">
      <c r="B618" s="6" t="s">
        <v>1596</v>
      </c>
      <c r="C618" s="6" t="s">
        <v>1597</v>
      </c>
      <c r="D618" s="6" t="s">
        <v>485</v>
      </c>
      <c r="E618" s="6">
        <v>1</v>
      </c>
      <c r="F618" s="6">
        <v>12</v>
      </c>
      <c r="G618" s="6">
        <v>12</v>
      </c>
      <c r="H618" s="6">
        <v>0</v>
      </c>
      <c r="I618" s="6">
        <v>0</v>
      </c>
    </row>
    <row r="619" spans="2:9" ht="15.75" customHeight="1" x14ac:dyDescent="0.25">
      <c r="B619" s="6" t="s">
        <v>1598</v>
      </c>
      <c r="C619" s="6" t="s">
        <v>1599</v>
      </c>
      <c r="D619" s="6" t="s">
        <v>485</v>
      </c>
      <c r="E619" s="6">
        <v>13</v>
      </c>
      <c r="F619" s="6">
        <v>12</v>
      </c>
      <c r="G619" s="6">
        <v>156</v>
      </c>
      <c r="H619" s="6">
        <v>0</v>
      </c>
      <c r="I619" s="6">
        <v>0</v>
      </c>
    </row>
    <row r="620" spans="2:9" ht="15.75" customHeight="1" x14ac:dyDescent="0.25">
      <c r="B620" s="6" t="s">
        <v>1600</v>
      </c>
      <c r="C620" s="6" t="s">
        <v>1601</v>
      </c>
      <c r="D620" s="6" t="s">
        <v>485</v>
      </c>
      <c r="E620" s="6">
        <v>1</v>
      </c>
      <c r="F620" s="6">
        <v>12</v>
      </c>
      <c r="G620" s="6">
        <v>12</v>
      </c>
      <c r="H620" s="6">
        <v>0</v>
      </c>
      <c r="I620" s="6">
        <v>0</v>
      </c>
    </row>
    <row r="621" spans="2:9" ht="15.75" customHeight="1" x14ac:dyDescent="0.25">
      <c r="B621" s="6" t="s">
        <v>1602</v>
      </c>
      <c r="C621" s="6" t="s">
        <v>1603</v>
      </c>
      <c r="D621" s="6" t="s">
        <v>485</v>
      </c>
      <c r="E621" s="6">
        <v>14</v>
      </c>
      <c r="F621" s="6">
        <v>12</v>
      </c>
      <c r="G621" s="6">
        <v>168</v>
      </c>
      <c r="H621" s="6">
        <v>0</v>
      </c>
      <c r="I621" s="6">
        <v>0</v>
      </c>
    </row>
    <row r="622" spans="2:9" ht="15.75" customHeight="1" x14ac:dyDescent="0.25">
      <c r="B622" s="6" t="s">
        <v>1604</v>
      </c>
      <c r="C622" s="6" t="s">
        <v>1605</v>
      </c>
      <c r="D622" s="6" t="s">
        <v>485</v>
      </c>
      <c r="E622" s="6">
        <v>33</v>
      </c>
      <c r="F622" s="6">
        <v>12</v>
      </c>
      <c r="G622" s="6">
        <v>396</v>
      </c>
      <c r="H622" s="6">
        <v>0</v>
      </c>
      <c r="I622" s="6">
        <v>0</v>
      </c>
    </row>
    <row r="623" spans="2:9" ht="15.75" customHeight="1" x14ac:dyDescent="0.25">
      <c r="B623" s="6" t="s">
        <v>1606</v>
      </c>
      <c r="C623" s="6" t="s">
        <v>1607</v>
      </c>
      <c r="D623" s="6" t="s">
        <v>485</v>
      </c>
      <c r="E623" s="6">
        <v>8</v>
      </c>
      <c r="F623" s="6">
        <v>12</v>
      </c>
      <c r="G623" s="6">
        <v>96</v>
      </c>
      <c r="H623" s="6">
        <v>0</v>
      </c>
      <c r="I623" s="6">
        <v>0</v>
      </c>
    </row>
    <row r="624" spans="2:9" ht="15.75" customHeight="1" x14ac:dyDescent="0.25">
      <c r="B624" s="6" t="s">
        <v>1608</v>
      </c>
      <c r="C624" s="6" t="s">
        <v>1609</v>
      </c>
      <c r="D624" s="6" t="s">
        <v>485</v>
      </c>
      <c r="E624" s="6">
        <v>1</v>
      </c>
      <c r="F624" s="6">
        <v>12</v>
      </c>
      <c r="G624" s="6">
        <v>12</v>
      </c>
      <c r="H624" s="6">
        <v>0</v>
      </c>
      <c r="I624" s="6">
        <v>0</v>
      </c>
    </row>
    <row r="625" spans="2:9" ht="15.75" customHeight="1" x14ac:dyDescent="0.25">
      <c r="B625" s="6" t="s">
        <v>1610</v>
      </c>
      <c r="C625" s="6" t="s">
        <v>1611</v>
      </c>
      <c r="D625" s="6" t="s">
        <v>112</v>
      </c>
      <c r="E625" s="6">
        <v>5</v>
      </c>
      <c r="F625" s="6">
        <v>60</v>
      </c>
      <c r="G625" s="6">
        <v>300</v>
      </c>
      <c r="H625" s="6">
        <v>0</v>
      </c>
      <c r="I625" s="6">
        <v>0</v>
      </c>
    </row>
    <row r="626" spans="2:9" ht="15.75" customHeight="1" x14ac:dyDescent="0.25">
      <c r="B626" s="6" t="s">
        <v>1612</v>
      </c>
      <c r="C626" s="6" t="s">
        <v>1613</v>
      </c>
      <c r="D626" s="6" t="s">
        <v>112</v>
      </c>
      <c r="E626" s="6">
        <v>4</v>
      </c>
      <c r="F626" s="6">
        <v>60</v>
      </c>
      <c r="G626" s="6">
        <v>240</v>
      </c>
      <c r="H626" s="6">
        <v>0</v>
      </c>
      <c r="I626" s="6">
        <v>0</v>
      </c>
    </row>
    <row r="627" spans="2:9" ht="15.75" customHeight="1" x14ac:dyDescent="0.25">
      <c r="B627" s="6" t="s">
        <v>1614</v>
      </c>
      <c r="C627" s="6" t="s">
        <v>1615</v>
      </c>
      <c r="D627" s="6" t="s">
        <v>112</v>
      </c>
      <c r="E627" s="6">
        <v>82</v>
      </c>
      <c r="F627" s="6">
        <v>20</v>
      </c>
      <c r="G627" s="6">
        <v>1640</v>
      </c>
      <c r="H627" s="6">
        <v>0</v>
      </c>
      <c r="I627" s="6">
        <v>0</v>
      </c>
    </row>
    <row r="628" spans="2:9" ht="15.75" customHeight="1" x14ac:dyDescent="0.25">
      <c r="B628" s="6" t="s">
        <v>1616</v>
      </c>
      <c r="C628" s="6" t="s">
        <v>1617</v>
      </c>
      <c r="D628" s="6" t="s">
        <v>112</v>
      </c>
      <c r="E628" s="6">
        <v>3</v>
      </c>
      <c r="F628" s="6">
        <v>30</v>
      </c>
      <c r="G628" s="6">
        <v>90</v>
      </c>
      <c r="H628" s="6">
        <v>0</v>
      </c>
      <c r="I628" s="6">
        <v>0</v>
      </c>
    </row>
    <row r="629" spans="2:9" ht="15.75" customHeight="1" x14ac:dyDescent="0.25">
      <c r="B629" s="6" t="s">
        <v>1618</v>
      </c>
      <c r="C629" s="6" t="s">
        <v>1619</v>
      </c>
      <c r="D629" s="6" t="s">
        <v>112</v>
      </c>
      <c r="E629" s="6">
        <v>40</v>
      </c>
      <c r="F629" s="6">
        <v>30</v>
      </c>
      <c r="G629" s="6">
        <v>1200</v>
      </c>
      <c r="H629" s="6">
        <v>0</v>
      </c>
      <c r="I629" s="6">
        <v>0</v>
      </c>
    </row>
    <row r="630" spans="2:9" ht="15.75" customHeight="1" x14ac:dyDescent="0.25">
      <c r="B630" s="5" t="s">
        <v>1620</v>
      </c>
      <c r="C630" s="5" t="s">
        <v>1621</v>
      </c>
      <c r="D630" s="1"/>
      <c r="E630" s="1"/>
      <c r="F630" s="1"/>
      <c r="G630" s="5">
        <v>163612.65</v>
      </c>
      <c r="H630" s="1"/>
      <c r="I630" s="5">
        <v>0</v>
      </c>
    </row>
    <row r="631" spans="2:9" ht="15.75" customHeight="1" x14ac:dyDescent="0.25">
      <c r="B631" s="6" t="s">
        <v>1622</v>
      </c>
      <c r="C631" s="6" t="s">
        <v>1623</v>
      </c>
      <c r="D631" s="6" t="s">
        <v>20</v>
      </c>
      <c r="E631" s="6">
        <v>1</v>
      </c>
      <c r="F631" s="6">
        <v>8517.57</v>
      </c>
      <c r="G631" s="6">
        <v>8517.57</v>
      </c>
      <c r="H631" s="6">
        <v>0</v>
      </c>
      <c r="I631" s="6">
        <v>0</v>
      </c>
    </row>
    <row r="632" spans="2:9" ht="15.75" customHeight="1" x14ac:dyDescent="0.25">
      <c r="B632" s="6" t="s">
        <v>1624</v>
      </c>
      <c r="C632" s="6" t="s">
        <v>1625</v>
      </c>
      <c r="D632" s="6" t="s">
        <v>20</v>
      </c>
      <c r="E632" s="6">
        <v>1</v>
      </c>
      <c r="F632" s="6">
        <v>12218.36</v>
      </c>
      <c r="G632" s="6">
        <v>12218.36</v>
      </c>
      <c r="H632" s="6">
        <v>0</v>
      </c>
      <c r="I632" s="6">
        <v>0</v>
      </c>
    </row>
    <row r="633" spans="2:9" ht="15.75" customHeight="1" x14ac:dyDescent="0.25">
      <c r="B633" s="6" t="s">
        <v>1626</v>
      </c>
      <c r="C633" s="6" t="s">
        <v>1627</v>
      </c>
      <c r="D633" s="6" t="s">
        <v>20</v>
      </c>
      <c r="E633" s="6">
        <v>1</v>
      </c>
      <c r="F633" s="6">
        <v>23866.5</v>
      </c>
      <c r="G633" s="6">
        <v>23866.5</v>
      </c>
      <c r="H633" s="6">
        <v>0</v>
      </c>
      <c r="I633" s="6">
        <v>0</v>
      </c>
    </row>
    <row r="634" spans="2:9" ht="15.75" customHeight="1" x14ac:dyDescent="0.25">
      <c r="B634" s="6" t="s">
        <v>1628</v>
      </c>
      <c r="C634" s="6" t="s">
        <v>1629</v>
      </c>
      <c r="D634" s="6" t="s">
        <v>20</v>
      </c>
      <c r="E634" s="6">
        <v>1</v>
      </c>
      <c r="F634" s="6">
        <v>21506.560000000001</v>
      </c>
      <c r="G634" s="6">
        <v>21506.560000000001</v>
      </c>
      <c r="H634" s="6">
        <v>0</v>
      </c>
      <c r="I634" s="6">
        <v>0</v>
      </c>
    </row>
    <row r="635" spans="2:9" ht="15.75" customHeight="1" x14ac:dyDescent="0.25">
      <c r="B635" s="6" t="s">
        <v>1630</v>
      </c>
      <c r="C635" s="6" t="s">
        <v>1631</v>
      </c>
      <c r="D635" s="6" t="s">
        <v>20</v>
      </c>
      <c r="E635" s="6">
        <v>1</v>
      </c>
      <c r="F635" s="6">
        <v>35179.11</v>
      </c>
      <c r="G635" s="6">
        <v>35179.11</v>
      </c>
      <c r="H635" s="6">
        <v>0</v>
      </c>
      <c r="I635" s="6">
        <v>0</v>
      </c>
    </row>
    <row r="636" spans="2:9" ht="15.75" customHeight="1" x14ac:dyDescent="0.25">
      <c r="B636" s="6" t="s">
        <v>1632</v>
      </c>
      <c r="C636" s="6" t="s">
        <v>1633</v>
      </c>
      <c r="D636" s="6" t="s">
        <v>20</v>
      </c>
      <c r="E636" s="6">
        <v>1</v>
      </c>
      <c r="F636" s="6">
        <v>62324.55</v>
      </c>
      <c r="G636" s="6">
        <v>62324.55</v>
      </c>
      <c r="H636" s="6">
        <v>0</v>
      </c>
      <c r="I636" s="6">
        <v>0</v>
      </c>
    </row>
    <row r="637" spans="2:9" ht="15.75" customHeight="1" x14ac:dyDescent="0.25">
      <c r="B637" s="5" t="s">
        <v>1634</v>
      </c>
      <c r="C637" s="5" t="s">
        <v>1635</v>
      </c>
      <c r="D637" s="1"/>
      <c r="E637" s="1"/>
      <c r="F637" s="1"/>
      <c r="G637" s="5">
        <v>301701.69</v>
      </c>
      <c r="H637" s="1"/>
      <c r="I637" s="5">
        <v>0</v>
      </c>
    </row>
    <row r="638" spans="2:9" ht="15.75" customHeight="1" x14ac:dyDescent="0.25">
      <c r="B638" s="6" t="s">
        <v>1636</v>
      </c>
      <c r="C638" s="6" t="s">
        <v>1637</v>
      </c>
      <c r="D638" s="6" t="s">
        <v>485</v>
      </c>
      <c r="E638" s="6">
        <v>16</v>
      </c>
      <c r="F638" s="6">
        <v>2044.64</v>
      </c>
      <c r="G638" s="6">
        <v>32714.240000000002</v>
      </c>
      <c r="H638" s="6">
        <v>0</v>
      </c>
      <c r="I638" s="6">
        <v>0</v>
      </c>
    </row>
    <row r="639" spans="2:9" ht="15.75" customHeight="1" x14ac:dyDescent="0.25">
      <c r="B639" s="6" t="s">
        <v>1638</v>
      </c>
      <c r="C639" s="6" t="s">
        <v>1639</v>
      </c>
      <c r="D639" s="6" t="s">
        <v>485</v>
      </c>
      <c r="E639" s="6">
        <v>33</v>
      </c>
      <c r="F639" s="6">
        <v>1341.98</v>
      </c>
      <c r="G639" s="6">
        <v>44285.34</v>
      </c>
      <c r="H639" s="6">
        <v>0</v>
      </c>
      <c r="I639" s="6">
        <v>0</v>
      </c>
    </row>
    <row r="640" spans="2:9" ht="15.75" customHeight="1" x14ac:dyDescent="0.25">
      <c r="B640" s="6" t="s">
        <v>1640</v>
      </c>
      <c r="C640" s="6" t="s">
        <v>1641</v>
      </c>
      <c r="D640" s="6" t="s">
        <v>485</v>
      </c>
      <c r="E640" s="6">
        <v>49</v>
      </c>
      <c r="F640" s="6">
        <v>1678.03</v>
      </c>
      <c r="G640" s="6">
        <v>82223.47</v>
      </c>
      <c r="H640" s="6">
        <v>0</v>
      </c>
      <c r="I640" s="6">
        <v>0</v>
      </c>
    </row>
    <row r="641" spans="2:9" ht="15.75" customHeight="1" x14ac:dyDescent="0.25">
      <c r="B641" s="6" t="s">
        <v>1642</v>
      </c>
      <c r="C641" s="6" t="s">
        <v>1643</v>
      </c>
      <c r="D641" s="6" t="s">
        <v>485</v>
      </c>
      <c r="E641" s="6">
        <v>49</v>
      </c>
      <c r="F641" s="6">
        <v>1333.2</v>
      </c>
      <c r="G641" s="6">
        <v>65326.8</v>
      </c>
      <c r="H641" s="6">
        <v>0</v>
      </c>
      <c r="I641" s="6">
        <v>0</v>
      </c>
    </row>
    <row r="642" spans="2:9" ht="15.75" customHeight="1" x14ac:dyDescent="0.25">
      <c r="B642" s="6" t="s">
        <v>1644</v>
      </c>
      <c r="C642" s="6" t="s">
        <v>1645</v>
      </c>
      <c r="D642" s="6" t="s">
        <v>485</v>
      </c>
      <c r="E642" s="6">
        <v>16</v>
      </c>
      <c r="F642" s="6">
        <v>1739.13</v>
      </c>
      <c r="G642" s="6">
        <v>27826.080000000002</v>
      </c>
      <c r="H642" s="6">
        <v>0</v>
      </c>
      <c r="I642" s="6">
        <v>0</v>
      </c>
    </row>
    <row r="643" spans="2:9" ht="15.75" customHeight="1" x14ac:dyDescent="0.25">
      <c r="B643" s="6" t="s">
        <v>1646</v>
      </c>
      <c r="C643" s="6" t="s">
        <v>1647</v>
      </c>
      <c r="D643" s="6" t="s">
        <v>485</v>
      </c>
      <c r="E643" s="6">
        <v>33</v>
      </c>
      <c r="F643" s="6">
        <v>1494.72</v>
      </c>
      <c r="G643" s="6">
        <v>49325.760000000002</v>
      </c>
      <c r="H643" s="6">
        <v>0</v>
      </c>
      <c r="I643" s="6">
        <v>0</v>
      </c>
    </row>
    <row r="644" spans="2:9" ht="15.75" customHeight="1" x14ac:dyDescent="0.25">
      <c r="B644" s="5" t="s">
        <v>1648</v>
      </c>
      <c r="C644" s="5" t="s">
        <v>1649</v>
      </c>
      <c r="D644" s="1"/>
      <c r="E644" s="1"/>
      <c r="F644" s="1"/>
      <c r="G644" s="5">
        <v>234407.01</v>
      </c>
      <c r="H644" s="1"/>
      <c r="I644" s="5">
        <v>0</v>
      </c>
    </row>
    <row r="645" spans="2:9" ht="15.75" customHeight="1" x14ac:dyDescent="0.25">
      <c r="B645" s="7" t="s">
        <v>1650</v>
      </c>
      <c r="C645" s="7" t="s">
        <v>454</v>
      </c>
      <c r="D645" s="1"/>
      <c r="E645" s="1"/>
      <c r="F645" s="1"/>
      <c r="G645" s="7">
        <v>99873.78</v>
      </c>
      <c r="H645" s="1"/>
      <c r="I645" s="7">
        <v>0</v>
      </c>
    </row>
    <row r="646" spans="2:9" ht="15.75" customHeight="1" x14ac:dyDescent="0.25">
      <c r="B646" s="6" t="s">
        <v>1651</v>
      </c>
      <c r="C646" s="6" t="s">
        <v>1652</v>
      </c>
      <c r="D646" s="6" t="s">
        <v>485</v>
      </c>
      <c r="E646" s="6">
        <v>158</v>
      </c>
      <c r="F646" s="6">
        <v>348.87</v>
      </c>
      <c r="G646" s="6">
        <v>55121.46</v>
      </c>
      <c r="H646" s="6">
        <v>0</v>
      </c>
      <c r="I646" s="6">
        <v>0</v>
      </c>
    </row>
    <row r="647" spans="2:9" ht="15.75" customHeight="1" x14ac:dyDescent="0.25">
      <c r="B647" s="6" t="s">
        <v>1653</v>
      </c>
      <c r="C647" s="6" t="s">
        <v>1654</v>
      </c>
      <c r="D647" s="6" t="s">
        <v>485</v>
      </c>
      <c r="E647" s="6">
        <v>15</v>
      </c>
      <c r="F647" s="6">
        <v>348.87</v>
      </c>
      <c r="G647" s="6">
        <v>5233.05</v>
      </c>
      <c r="H647" s="6">
        <v>0</v>
      </c>
      <c r="I647" s="6">
        <v>0</v>
      </c>
    </row>
    <row r="648" spans="2:9" ht="15.75" customHeight="1" x14ac:dyDescent="0.25">
      <c r="B648" s="6" t="s">
        <v>1655</v>
      </c>
      <c r="C648" s="6" t="s">
        <v>1656</v>
      </c>
      <c r="D648" s="6" t="s">
        <v>485</v>
      </c>
      <c r="E648" s="6">
        <v>70</v>
      </c>
      <c r="F648" s="6">
        <v>111.03</v>
      </c>
      <c r="G648" s="6">
        <v>7772.1</v>
      </c>
      <c r="H648" s="6">
        <v>0</v>
      </c>
      <c r="I648" s="6">
        <v>0</v>
      </c>
    </row>
    <row r="649" spans="2:9" ht="15.75" customHeight="1" x14ac:dyDescent="0.25">
      <c r="B649" s="6" t="s">
        <v>1657</v>
      </c>
      <c r="C649" s="6" t="s">
        <v>1658</v>
      </c>
      <c r="D649" s="6" t="s">
        <v>485</v>
      </c>
      <c r="E649" s="6">
        <v>91</v>
      </c>
      <c r="F649" s="6">
        <v>348.87</v>
      </c>
      <c r="G649" s="6">
        <v>31747.17</v>
      </c>
      <c r="H649" s="6">
        <v>0</v>
      </c>
      <c r="I649" s="6">
        <v>0</v>
      </c>
    </row>
    <row r="650" spans="2:9" ht="15.75" customHeight="1" x14ac:dyDescent="0.25">
      <c r="B650" s="7" t="s">
        <v>1659</v>
      </c>
      <c r="C650" s="7" t="s">
        <v>1660</v>
      </c>
      <c r="D650" s="1"/>
      <c r="E650" s="1"/>
      <c r="F650" s="1"/>
      <c r="G650" s="7">
        <v>40827.71</v>
      </c>
      <c r="H650" s="1"/>
      <c r="I650" s="7">
        <v>0</v>
      </c>
    </row>
    <row r="651" spans="2:9" ht="15.75" customHeight="1" x14ac:dyDescent="0.25">
      <c r="B651" s="6" t="s">
        <v>1661</v>
      </c>
      <c r="C651" s="6" t="s">
        <v>1662</v>
      </c>
      <c r="D651" s="6" t="s">
        <v>485</v>
      </c>
      <c r="E651" s="6">
        <v>295</v>
      </c>
      <c r="F651" s="6">
        <v>88.41</v>
      </c>
      <c r="G651" s="6">
        <v>26080.95</v>
      </c>
      <c r="H651" s="6">
        <v>0</v>
      </c>
      <c r="I651" s="6">
        <v>0</v>
      </c>
    </row>
    <row r="652" spans="2:9" ht="15.75" customHeight="1" x14ac:dyDescent="0.25">
      <c r="B652" s="6" t="s">
        <v>1663</v>
      </c>
      <c r="C652" s="6" t="s">
        <v>1664</v>
      </c>
      <c r="D652" s="6" t="s">
        <v>485</v>
      </c>
      <c r="E652" s="6">
        <v>209.52</v>
      </c>
      <c r="F652" s="6">
        <v>65.33</v>
      </c>
      <c r="G652" s="6">
        <v>13687.94</v>
      </c>
      <c r="H652" s="6">
        <v>0</v>
      </c>
      <c r="I652" s="6">
        <v>0</v>
      </c>
    </row>
    <row r="653" spans="2:9" ht="15.75" customHeight="1" x14ac:dyDescent="0.25">
      <c r="B653" s="6" t="s">
        <v>1665</v>
      </c>
      <c r="C653" s="6" t="s">
        <v>1666</v>
      </c>
      <c r="D653" s="6" t="s">
        <v>485</v>
      </c>
      <c r="E653" s="6">
        <v>21</v>
      </c>
      <c r="F653" s="6">
        <v>50.42</v>
      </c>
      <c r="G653" s="6">
        <v>1058.82</v>
      </c>
      <c r="H653" s="6">
        <v>0</v>
      </c>
      <c r="I653" s="6">
        <v>0</v>
      </c>
    </row>
    <row r="654" spans="2:9" ht="15.75" customHeight="1" x14ac:dyDescent="0.25">
      <c r="B654" s="7" t="s">
        <v>1667</v>
      </c>
      <c r="C654" s="7" t="s">
        <v>1668</v>
      </c>
      <c r="D654" s="1"/>
      <c r="E654" s="1"/>
      <c r="F654" s="1"/>
      <c r="G654" s="7">
        <v>93705.52</v>
      </c>
      <c r="H654" s="1"/>
      <c r="I654" s="7">
        <v>0</v>
      </c>
    </row>
    <row r="655" spans="2:9" ht="15.75" customHeight="1" x14ac:dyDescent="0.25">
      <c r="B655" s="6" t="s">
        <v>1669</v>
      </c>
      <c r="C655" s="6" t="s">
        <v>1670</v>
      </c>
      <c r="D655" s="6" t="s">
        <v>485</v>
      </c>
      <c r="E655" s="6">
        <v>3</v>
      </c>
      <c r="F655" s="6">
        <v>88.37</v>
      </c>
      <c r="G655" s="6">
        <v>265.11</v>
      </c>
      <c r="H655" s="6">
        <v>0</v>
      </c>
      <c r="I655" s="6">
        <v>0</v>
      </c>
    </row>
    <row r="656" spans="2:9" ht="15.75" customHeight="1" x14ac:dyDescent="0.25">
      <c r="B656" s="6" t="s">
        <v>1671</v>
      </c>
      <c r="C656" s="6" t="s">
        <v>1672</v>
      </c>
      <c r="D656" s="6" t="s">
        <v>485</v>
      </c>
      <c r="E656" s="6">
        <v>50</v>
      </c>
      <c r="F656" s="6">
        <v>186.95</v>
      </c>
      <c r="G656" s="6">
        <v>9347.5</v>
      </c>
      <c r="H656" s="6">
        <v>0</v>
      </c>
      <c r="I656" s="6">
        <v>0</v>
      </c>
    </row>
    <row r="657" spans="2:9" ht="15.75" customHeight="1" x14ac:dyDescent="0.25">
      <c r="B657" s="6" t="s">
        <v>1673</v>
      </c>
      <c r="C657" s="6" t="s">
        <v>1674</v>
      </c>
      <c r="D657" s="6" t="s">
        <v>485</v>
      </c>
      <c r="E657" s="6">
        <v>6</v>
      </c>
      <c r="F657" s="6">
        <v>267.39</v>
      </c>
      <c r="G657" s="6">
        <v>1604.34</v>
      </c>
      <c r="H657" s="6">
        <v>0</v>
      </c>
      <c r="I657" s="6">
        <v>0</v>
      </c>
    </row>
    <row r="658" spans="2:9" ht="15.75" customHeight="1" x14ac:dyDescent="0.25">
      <c r="B658" s="6" t="s">
        <v>1675</v>
      </c>
      <c r="C658" s="6" t="s">
        <v>1674</v>
      </c>
      <c r="D658" s="6" t="s">
        <v>485</v>
      </c>
      <c r="E658" s="6">
        <v>3</v>
      </c>
      <c r="F658" s="6">
        <v>267.39</v>
      </c>
      <c r="G658" s="6">
        <v>802.17</v>
      </c>
      <c r="H658" s="6">
        <v>0</v>
      </c>
      <c r="I658" s="6">
        <v>0</v>
      </c>
    </row>
    <row r="659" spans="2:9" ht="15.75" customHeight="1" x14ac:dyDescent="0.25">
      <c r="B659" s="6" t="s">
        <v>1676</v>
      </c>
      <c r="C659" s="6" t="s">
        <v>1677</v>
      </c>
      <c r="D659" s="6" t="s">
        <v>485</v>
      </c>
      <c r="E659" s="6">
        <v>3</v>
      </c>
      <c r="F659" s="6">
        <v>62.32</v>
      </c>
      <c r="G659" s="6">
        <v>186.96</v>
      </c>
      <c r="H659" s="6">
        <v>0</v>
      </c>
      <c r="I659" s="6">
        <v>0</v>
      </c>
    </row>
    <row r="660" spans="2:9" ht="15.75" customHeight="1" x14ac:dyDescent="0.25">
      <c r="B660" s="6" t="s">
        <v>1678</v>
      </c>
      <c r="C660" s="6" t="s">
        <v>1679</v>
      </c>
      <c r="D660" s="6" t="s">
        <v>485</v>
      </c>
      <c r="E660" s="6">
        <v>18</v>
      </c>
      <c r="F660" s="6">
        <v>678.67</v>
      </c>
      <c r="G660" s="6">
        <v>12216.06</v>
      </c>
      <c r="H660" s="6">
        <v>0</v>
      </c>
      <c r="I660" s="6">
        <v>0</v>
      </c>
    </row>
    <row r="661" spans="2:9" ht="15.75" customHeight="1" x14ac:dyDescent="0.25">
      <c r="B661" s="6" t="s">
        <v>1680</v>
      </c>
      <c r="C661" s="6" t="s">
        <v>1681</v>
      </c>
      <c r="D661" s="6" t="s">
        <v>485</v>
      </c>
      <c r="E661" s="6">
        <v>21</v>
      </c>
      <c r="F661" s="6">
        <v>565.37</v>
      </c>
      <c r="G661" s="6">
        <v>11872.77</v>
      </c>
      <c r="H661" s="6">
        <v>0</v>
      </c>
      <c r="I661" s="6">
        <v>0</v>
      </c>
    </row>
    <row r="662" spans="2:9" ht="15.75" customHeight="1" x14ac:dyDescent="0.25">
      <c r="B662" s="6" t="s">
        <v>1682</v>
      </c>
      <c r="C662" s="6" t="s">
        <v>1683</v>
      </c>
      <c r="D662" s="6" t="s">
        <v>485</v>
      </c>
      <c r="E662" s="6">
        <v>62</v>
      </c>
      <c r="F662" s="6">
        <v>475.86</v>
      </c>
      <c r="G662" s="6">
        <v>29503.32</v>
      </c>
      <c r="H662" s="6">
        <v>0</v>
      </c>
      <c r="I662" s="6">
        <v>0</v>
      </c>
    </row>
    <row r="663" spans="2:9" ht="15.75" customHeight="1" x14ac:dyDescent="0.25">
      <c r="B663" s="6" t="s">
        <v>1684</v>
      </c>
      <c r="C663" s="6" t="s">
        <v>1685</v>
      </c>
      <c r="D663" s="6" t="s">
        <v>485</v>
      </c>
      <c r="E663" s="6">
        <v>10</v>
      </c>
      <c r="F663" s="6">
        <v>334.24</v>
      </c>
      <c r="G663" s="6">
        <v>3342.4</v>
      </c>
      <c r="H663" s="6">
        <v>0</v>
      </c>
      <c r="I663" s="6">
        <v>0</v>
      </c>
    </row>
    <row r="664" spans="2:9" ht="15.75" customHeight="1" x14ac:dyDescent="0.25">
      <c r="B664" s="6" t="s">
        <v>1686</v>
      </c>
      <c r="C664" s="6" t="s">
        <v>1687</v>
      </c>
      <c r="D664" s="6" t="s">
        <v>485</v>
      </c>
      <c r="E664" s="6">
        <v>6</v>
      </c>
      <c r="F664" s="6">
        <v>137.09</v>
      </c>
      <c r="G664" s="6">
        <v>822.54</v>
      </c>
      <c r="H664" s="6">
        <v>0</v>
      </c>
      <c r="I664" s="6">
        <v>0</v>
      </c>
    </row>
    <row r="665" spans="2:9" ht="15.75" customHeight="1" x14ac:dyDescent="0.25">
      <c r="B665" s="6" t="s">
        <v>1688</v>
      </c>
      <c r="C665" s="6" t="s">
        <v>1689</v>
      </c>
      <c r="D665" s="6" t="s">
        <v>485</v>
      </c>
      <c r="E665" s="6">
        <v>1</v>
      </c>
      <c r="F665" s="6">
        <v>266.26</v>
      </c>
      <c r="G665" s="6">
        <v>266.26</v>
      </c>
      <c r="H665" s="6">
        <v>0</v>
      </c>
      <c r="I665" s="6">
        <v>0</v>
      </c>
    </row>
    <row r="666" spans="2:9" ht="15.75" customHeight="1" x14ac:dyDescent="0.25">
      <c r="B666" s="6" t="s">
        <v>1690</v>
      </c>
      <c r="C666" s="6" t="s">
        <v>1691</v>
      </c>
      <c r="D666" s="6" t="s">
        <v>485</v>
      </c>
      <c r="E666" s="6">
        <v>2</v>
      </c>
      <c r="F666" s="6">
        <v>92.91</v>
      </c>
      <c r="G666" s="6">
        <v>185.82</v>
      </c>
      <c r="H666" s="6">
        <v>0</v>
      </c>
      <c r="I666" s="6">
        <v>0</v>
      </c>
    </row>
    <row r="667" spans="2:9" ht="15.75" customHeight="1" x14ac:dyDescent="0.25">
      <c r="B667" s="6" t="s">
        <v>1692</v>
      </c>
      <c r="C667" s="6" t="s">
        <v>1693</v>
      </c>
      <c r="D667" s="6" t="s">
        <v>485</v>
      </c>
      <c r="E667" s="6">
        <v>2</v>
      </c>
      <c r="F667" s="6">
        <v>139.36000000000001</v>
      </c>
      <c r="G667" s="6">
        <v>278.72000000000003</v>
      </c>
      <c r="H667" s="6">
        <v>0</v>
      </c>
      <c r="I667" s="6">
        <v>0</v>
      </c>
    </row>
    <row r="668" spans="2:9" ht="15.75" customHeight="1" x14ac:dyDescent="0.25">
      <c r="B668" s="6" t="s">
        <v>1694</v>
      </c>
      <c r="C668" s="6" t="s">
        <v>1695</v>
      </c>
      <c r="D668" s="6" t="s">
        <v>485</v>
      </c>
      <c r="E668" s="6">
        <v>3</v>
      </c>
      <c r="F668" s="6">
        <v>191.48</v>
      </c>
      <c r="G668" s="6">
        <v>574.44000000000005</v>
      </c>
      <c r="H668" s="6">
        <v>0</v>
      </c>
      <c r="I668" s="6">
        <v>0</v>
      </c>
    </row>
    <row r="669" spans="2:9" ht="15.75" customHeight="1" x14ac:dyDescent="0.25">
      <c r="B669" s="6" t="s">
        <v>1696</v>
      </c>
      <c r="C669" s="6" t="s">
        <v>1695</v>
      </c>
      <c r="D669" s="6" t="s">
        <v>485</v>
      </c>
      <c r="E669" s="6">
        <v>33</v>
      </c>
      <c r="F669" s="6">
        <v>80.44</v>
      </c>
      <c r="G669" s="6">
        <v>2654.52</v>
      </c>
      <c r="H669" s="6">
        <v>0</v>
      </c>
      <c r="I669" s="6">
        <v>0</v>
      </c>
    </row>
    <row r="670" spans="2:9" ht="15.75" customHeight="1" x14ac:dyDescent="0.25">
      <c r="B670" s="6" t="s">
        <v>1697</v>
      </c>
      <c r="C670" s="6" t="s">
        <v>1698</v>
      </c>
      <c r="D670" s="6" t="s">
        <v>474</v>
      </c>
      <c r="E670" s="6">
        <v>1.22</v>
      </c>
      <c r="F670" s="6">
        <v>44</v>
      </c>
      <c r="G670" s="6">
        <v>53.68</v>
      </c>
      <c r="H670" s="6">
        <v>0</v>
      </c>
      <c r="I670" s="6">
        <v>0</v>
      </c>
    </row>
    <row r="671" spans="2:9" ht="15.75" customHeight="1" x14ac:dyDescent="0.25">
      <c r="B671" s="6" t="s">
        <v>1699</v>
      </c>
      <c r="C671" s="6" t="s">
        <v>1700</v>
      </c>
      <c r="D671" s="6" t="s">
        <v>474</v>
      </c>
      <c r="E671" s="6">
        <v>73</v>
      </c>
      <c r="F671" s="6">
        <v>44</v>
      </c>
      <c r="G671" s="6">
        <v>3212</v>
      </c>
      <c r="H671" s="6">
        <v>0</v>
      </c>
      <c r="I671" s="6">
        <v>0</v>
      </c>
    </row>
    <row r="672" spans="2:9" ht="15.75" customHeight="1" x14ac:dyDescent="0.25">
      <c r="B672" s="6" t="s">
        <v>1701</v>
      </c>
      <c r="C672" s="6" t="s">
        <v>1702</v>
      </c>
      <c r="D672" s="6" t="s">
        <v>485</v>
      </c>
      <c r="E672" s="6">
        <v>4</v>
      </c>
      <c r="F672" s="6">
        <v>112.17</v>
      </c>
      <c r="G672" s="6">
        <v>448.68</v>
      </c>
      <c r="H672" s="6">
        <v>0</v>
      </c>
      <c r="I672" s="6">
        <v>0</v>
      </c>
    </row>
    <row r="673" spans="2:9" ht="15.75" customHeight="1" x14ac:dyDescent="0.25">
      <c r="B673" s="6" t="s">
        <v>1703</v>
      </c>
      <c r="C673" s="6" t="s">
        <v>1704</v>
      </c>
      <c r="D673" s="6" t="s">
        <v>474</v>
      </c>
      <c r="E673" s="6">
        <v>8</v>
      </c>
      <c r="F673" s="6">
        <v>44</v>
      </c>
      <c r="G673" s="6">
        <v>352</v>
      </c>
      <c r="H673" s="6">
        <v>0</v>
      </c>
      <c r="I673" s="6">
        <v>0</v>
      </c>
    </row>
    <row r="674" spans="2:9" ht="15.75" customHeight="1" x14ac:dyDescent="0.25">
      <c r="B674" s="6" t="s">
        <v>1705</v>
      </c>
      <c r="C674" s="6" t="s">
        <v>1706</v>
      </c>
      <c r="D674" s="6" t="s">
        <v>485</v>
      </c>
      <c r="E674" s="6">
        <v>33</v>
      </c>
      <c r="F674" s="6">
        <v>52.12</v>
      </c>
      <c r="G674" s="6">
        <v>1719.96</v>
      </c>
      <c r="H674" s="6">
        <v>0</v>
      </c>
      <c r="I674" s="6">
        <v>0</v>
      </c>
    </row>
    <row r="675" spans="2:9" ht="15.75" customHeight="1" x14ac:dyDescent="0.25">
      <c r="B675" s="6" t="s">
        <v>1707</v>
      </c>
      <c r="C675" s="6" t="s">
        <v>1708</v>
      </c>
      <c r="D675" s="6" t="s">
        <v>485</v>
      </c>
      <c r="E675" s="6">
        <v>41.1</v>
      </c>
      <c r="F675" s="6">
        <v>65.709999999999994</v>
      </c>
      <c r="G675" s="6">
        <v>2700.68</v>
      </c>
      <c r="H675" s="6">
        <v>0</v>
      </c>
      <c r="I675" s="6">
        <v>0</v>
      </c>
    </row>
    <row r="676" spans="2:9" ht="15.75" customHeight="1" x14ac:dyDescent="0.25">
      <c r="B676" s="6" t="s">
        <v>1709</v>
      </c>
      <c r="C676" s="6" t="s">
        <v>1710</v>
      </c>
      <c r="D676" s="6" t="s">
        <v>485</v>
      </c>
      <c r="E676" s="6">
        <v>6.44</v>
      </c>
      <c r="F676" s="6">
        <v>120.1</v>
      </c>
      <c r="G676" s="6">
        <v>773.44</v>
      </c>
      <c r="H676" s="6">
        <v>0</v>
      </c>
      <c r="I676" s="6">
        <v>0</v>
      </c>
    </row>
    <row r="677" spans="2:9" ht="15.75" customHeight="1" x14ac:dyDescent="0.25">
      <c r="B677" s="6" t="s">
        <v>1711</v>
      </c>
      <c r="C677" s="6" t="s">
        <v>1712</v>
      </c>
      <c r="D677" s="6" t="s">
        <v>485</v>
      </c>
      <c r="E677" s="6">
        <v>2</v>
      </c>
      <c r="F677" s="6">
        <v>30.59</v>
      </c>
      <c r="G677" s="6">
        <v>61.18</v>
      </c>
      <c r="H677" s="6">
        <v>0</v>
      </c>
      <c r="I677" s="6">
        <v>0</v>
      </c>
    </row>
    <row r="678" spans="2:9" ht="15.75" customHeight="1" x14ac:dyDescent="0.25">
      <c r="B678" s="6" t="s">
        <v>1713</v>
      </c>
      <c r="C678" s="6" t="s">
        <v>1714</v>
      </c>
      <c r="D678" s="6" t="s">
        <v>485</v>
      </c>
      <c r="E678" s="6">
        <v>37</v>
      </c>
      <c r="F678" s="6">
        <v>71.38</v>
      </c>
      <c r="G678" s="6">
        <v>2641.06</v>
      </c>
      <c r="H678" s="6">
        <v>0</v>
      </c>
      <c r="I678" s="6">
        <v>0</v>
      </c>
    </row>
    <row r="679" spans="2:9" ht="15.75" customHeight="1" x14ac:dyDescent="0.25">
      <c r="B679" s="6" t="s">
        <v>1715</v>
      </c>
      <c r="C679" s="6" t="s">
        <v>1716</v>
      </c>
      <c r="D679" s="6" t="s">
        <v>485</v>
      </c>
      <c r="E679" s="6">
        <v>36</v>
      </c>
      <c r="F679" s="6">
        <v>82.71</v>
      </c>
      <c r="G679" s="6">
        <v>2977.56</v>
      </c>
      <c r="H679" s="6">
        <v>0</v>
      </c>
      <c r="I679" s="6">
        <v>0</v>
      </c>
    </row>
    <row r="680" spans="2:9" ht="15.75" customHeight="1" x14ac:dyDescent="0.25">
      <c r="B680" s="6" t="s">
        <v>1717</v>
      </c>
      <c r="C680" s="6" t="s">
        <v>1656</v>
      </c>
      <c r="D680" s="6" t="s">
        <v>485</v>
      </c>
      <c r="E680" s="6">
        <v>29</v>
      </c>
      <c r="F680" s="6">
        <v>111.03</v>
      </c>
      <c r="G680" s="6">
        <v>3219.87</v>
      </c>
      <c r="H680" s="6">
        <v>0</v>
      </c>
      <c r="I680" s="6">
        <v>0</v>
      </c>
    </row>
    <row r="681" spans="2:9" ht="15.75" customHeight="1" x14ac:dyDescent="0.25">
      <c r="B681" s="6" t="s">
        <v>1718</v>
      </c>
      <c r="C681" s="6" t="s">
        <v>1719</v>
      </c>
      <c r="D681" s="6" t="s">
        <v>485</v>
      </c>
      <c r="E681" s="6">
        <v>4</v>
      </c>
      <c r="F681" s="6">
        <v>202.81</v>
      </c>
      <c r="G681" s="6">
        <v>811.24</v>
      </c>
      <c r="H681" s="6">
        <v>0</v>
      </c>
      <c r="I681" s="6">
        <v>0</v>
      </c>
    </row>
    <row r="682" spans="2:9" ht="15.75" customHeight="1" x14ac:dyDescent="0.25">
      <c r="B682" s="6" t="s">
        <v>1720</v>
      </c>
      <c r="C682" s="6" t="s">
        <v>1721</v>
      </c>
      <c r="D682" s="6" t="s">
        <v>485</v>
      </c>
      <c r="E682" s="6">
        <v>4</v>
      </c>
      <c r="F682" s="6">
        <v>202.81</v>
      </c>
      <c r="G682" s="6">
        <v>811.24</v>
      </c>
      <c r="H682" s="6">
        <v>0</v>
      </c>
      <c r="I682" s="6">
        <v>0</v>
      </c>
    </row>
    <row r="683" spans="2:9" ht="15.75" customHeight="1" x14ac:dyDescent="0.25">
      <c r="B683" s="5" t="s">
        <v>1722</v>
      </c>
      <c r="C683" s="5" t="s">
        <v>136</v>
      </c>
      <c r="D683" s="1"/>
      <c r="E683" s="1"/>
      <c r="F683" s="1"/>
      <c r="G683" s="5">
        <v>146907.12</v>
      </c>
      <c r="H683" s="1"/>
      <c r="I683" s="5">
        <v>12000</v>
      </c>
    </row>
    <row r="684" spans="2:9" ht="15.75" customHeight="1" x14ac:dyDescent="0.25">
      <c r="B684" s="6" t="s">
        <v>1723</v>
      </c>
      <c r="C684" s="6" t="s">
        <v>1724</v>
      </c>
      <c r="D684" s="6" t="s">
        <v>558</v>
      </c>
      <c r="E684" s="6">
        <v>16.5</v>
      </c>
      <c r="F684" s="6">
        <v>2038.87</v>
      </c>
      <c r="G684" s="6">
        <v>33641.360000000001</v>
      </c>
      <c r="H684" s="6">
        <v>0</v>
      </c>
      <c r="I684" s="6">
        <v>0</v>
      </c>
    </row>
    <row r="685" spans="2:9" ht="15.75" customHeight="1" x14ac:dyDescent="0.25">
      <c r="B685" s="6" t="s">
        <v>1725</v>
      </c>
      <c r="C685" s="6" t="s">
        <v>1726</v>
      </c>
      <c r="D685" s="6" t="s">
        <v>485</v>
      </c>
      <c r="E685" s="6">
        <v>98</v>
      </c>
      <c r="F685" s="6">
        <v>50</v>
      </c>
      <c r="G685" s="6">
        <v>4900</v>
      </c>
      <c r="H685" s="6">
        <v>0</v>
      </c>
      <c r="I685" s="6">
        <v>0</v>
      </c>
    </row>
    <row r="686" spans="2:9" ht="15.75" customHeight="1" x14ac:dyDescent="0.25">
      <c r="B686" s="6" t="s">
        <v>1727</v>
      </c>
      <c r="C686" s="6" t="s">
        <v>1728</v>
      </c>
      <c r="D686" s="6" t="s">
        <v>485</v>
      </c>
      <c r="E686" s="6">
        <v>49</v>
      </c>
      <c r="F686" s="6">
        <v>50</v>
      </c>
      <c r="G686" s="6">
        <v>2450</v>
      </c>
      <c r="H686" s="6">
        <v>0</v>
      </c>
      <c r="I686" s="6">
        <v>0</v>
      </c>
    </row>
    <row r="687" spans="2:9" ht="15.75" customHeight="1" x14ac:dyDescent="0.25">
      <c r="B687" s="6" t="s">
        <v>1729</v>
      </c>
      <c r="C687" s="6" t="s">
        <v>1730</v>
      </c>
      <c r="D687" s="6" t="s">
        <v>485</v>
      </c>
      <c r="E687" s="6">
        <v>34</v>
      </c>
      <c r="F687" s="6">
        <v>30</v>
      </c>
      <c r="G687" s="6">
        <v>1020</v>
      </c>
      <c r="H687" s="6">
        <v>0</v>
      </c>
      <c r="I687" s="6">
        <v>0</v>
      </c>
    </row>
    <row r="688" spans="2:9" ht="15.75" customHeight="1" x14ac:dyDescent="0.25">
      <c r="B688" s="6" t="s">
        <v>1731</v>
      </c>
      <c r="C688" s="6" t="s">
        <v>1732</v>
      </c>
      <c r="D688" s="6" t="s">
        <v>485</v>
      </c>
      <c r="E688" s="6">
        <v>10</v>
      </c>
      <c r="F688" s="6">
        <v>230</v>
      </c>
      <c r="G688" s="6">
        <v>2300</v>
      </c>
      <c r="H688" s="6">
        <v>0</v>
      </c>
      <c r="I688" s="6">
        <v>0</v>
      </c>
    </row>
    <row r="689" spans="2:9" ht="15.75" customHeight="1" x14ac:dyDescent="0.25">
      <c r="B689" s="6" t="s">
        <v>1733</v>
      </c>
      <c r="C689" s="6" t="s">
        <v>1734</v>
      </c>
      <c r="D689" s="6" t="s">
        <v>485</v>
      </c>
      <c r="E689" s="6">
        <v>122</v>
      </c>
      <c r="F689" s="6">
        <v>120</v>
      </c>
      <c r="G689" s="6">
        <v>14640</v>
      </c>
      <c r="H689" s="6">
        <v>0</v>
      </c>
      <c r="I689" s="6">
        <v>0</v>
      </c>
    </row>
    <row r="690" spans="2:9" ht="15.75" customHeight="1" x14ac:dyDescent="0.25">
      <c r="B690" s="6" t="s">
        <v>1735</v>
      </c>
      <c r="C690" s="6" t="s">
        <v>1736</v>
      </c>
      <c r="D690" s="6" t="s">
        <v>485</v>
      </c>
      <c r="E690" s="6">
        <v>0</v>
      </c>
      <c r="F690" s="6">
        <v>715</v>
      </c>
      <c r="G690" s="6">
        <v>0</v>
      </c>
      <c r="H690" s="6">
        <v>0</v>
      </c>
      <c r="I690" s="6">
        <v>0</v>
      </c>
    </row>
    <row r="691" spans="2:9" ht="15.75" customHeight="1" x14ac:dyDescent="0.25">
      <c r="B691" s="6" t="s">
        <v>1737</v>
      </c>
      <c r="C691" s="6" t="s">
        <v>1738</v>
      </c>
      <c r="D691" s="6" t="s">
        <v>485</v>
      </c>
      <c r="E691" s="6">
        <v>0</v>
      </c>
      <c r="F691" s="6">
        <v>165</v>
      </c>
      <c r="G691" s="6">
        <v>0</v>
      </c>
      <c r="H691" s="6">
        <v>0</v>
      </c>
      <c r="I691" s="6">
        <v>0</v>
      </c>
    </row>
    <row r="692" spans="2:9" ht="15.75" customHeight="1" x14ac:dyDescent="0.25">
      <c r="B692" s="6" t="s">
        <v>1739</v>
      </c>
      <c r="C692" s="6" t="s">
        <v>1740</v>
      </c>
      <c r="D692" s="6" t="s">
        <v>485</v>
      </c>
      <c r="E692" s="6">
        <v>0</v>
      </c>
      <c r="F692" s="6">
        <v>165</v>
      </c>
      <c r="G692" s="6">
        <v>0</v>
      </c>
      <c r="H692" s="6">
        <v>0</v>
      </c>
      <c r="I692" s="6">
        <v>0</v>
      </c>
    </row>
    <row r="693" spans="2:9" ht="15.75" customHeight="1" x14ac:dyDescent="0.25">
      <c r="B693" s="6" t="s">
        <v>1741</v>
      </c>
      <c r="C693" s="6" t="s">
        <v>1742</v>
      </c>
      <c r="D693" s="6" t="s">
        <v>485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</row>
    <row r="694" spans="2:9" ht="15.75" customHeight="1" x14ac:dyDescent="0.25">
      <c r="B694" s="6" t="s">
        <v>1743</v>
      </c>
      <c r="C694" s="6" t="s">
        <v>1744</v>
      </c>
      <c r="D694" s="6" t="s">
        <v>485</v>
      </c>
      <c r="E694" s="6">
        <v>8</v>
      </c>
      <c r="F694" s="6">
        <v>70</v>
      </c>
      <c r="G694" s="6">
        <v>560</v>
      </c>
      <c r="H694" s="6">
        <v>0</v>
      </c>
      <c r="I694" s="6">
        <v>0</v>
      </c>
    </row>
    <row r="695" spans="2:9" ht="15.75" customHeight="1" x14ac:dyDescent="0.25">
      <c r="B695" s="6" t="s">
        <v>1745</v>
      </c>
      <c r="C695" s="6" t="s">
        <v>1746</v>
      </c>
      <c r="D695" s="6" t="s">
        <v>485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</row>
    <row r="696" spans="2:9" ht="15.75" customHeight="1" x14ac:dyDescent="0.25">
      <c r="B696" s="6" t="s">
        <v>1747</v>
      </c>
      <c r="C696" s="6" t="s">
        <v>1748</v>
      </c>
      <c r="D696" s="6" t="s">
        <v>485</v>
      </c>
      <c r="E696" s="6">
        <v>1</v>
      </c>
      <c r="F696" s="6">
        <v>70</v>
      </c>
      <c r="G696" s="6">
        <v>70</v>
      </c>
      <c r="H696" s="6">
        <v>0</v>
      </c>
      <c r="I696" s="6">
        <v>0</v>
      </c>
    </row>
    <row r="697" spans="2:9" ht="15.75" customHeight="1" x14ac:dyDescent="0.25">
      <c r="B697" s="6" t="s">
        <v>1749</v>
      </c>
      <c r="C697" s="6" t="s">
        <v>1750</v>
      </c>
      <c r="D697" s="6" t="s">
        <v>485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</row>
    <row r="698" spans="2:9" ht="15.75" customHeight="1" x14ac:dyDescent="0.25">
      <c r="B698" s="6" t="s">
        <v>1751</v>
      </c>
      <c r="C698" s="6" t="s">
        <v>1752</v>
      </c>
      <c r="D698" s="6" t="s">
        <v>485</v>
      </c>
      <c r="E698" s="6">
        <v>80</v>
      </c>
      <c r="F698" s="6">
        <v>70</v>
      </c>
      <c r="G698" s="6">
        <v>5600</v>
      </c>
      <c r="H698" s="6">
        <v>0</v>
      </c>
      <c r="I698" s="6">
        <v>0</v>
      </c>
    </row>
    <row r="699" spans="2:9" ht="15.75" customHeight="1" x14ac:dyDescent="0.25">
      <c r="B699" s="6" t="s">
        <v>1753</v>
      </c>
      <c r="C699" s="6" t="s">
        <v>1754</v>
      </c>
      <c r="D699" s="6" t="s">
        <v>485</v>
      </c>
      <c r="E699" s="6">
        <v>57</v>
      </c>
      <c r="F699" s="6">
        <v>65</v>
      </c>
      <c r="G699" s="6">
        <v>3705</v>
      </c>
      <c r="H699" s="6">
        <v>0</v>
      </c>
      <c r="I699" s="6">
        <v>0</v>
      </c>
    </row>
    <row r="700" spans="2:9" ht="15.75" customHeight="1" x14ac:dyDescent="0.25">
      <c r="B700" s="6" t="s">
        <v>1755</v>
      </c>
      <c r="C700" s="6" t="s">
        <v>1756</v>
      </c>
      <c r="D700" s="6" t="s">
        <v>34</v>
      </c>
      <c r="E700" s="6">
        <v>37.950000000000003</v>
      </c>
      <c r="F700" s="6">
        <v>190.46</v>
      </c>
      <c r="G700" s="6">
        <v>7227.96</v>
      </c>
      <c r="H700" s="6">
        <v>0</v>
      </c>
      <c r="I700" s="6">
        <v>0</v>
      </c>
    </row>
    <row r="701" spans="2:9" ht="15.75" customHeight="1" x14ac:dyDescent="0.25">
      <c r="B701" s="6" t="s">
        <v>1757</v>
      </c>
      <c r="C701" s="6" t="s">
        <v>1758</v>
      </c>
      <c r="D701" s="6" t="s">
        <v>34</v>
      </c>
      <c r="E701" s="6">
        <v>12.84</v>
      </c>
      <c r="F701" s="6">
        <v>70</v>
      </c>
      <c r="G701" s="6">
        <v>898.8</v>
      </c>
      <c r="H701" s="6">
        <v>0</v>
      </c>
      <c r="I701" s="6">
        <v>0</v>
      </c>
    </row>
    <row r="702" spans="2:9" ht="15.75" customHeight="1" x14ac:dyDescent="0.25">
      <c r="B702" s="6" t="s">
        <v>1759</v>
      </c>
      <c r="C702" s="6" t="s">
        <v>1760</v>
      </c>
      <c r="D702" s="6" t="s">
        <v>485</v>
      </c>
      <c r="E702" s="6">
        <v>6</v>
      </c>
      <c r="F702" s="6">
        <v>8140</v>
      </c>
      <c r="G702" s="6">
        <v>48840</v>
      </c>
      <c r="H702" s="6">
        <v>0</v>
      </c>
      <c r="I702" s="6">
        <v>0</v>
      </c>
    </row>
    <row r="703" spans="2:9" ht="15.75" customHeight="1" x14ac:dyDescent="0.25">
      <c r="B703" s="6" t="s">
        <v>1761</v>
      </c>
      <c r="C703" s="6" t="s">
        <v>1762</v>
      </c>
      <c r="D703" s="6" t="s">
        <v>485</v>
      </c>
      <c r="E703" s="6">
        <v>6</v>
      </c>
      <c r="F703" s="6">
        <v>190</v>
      </c>
      <c r="G703" s="6">
        <v>1140</v>
      </c>
      <c r="H703" s="6">
        <v>0</v>
      </c>
      <c r="I703" s="6">
        <v>0</v>
      </c>
    </row>
    <row r="704" spans="2:9" ht="15.75" customHeight="1" x14ac:dyDescent="0.25">
      <c r="B704" s="6" t="s">
        <v>1763</v>
      </c>
      <c r="C704" s="6" t="s">
        <v>1764</v>
      </c>
      <c r="D704" s="6" t="s">
        <v>485</v>
      </c>
      <c r="E704" s="6">
        <v>1</v>
      </c>
      <c r="F704" s="6">
        <v>0</v>
      </c>
      <c r="G704" s="6">
        <v>0</v>
      </c>
      <c r="H704" s="6">
        <v>12000</v>
      </c>
      <c r="I704" s="6">
        <v>12000</v>
      </c>
    </row>
    <row r="705" spans="2:9" ht="15.75" customHeight="1" x14ac:dyDescent="0.25">
      <c r="B705" s="6" t="s">
        <v>1765</v>
      </c>
      <c r="C705" s="6" t="s">
        <v>1766</v>
      </c>
      <c r="D705" s="6" t="s">
        <v>34</v>
      </c>
      <c r="E705" s="6">
        <v>33.19</v>
      </c>
      <c r="F705" s="6">
        <v>600</v>
      </c>
      <c r="G705" s="6">
        <v>19914</v>
      </c>
      <c r="H705" s="6">
        <v>0</v>
      </c>
      <c r="I705" s="6">
        <v>0</v>
      </c>
    </row>
    <row r="706" spans="2:9" ht="15.75" customHeight="1" x14ac:dyDescent="0.25">
      <c r="B706" s="5" t="s">
        <v>1767</v>
      </c>
      <c r="C706" s="5" t="s">
        <v>1768</v>
      </c>
      <c r="D706" s="1"/>
      <c r="E706" s="1"/>
      <c r="F706" s="1"/>
      <c r="G706" s="5">
        <v>280280.38</v>
      </c>
      <c r="H706" s="1"/>
      <c r="I706" s="5">
        <v>43983.63</v>
      </c>
    </row>
    <row r="707" spans="2:9" ht="15.75" customHeight="1" x14ac:dyDescent="0.25">
      <c r="B707" s="7" t="s">
        <v>1769</v>
      </c>
      <c r="C707" s="7" t="s">
        <v>1770</v>
      </c>
      <c r="D707" s="1"/>
      <c r="E707" s="1"/>
      <c r="F707" s="1"/>
      <c r="G707" s="7">
        <v>58800</v>
      </c>
      <c r="H707" s="1"/>
      <c r="I707" s="7">
        <v>0</v>
      </c>
    </row>
    <row r="708" spans="2:9" ht="15.75" customHeight="1" x14ac:dyDescent="0.25">
      <c r="B708" s="6" t="s">
        <v>1771</v>
      </c>
      <c r="C708" s="6" t="s">
        <v>1772</v>
      </c>
      <c r="D708" s="6" t="s">
        <v>20</v>
      </c>
      <c r="E708" s="6">
        <v>49</v>
      </c>
      <c r="F708" s="6">
        <v>1200</v>
      </c>
      <c r="G708" s="6">
        <v>58800</v>
      </c>
      <c r="H708" s="6">
        <v>0</v>
      </c>
      <c r="I708" s="6">
        <v>0</v>
      </c>
    </row>
    <row r="709" spans="2:9" ht="15.75" customHeight="1" x14ac:dyDescent="0.25">
      <c r="B709" s="7" t="s">
        <v>1773</v>
      </c>
      <c r="C709" s="7" t="s">
        <v>1774</v>
      </c>
      <c r="D709" s="1"/>
      <c r="E709" s="1"/>
      <c r="F709" s="1"/>
      <c r="G709" s="7">
        <v>38000</v>
      </c>
      <c r="H709" s="1"/>
      <c r="I709" s="7">
        <v>0</v>
      </c>
    </row>
    <row r="710" spans="2:9" ht="15.75" customHeight="1" x14ac:dyDescent="0.25">
      <c r="B710" s="6" t="s">
        <v>1775</v>
      </c>
      <c r="C710" s="6" t="s">
        <v>491</v>
      </c>
      <c r="D710" s="6" t="s">
        <v>112</v>
      </c>
      <c r="E710" s="6">
        <v>190</v>
      </c>
      <c r="F710" s="6">
        <v>200</v>
      </c>
      <c r="G710" s="6">
        <v>38000</v>
      </c>
      <c r="H710" s="6">
        <v>0</v>
      </c>
      <c r="I710" s="6">
        <v>0</v>
      </c>
    </row>
    <row r="711" spans="2:9" ht="15.75" customHeight="1" x14ac:dyDescent="0.25">
      <c r="B711" s="7" t="s">
        <v>1776</v>
      </c>
      <c r="C711" s="7" t="s">
        <v>1777</v>
      </c>
      <c r="D711" s="1"/>
      <c r="E711" s="1"/>
      <c r="F711" s="1"/>
      <c r="G711" s="7">
        <v>40826.11</v>
      </c>
      <c r="H711" s="1"/>
      <c r="I711" s="7">
        <v>0</v>
      </c>
    </row>
    <row r="712" spans="2:9" ht="15.75" customHeight="1" x14ac:dyDescent="0.25">
      <c r="B712" s="6" t="s">
        <v>1778</v>
      </c>
      <c r="C712" s="6" t="s">
        <v>1779</v>
      </c>
      <c r="D712" s="6" t="s">
        <v>457</v>
      </c>
      <c r="E712" s="6">
        <v>797.4</v>
      </c>
      <c r="F712" s="6">
        <v>28.68</v>
      </c>
      <c r="G712" s="6">
        <v>22869.43</v>
      </c>
      <c r="H712" s="6">
        <v>0</v>
      </c>
      <c r="I712" s="6">
        <v>0</v>
      </c>
    </row>
    <row r="713" spans="2:9" ht="15.75" customHeight="1" x14ac:dyDescent="0.25">
      <c r="B713" s="6" t="s">
        <v>1780</v>
      </c>
      <c r="C713" s="6" t="s">
        <v>1781</v>
      </c>
      <c r="D713" s="6" t="s">
        <v>34</v>
      </c>
      <c r="E713" s="6">
        <v>349.42</v>
      </c>
      <c r="F713" s="6">
        <v>12</v>
      </c>
      <c r="G713" s="6">
        <v>4193.04</v>
      </c>
      <c r="H713" s="6">
        <v>0</v>
      </c>
      <c r="I713" s="6">
        <v>0</v>
      </c>
    </row>
    <row r="714" spans="2:9" ht="15.75" customHeight="1" x14ac:dyDescent="0.25">
      <c r="B714" s="6" t="s">
        <v>1782</v>
      </c>
      <c r="C714" s="6" t="s">
        <v>1783</v>
      </c>
      <c r="D714" s="6" t="s">
        <v>34</v>
      </c>
      <c r="E714" s="6">
        <v>1146.97</v>
      </c>
      <c r="F714" s="6">
        <v>12</v>
      </c>
      <c r="G714" s="6">
        <v>13763.64</v>
      </c>
      <c r="H714" s="6">
        <v>0</v>
      </c>
      <c r="I714" s="6">
        <v>0</v>
      </c>
    </row>
    <row r="715" spans="2:9" ht="15.75" customHeight="1" x14ac:dyDescent="0.25">
      <c r="B715" s="7" t="s">
        <v>1784</v>
      </c>
      <c r="C715" s="7" t="s">
        <v>1785</v>
      </c>
      <c r="D715" s="1"/>
      <c r="E715" s="1"/>
      <c r="F715" s="1"/>
      <c r="G715" s="7">
        <v>24373.1</v>
      </c>
      <c r="H715" s="1"/>
      <c r="I715" s="7">
        <v>12521.5</v>
      </c>
    </row>
    <row r="716" spans="2:9" ht="15.75" customHeight="1" x14ac:dyDescent="0.25">
      <c r="B716" s="6" t="s">
        <v>1786</v>
      </c>
      <c r="C716" s="6" t="s">
        <v>1787</v>
      </c>
      <c r="D716" s="6" t="s">
        <v>485</v>
      </c>
      <c r="E716" s="6">
        <v>1</v>
      </c>
      <c r="F716" s="6">
        <v>648</v>
      </c>
      <c r="G716" s="6">
        <v>648</v>
      </c>
      <c r="H716" s="6">
        <v>0</v>
      </c>
      <c r="I716" s="6">
        <v>0</v>
      </c>
    </row>
    <row r="717" spans="2:9" ht="15.75" customHeight="1" x14ac:dyDescent="0.25">
      <c r="B717" s="6" t="s">
        <v>1788</v>
      </c>
      <c r="C717" s="104" t="s">
        <v>1789</v>
      </c>
      <c r="D717" s="104" t="s">
        <v>20</v>
      </c>
      <c r="E717" s="104">
        <v>1</v>
      </c>
      <c r="F717" s="104">
        <v>6480</v>
      </c>
      <c r="G717" s="6">
        <v>6480</v>
      </c>
      <c r="H717" s="6">
        <v>0</v>
      </c>
      <c r="I717" s="6">
        <v>0</v>
      </c>
    </row>
    <row r="718" spans="2:9" ht="15.75" customHeight="1" x14ac:dyDescent="0.25">
      <c r="B718" s="6" t="s">
        <v>1790</v>
      </c>
      <c r="C718" s="6" t="s">
        <v>1791</v>
      </c>
      <c r="D718" s="6" t="s">
        <v>20</v>
      </c>
      <c r="E718" s="6">
        <v>1</v>
      </c>
      <c r="F718" s="6">
        <v>8100</v>
      </c>
      <c r="G718" s="6">
        <v>8100</v>
      </c>
      <c r="H718" s="6">
        <v>0</v>
      </c>
      <c r="I718" s="6">
        <v>0</v>
      </c>
    </row>
    <row r="719" spans="2:9" ht="15.75" customHeight="1" x14ac:dyDescent="0.25">
      <c r="B719" s="6" t="s">
        <v>1792</v>
      </c>
      <c r="C719" s="6" t="s">
        <v>1793</v>
      </c>
      <c r="D719" s="6" t="s">
        <v>34</v>
      </c>
      <c r="E719" s="6">
        <v>9.5</v>
      </c>
      <c r="F719" s="6">
        <v>70</v>
      </c>
      <c r="G719" s="6">
        <v>665</v>
      </c>
      <c r="H719" s="6">
        <v>0</v>
      </c>
      <c r="I719" s="6">
        <v>0</v>
      </c>
    </row>
    <row r="720" spans="2:9" ht="15.75" customHeight="1" x14ac:dyDescent="0.25">
      <c r="B720" s="6" t="s">
        <v>1794</v>
      </c>
      <c r="C720" s="6" t="s">
        <v>1795</v>
      </c>
      <c r="D720" s="6" t="s">
        <v>34</v>
      </c>
      <c r="E720" s="6">
        <v>12</v>
      </c>
      <c r="F720" s="6">
        <v>25</v>
      </c>
      <c r="G720" s="6">
        <v>300</v>
      </c>
      <c r="H720" s="6">
        <v>0</v>
      </c>
      <c r="I720" s="6">
        <v>0</v>
      </c>
    </row>
    <row r="721" spans="2:9" ht="15.75" customHeight="1" x14ac:dyDescent="0.25">
      <c r="B721" s="6" t="s">
        <v>1796</v>
      </c>
      <c r="C721" s="6" t="s">
        <v>1797</v>
      </c>
      <c r="D721" s="6" t="s">
        <v>34</v>
      </c>
      <c r="E721" s="6">
        <v>6</v>
      </c>
      <c r="F721" s="6">
        <v>20</v>
      </c>
      <c r="G721" s="6">
        <v>120</v>
      </c>
      <c r="H721" s="6">
        <v>0</v>
      </c>
      <c r="I721" s="6">
        <v>0</v>
      </c>
    </row>
    <row r="722" spans="2:9" ht="15.75" customHeight="1" x14ac:dyDescent="0.25">
      <c r="B722" s="6" t="s">
        <v>1798</v>
      </c>
      <c r="C722" s="6" t="s">
        <v>1799</v>
      </c>
      <c r="D722" s="6" t="s">
        <v>485</v>
      </c>
      <c r="E722" s="6">
        <v>2</v>
      </c>
      <c r="F722" s="6">
        <v>0</v>
      </c>
      <c r="G722" s="6">
        <v>0</v>
      </c>
      <c r="H722" s="6">
        <v>682</v>
      </c>
      <c r="I722" s="6">
        <v>1364</v>
      </c>
    </row>
    <row r="723" spans="2:9" ht="15.75" customHeight="1" x14ac:dyDescent="0.25">
      <c r="B723" s="6" t="s">
        <v>1800</v>
      </c>
      <c r="C723" s="6" t="s">
        <v>1801</v>
      </c>
      <c r="D723" s="6" t="s">
        <v>485</v>
      </c>
      <c r="E723" s="6">
        <v>1</v>
      </c>
      <c r="F723" s="6">
        <v>0</v>
      </c>
      <c r="G723" s="6">
        <v>0</v>
      </c>
      <c r="H723" s="6">
        <v>932</v>
      </c>
      <c r="I723" s="6">
        <v>932</v>
      </c>
    </row>
    <row r="724" spans="2:9" ht="15.75" customHeight="1" x14ac:dyDescent="0.25">
      <c r="B724" s="6" t="s">
        <v>1802</v>
      </c>
      <c r="C724" s="6" t="s">
        <v>1803</v>
      </c>
      <c r="D724" s="6" t="s">
        <v>34</v>
      </c>
      <c r="E724" s="6">
        <v>20.05</v>
      </c>
      <c r="F724" s="6">
        <v>402</v>
      </c>
      <c r="G724" s="6">
        <v>8060.1</v>
      </c>
      <c r="H724" s="6">
        <v>510</v>
      </c>
      <c r="I724" s="6">
        <v>10225.5</v>
      </c>
    </row>
    <row r="725" spans="2:9" ht="15.75" customHeight="1" x14ac:dyDescent="0.25">
      <c r="B725" s="7" t="s">
        <v>1804</v>
      </c>
      <c r="C725" s="7" t="s">
        <v>1805</v>
      </c>
      <c r="D725" s="1"/>
      <c r="E725" s="1"/>
      <c r="F725" s="1"/>
      <c r="G725" s="7">
        <v>19992</v>
      </c>
      <c r="H725" s="1"/>
      <c r="I725" s="7">
        <v>0</v>
      </c>
    </row>
    <row r="726" spans="2:9" ht="15.75" customHeight="1" x14ac:dyDescent="0.25">
      <c r="B726" s="6" t="s">
        <v>1806</v>
      </c>
      <c r="C726" s="6" t="s">
        <v>1807</v>
      </c>
      <c r="D726" s="6" t="s">
        <v>112</v>
      </c>
      <c r="E726" s="6">
        <v>6</v>
      </c>
      <c r="F726" s="6">
        <v>132</v>
      </c>
      <c r="G726" s="6">
        <v>792</v>
      </c>
      <c r="H726" s="6">
        <v>0</v>
      </c>
      <c r="I726" s="6">
        <v>0</v>
      </c>
    </row>
    <row r="727" spans="2:9" ht="15.75" customHeight="1" x14ac:dyDescent="0.25">
      <c r="B727" s="6" t="s">
        <v>1808</v>
      </c>
      <c r="C727" s="6" t="s">
        <v>1809</v>
      </c>
      <c r="D727" s="6" t="s">
        <v>112</v>
      </c>
      <c r="E727" s="6">
        <v>10</v>
      </c>
      <c r="F727" s="6">
        <v>846.8</v>
      </c>
      <c r="G727" s="6">
        <v>8468</v>
      </c>
      <c r="H727" s="6">
        <v>0</v>
      </c>
      <c r="I727" s="6">
        <v>0</v>
      </c>
    </row>
    <row r="728" spans="2:9" ht="15.75" customHeight="1" x14ac:dyDescent="0.25">
      <c r="B728" s="6" t="s">
        <v>1810</v>
      </c>
      <c r="C728" s="6" t="s">
        <v>1811</v>
      </c>
      <c r="D728" s="6" t="s">
        <v>112</v>
      </c>
      <c r="E728" s="6">
        <v>10</v>
      </c>
      <c r="F728" s="6">
        <v>490.4</v>
      </c>
      <c r="G728" s="6">
        <v>4904</v>
      </c>
      <c r="H728" s="6">
        <v>0</v>
      </c>
      <c r="I728" s="6">
        <v>0</v>
      </c>
    </row>
    <row r="729" spans="2:9" ht="15.75" customHeight="1" x14ac:dyDescent="0.25">
      <c r="B729" s="6" t="s">
        <v>1812</v>
      </c>
      <c r="C729" s="6" t="s">
        <v>1813</v>
      </c>
      <c r="D729" s="6" t="s">
        <v>112</v>
      </c>
      <c r="E729" s="6">
        <v>10</v>
      </c>
      <c r="F729" s="6">
        <v>582.79999999999995</v>
      </c>
      <c r="G729" s="6">
        <v>5828</v>
      </c>
      <c r="H729" s="6">
        <v>0</v>
      </c>
      <c r="I729" s="6">
        <v>0</v>
      </c>
    </row>
    <row r="730" spans="2:9" ht="15.75" customHeight="1" x14ac:dyDescent="0.25">
      <c r="B730" s="7" t="s">
        <v>1814</v>
      </c>
      <c r="C730" s="7" t="s">
        <v>1815</v>
      </c>
      <c r="D730" s="1"/>
      <c r="E730" s="1"/>
      <c r="F730" s="1"/>
      <c r="G730" s="7">
        <v>56</v>
      </c>
      <c r="H730" s="1"/>
      <c r="I730" s="7">
        <v>1485.24</v>
      </c>
    </row>
    <row r="731" spans="2:9" ht="15.75" customHeight="1" x14ac:dyDescent="0.25">
      <c r="B731" s="6" t="s">
        <v>1816</v>
      </c>
      <c r="C731" s="6" t="s">
        <v>1817</v>
      </c>
      <c r="D731" s="6" t="s">
        <v>485</v>
      </c>
      <c r="E731" s="6">
        <v>6</v>
      </c>
      <c r="F731" s="6">
        <v>8</v>
      </c>
      <c r="G731" s="6">
        <v>48</v>
      </c>
      <c r="H731" s="6">
        <v>69.98</v>
      </c>
      <c r="I731" s="6">
        <v>419.88</v>
      </c>
    </row>
    <row r="732" spans="2:9" ht="15.75" customHeight="1" x14ac:dyDescent="0.25">
      <c r="B732" s="6" t="s">
        <v>1818</v>
      </c>
      <c r="C732" s="6" t="s">
        <v>1819</v>
      </c>
      <c r="D732" s="6" t="s">
        <v>485</v>
      </c>
      <c r="E732" s="6">
        <v>6</v>
      </c>
      <c r="F732" s="6">
        <v>0</v>
      </c>
      <c r="G732" s="6">
        <v>0</v>
      </c>
      <c r="H732" s="6">
        <v>145.28</v>
      </c>
      <c r="I732" s="6">
        <v>871.68</v>
      </c>
    </row>
    <row r="733" spans="2:9" ht="15.75" customHeight="1" x14ac:dyDescent="0.25">
      <c r="B733" s="6" t="s">
        <v>1820</v>
      </c>
      <c r="C733" s="6" t="s">
        <v>1821</v>
      </c>
      <c r="D733" s="6" t="s">
        <v>485</v>
      </c>
      <c r="E733" s="6">
        <v>1</v>
      </c>
      <c r="F733" s="6">
        <v>8</v>
      </c>
      <c r="G733" s="6">
        <v>8</v>
      </c>
      <c r="H733" s="6">
        <v>60.53</v>
      </c>
      <c r="I733" s="6">
        <v>60.53</v>
      </c>
    </row>
    <row r="734" spans="2:9" ht="15.75" customHeight="1" x14ac:dyDescent="0.25">
      <c r="B734" s="6" t="s">
        <v>1822</v>
      </c>
      <c r="C734" s="6" t="s">
        <v>1823</v>
      </c>
      <c r="D734" s="6" t="s">
        <v>485</v>
      </c>
      <c r="E734" s="6">
        <v>1</v>
      </c>
      <c r="F734" s="6">
        <v>0</v>
      </c>
      <c r="G734" s="6">
        <v>0</v>
      </c>
      <c r="H734" s="6">
        <v>133.15</v>
      </c>
      <c r="I734" s="6">
        <v>133.15</v>
      </c>
    </row>
    <row r="735" spans="2:9" ht="15.75" customHeight="1" x14ac:dyDescent="0.25">
      <c r="B735" s="7" t="s">
        <v>1824</v>
      </c>
      <c r="C735" s="7" t="s">
        <v>1825</v>
      </c>
      <c r="D735" s="1"/>
      <c r="E735" s="1"/>
      <c r="F735" s="1"/>
      <c r="G735" s="7">
        <v>0</v>
      </c>
      <c r="H735" s="1"/>
      <c r="I735" s="7">
        <v>29976.89</v>
      </c>
    </row>
    <row r="736" spans="2:9" ht="15.75" customHeight="1" x14ac:dyDescent="0.25">
      <c r="B736" s="6" t="s">
        <v>1826</v>
      </c>
      <c r="C736" s="6" t="s">
        <v>1827</v>
      </c>
      <c r="D736" s="6" t="s">
        <v>485</v>
      </c>
      <c r="E736" s="6">
        <v>8</v>
      </c>
      <c r="F736" s="6">
        <v>0</v>
      </c>
      <c r="G736" s="6">
        <v>0</v>
      </c>
      <c r="H736" s="6">
        <v>826.58</v>
      </c>
      <c r="I736" s="6">
        <v>6612.64</v>
      </c>
    </row>
    <row r="737" spans="2:9" ht="15.75" customHeight="1" x14ac:dyDescent="0.25">
      <c r="B737" s="6" t="s">
        <v>1828</v>
      </c>
      <c r="C737" s="6" t="s">
        <v>1829</v>
      </c>
      <c r="D737" s="6" t="s">
        <v>485</v>
      </c>
      <c r="E737" s="6">
        <v>2</v>
      </c>
      <c r="F737" s="6">
        <v>0</v>
      </c>
      <c r="G737" s="6">
        <v>0</v>
      </c>
      <c r="H737" s="6">
        <v>887.13</v>
      </c>
      <c r="I737" s="6">
        <v>1774.26</v>
      </c>
    </row>
    <row r="738" spans="2:9" ht="15.75" customHeight="1" x14ac:dyDescent="0.25">
      <c r="B738" s="6" t="s">
        <v>1830</v>
      </c>
      <c r="C738" s="6" t="s">
        <v>1831</v>
      </c>
      <c r="D738" s="6" t="s">
        <v>485</v>
      </c>
      <c r="E738" s="6">
        <v>8</v>
      </c>
      <c r="F738" s="6">
        <v>0</v>
      </c>
      <c r="G738" s="6">
        <v>0</v>
      </c>
      <c r="H738" s="6">
        <v>92.36</v>
      </c>
      <c r="I738" s="6">
        <v>738.88</v>
      </c>
    </row>
    <row r="739" spans="2:9" ht="15.75" customHeight="1" x14ac:dyDescent="0.25">
      <c r="B739" s="6" t="s">
        <v>1832</v>
      </c>
      <c r="C739" s="6" t="s">
        <v>1833</v>
      </c>
      <c r="D739" s="6" t="s">
        <v>485</v>
      </c>
      <c r="E739" s="6">
        <v>1</v>
      </c>
      <c r="F739" s="6">
        <v>0</v>
      </c>
      <c r="G739" s="6">
        <v>0</v>
      </c>
      <c r="H739" s="6">
        <v>126.2</v>
      </c>
      <c r="I739" s="6">
        <v>126.2</v>
      </c>
    </row>
    <row r="740" spans="2:9" ht="15.75" customHeight="1" x14ac:dyDescent="0.25">
      <c r="B740" s="6" t="s">
        <v>1834</v>
      </c>
      <c r="C740" s="6" t="s">
        <v>1835</v>
      </c>
      <c r="D740" s="6" t="s">
        <v>485</v>
      </c>
      <c r="E740" s="6">
        <v>9</v>
      </c>
      <c r="F740" s="6">
        <v>0</v>
      </c>
      <c r="G740" s="6">
        <v>0</v>
      </c>
      <c r="H740" s="6">
        <v>780.67</v>
      </c>
      <c r="I740" s="6">
        <v>7026.03</v>
      </c>
    </row>
    <row r="741" spans="2:9" ht="15.75" customHeight="1" x14ac:dyDescent="0.25">
      <c r="B741" s="6" t="s">
        <v>1836</v>
      </c>
      <c r="C741" s="6" t="s">
        <v>1837</v>
      </c>
      <c r="D741" s="6" t="s">
        <v>485</v>
      </c>
      <c r="E741" s="6">
        <v>8</v>
      </c>
      <c r="F741" s="6">
        <v>0</v>
      </c>
      <c r="G741" s="6">
        <v>0</v>
      </c>
      <c r="H741" s="6">
        <v>603.44000000000005</v>
      </c>
      <c r="I741" s="6">
        <v>4827.5200000000004</v>
      </c>
    </row>
    <row r="742" spans="2:9" ht="15.75" customHeight="1" x14ac:dyDescent="0.25">
      <c r="B742" s="6" t="s">
        <v>1838</v>
      </c>
      <c r="C742" s="6" t="s">
        <v>1839</v>
      </c>
      <c r="D742" s="6" t="s">
        <v>485</v>
      </c>
      <c r="E742" s="6">
        <v>8</v>
      </c>
      <c r="F742" s="6">
        <v>0</v>
      </c>
      <c r="G742" s="6">
        <v>0</v>
      </c>
      <c r="H742" s="6">
        <v>576.64</v>
      </c>
      <c r="I742" s="6">
        <v>4613.12</v>
      </c>
    </row>
    <row r="743" spans="2:9" ht="15.75" customHeight="1" x14ac:dyDescent="0.25">
      <c r="B743" s="6" t="s">
        <v>1840</v>
      </c>
      <c r="C743" s="6" t="s">
        <v>1841</v>
      </c>
      <c r="D743" s="6" t="s">
        <v>485</v>
      </c>
      <c r="E743" s="6">
        <v>8</v>
      </c>
      <c r="F743" s="6">
        <v>0</v>
      </c>
      <c r="G743" s="6">
        <v>0</v>
      </c>
      <c r="H743" s="6">
        <v>532.28</v>
      </c>
      <c r="I743" s="6">
        <v>4258.24</v>
      </c>
    </row>
    <row r="744" spans="2:9" ht="15.75" customHeight="1" x14ac:dyDescent="0.25">
      <c r="B744" s="7" t="s">
        <v>1842</v>
      </c>
      <c r="C744" s="7" t="s">
        <v>1843</v>
      </c>
      <c r="D744" s="1"/>
      <c r="E744" s="1"/>
      <c r="F744" s="1"/>
      <c r="G744" s="7">
        <v>56789.72</v>
      </c>
      <c r="H744" s="1"/>
      <c r="I744" s="7">
        <v>0</v>
      </c>
    </row>
    <row r="745" spans="2:9" ht="15.75" customHeight="1" x14ac:dyDescent="0.25">
      <c r="B745" s="6" t="s">
        <v>1844</v>
      </c>
      <c r="C745" s="6" t="s">
        <v>1845</v>
      </c>
      <c r="D745" s="6" t="s">
        <v>485</v>
      </c>
      <c r="E745" s="6">
        <v>26</v>
      </c>
      <c r="F745" s="6">
        <v>2184.2199999999998</v>
      </c>
      <c r="G745" s="6">
        <v>56789.72</v>
      </c>
      <c r="H745" s="6">
        <v>0</v>
      </c>
      <c r="I745" s="6">
        <v>0</v>
      </c>
    </row>
    <row r="746" spans="2:9" ht="15.75" customHeight="1" x14ac:dyDescent="0.25">
      <c r="B746" s="7" t="s">
        <v>1846</v>
      </c>
      <c r="C746" s="7" t="s">
        <v>628</v>
      </c>
      <c r="D746" s="1"/>
      <c r="E746" s="1"/>
      <c r="F746" s="1"/>
      <c r="G746" s="7">
        <v>41443.449999999997</v>
      </c>
      <c r="H746" s="1"/>
      <c r="I746" s="7">
        <v>0</v>
      </c>
    </row>
    <row r="747" spans="2:9" ht="15.75" customHeight="1" x14ac:dyDescent="0.25">
      <c r="B747" s="6" t="s">
        <v>1847</v>
      </c>
      <c r="C747" s="6" t="s">
        <v>1848</v>
      </c>
      <c r="D747" s="6" t="s">
        <v>34</v>
      </c>
      <c r="E747" s="6">
        <v>105</v>
      </c>
      <c r="F747" s="6">
        <v>90.89</v>
      </c>
      <c r="G747" s="6">
        <v>9543.4500000000007</v>
      </c>
      <c r="H747" s="6">
        <v>0</v>
      </c>
      <c r="I747" s="6">
        <v>0</v>
      </c>
    </row>
    <row r="748" spans="2:9" ht="15.75" customHeight="1" x14ac:dyDescent="0.25">
      <c r="B748" s="6" t="s">
        <v>1849</v>
      </c>
      <c r="C748" s="6" t="s">
        <v>1850</v>
      </c>
      <c r="D748" s="6" t="s">
        <v>112</v>
      </c>
      <c r="E748" s="6">
        <v>138</v>
      </c>
      <c r="F748" s="6">
        <v>50</v>
      </c>
      <c r="G748" s="6">
        <v>6900</v>
      </c>
      <c r="H748" s="6">
        <v>0</v>
      </c>
      <c r="I748" s="6">
        <v>0</v>
      </c>
    </row>
    <row r="749" spans="2:9" ht="15.75" customHeight="1" x14ac:dyDescent="0.25">
      <c r="B749" s="6" t="s">
        <v>1851</v>
      </c>
      <c r="C749" s="6" t="s">
        <v>1852</v>
      </c>
      <c r="D749" s="6" t="s">
        <v>112</v>
      </c>
      <c r="E749" s="6">
        <v>10</v>
      </c>
      <c r="F749" s="6">
        <v>2500</v>
      </c>
      <c r="G749" s="6">
        <v>25000</v>
      </c>
      <c r="H749" s="6">
        <v>0</v>
      </c>
      <c r="I749" s="6">
        <v>0</v>
      </c>
    </row>
    <row r="750" spans="2:9" ht="15.75" customHeight="1" x14ac:dyDescent="0.25">
      <c r="B750" s="1"/>
      <c r="C750" s="1"/>
      <c r="D750" s="1"/>
      <c r="E750" s="1"/>
      <c r="F750" s="1"/>
      <c r="G750" s="1"/>
      <c r="H750" s="1"/>
      <c r="I750" s="1"/>
    </row>
    <row r="751" spans="2:9" ht="15.75" customHeight="1" x14ac:dyDescent="0.25">
      <c r="B751" s="1"/>
      <c r="C751" s="1"/>
      <c r="D751" s="1"/>
      <c r="E751" s="1"/>
      <c r="F751" s="1"/>
      <c r="G751" s="1"/>
      <c r="H751" s="1"/>
      <c r="I751" s="1"/>
    </row>
    <row r="752" spans="2:9" ht="15.75" customHeight="1" x14ac:dyDescent="0.25">
      <c r="B752" s="1"/>
      <c r="C752" s="1"/>
      <c r="D752" s="1"/>
      <c r="E752" s="1"/>
      <c r="F752" s="1"/>
      <c r="G752" s="1"/>
      <c r="H752" s="1"/>
      <c r="I752" s="1"/>
    </row>
    <row r="753" spans="2:9" ht="15.75" customHeight="1" x14ac:dyDescent="0.25">
      <c r="B753" s="1"/>
      <c r="C753" s="1"/>
      <c r="D753" s="1"/>
      <c r="E753" s="1"/>
      <c r="F753" s="1"/>
      <c r="G753" s="1"/>
      <c r="H753" s="1"/>
      <c r="I753" s="1"/>
    </row>
    <row r="754" spans="2:9" ht="15.75" customHeight="1" x14ac:dyDescent="0.25">
      <c r="B754" s="1"/>
      <c r="C754" s="1"/>
      <c r="D754" s="1"/>
      <c r="E754" s="1"/>
      <c r="F754" s="1"/>
      <c r="G754" s="1"/>
      <c r="H754" s="1"/>
      <c r="I754" s="1"/>
    </row>
    <row r="755" spans="2:9" ht="15.75" customHeight="1" x14ac:dyDescent="0.25">
      <c r="B755" s="1"/>
      <c r="C755" s="1"/>
      <c r="D755" s="1"/>
      <c r="E755" s="1"/>
      <c r="F755" s="1"/>
      <c r="G755" s="1"/>
      <c r="H755" s="1"/>
      <c r="I755" s="1"/>
    </row>
    <row r="756" spans="2:9" ht="15.75" customHeight="1" x14ac:dyDescent="0.25">
      <c r="B756" s="1"/>
      <c r="C756" s="1"/>
      <c r="D756" s="1"/>
      <c r="E756" s="1"/>
      <c r="F756" s="1"/>
      <c r="G756" s="1"/>
      <c r="H756" s="1"/>
      <c r="I756" s="1"/>
    </row>
    <row r="757" spans="2:9" ht="15.75" customHeight="1" x14ac:dyDescent="0.25">
      <c r="B757" s="1"/>
      <c r="C757" s="1"/>
      <c r="D757" s="1"/>
      <c r="E757" s="1"/>
      <c r="F757" s="1"/>
      <c r="G757" s="1"/>
      <c r="H757" s="1"/>
      <c r="I757" s="1"/>
    </row>
    <row r="758" spans="2:9" ht="15.75" customHeight="1" x14ac:dyDescent="0.25">
      <c r="B758" s="1"/>
      <c r="C758" s="1"/>
      <c r="D758" s="1"/>
      <c r="E758" s="1"/>
      <c r="F758" s="1"/>
      <c r="G758" s="1"/>
      <c r="H758" s="1"/>
      <c r="I758" s="1"/>
    </row>
    <row r="759" spans="2:9" ht="15.75" customHeight="1" x14ac:dyDescent="0.25">
      <c r="B759" s="1"/>
      <c r="C759" s="1"/>
      <c r="D759" s="1"/>
      <c r="E759" s="1"/>
      <c r="F759" s="1"/>
      <c r="G759" s="1"/>
      <c r="H759" s="1"/>
      <c r="I759" s="1"/>
    </row>
    <row r="760" spans="2:9" ht="15.75" customHeight="1" x14ac:dyDescent="0.25">
      <c r="B760" s="1"/>
      <c r="C760" s="1"/>
      <c r="D760" s="1"/>
      <c r="E760" s="1"/>
      <c r="F760" s="1"/>
      <c r="G760" s="1"/>
      <c r="H760" s="1"/>
      <c r="I760" s="1"/>
    </row>
    <row r="761" spans="2:9" ht="15.75" customHeight="1" x14ac:dyDescent="0.25">
      <c r="B761" s="1"/>
      <c r="C761" s="1"/>
      <c r="D761" s="1"/>
      <c r="E761" s="1"/>
      <c r="F761" s="1"/>
      <c r="G761" s="1"/>
      <c r="H761" s="1"/>
      <c r="I761" s="1"/>
    </row>
    <row r="762" spans="2:9" ht="15.75" customHeight="1" x14ac:dyDescent="0.25">
      <c r="B762" s="1"/>
      <c r="C762" s="1"/>
      <c r="D762" s="1"/>
      <c r="E762" s="1"/>
      <c r="F762" s="1"/>
      <c r="G762" s="1"/>
      <c r="H762" s="1"/>
      <c r="I762" s="1"/>
    </row>
    <row r="763" spans="2:9" ht="15.75" customHeight="1" x14ac:dyDescent="0.25">
      <c r="B763" s="1"/>
      <c r="C763" s="1"/>
      <c r="D763" s="1"/>
      <c r="E763" s="1"/>
      <c r="F763" s="1"/>
      <c r="G763" s="1"/>
      <c r="H763" s="1"/>
      <c r="I763" s="1"/>
    </row>
    <row r="764" spans="2:9" ht="15.75" customHeight="1" x14ac:dyDescent="0.25">
      <c r="B764" s="1"/>
      <c r="C764" s="1"/>
      <c r="D764" s="1"/>
      <c r="E764" s="1"/>
      <c r="F764" s="1"/>
      <c r="G764" s="1"/>
      <c r="H764" s="1"/>
      <c r="I764" s="1"/>
    </row>
    <row r="765" spans="2:9" ht="15.75" customHeight="1" x14ac:dyDescent="0.25">
      <c r="B765" s="1"/>
      <c r="C765" s="1"/>
      <c r="D765" s="1"/>
      <c r="E765" s="1"/>
      <c r="F765" s="1"/>
      <c r="G765" s="1"/>
      <c r="H765" s="1"/>
      <c r="I765" s="1"/>
    </row>
    <row r="766" spans="2:9" ht="15.75" customHeight="1" x14ac:dyDescent="0.25">
      <c r="B766" s="1"/>
      <c r="C766" s="1"/>
      <c r="D766" s="1"/>
      <c r="E766" s="1"/>
      <c r="F766" s="1"/>
      <c r="G766" s="1"/>
      <c r="H766" s="1"/>
      <c r="I766" s="1"/>
    </row>
    <row r="767" spans="2:9" ht="15.75" customHeight="1" x14ac:dyDescent="0.25">
      <c r="B767" s="1"/>
      <c r="C767" s="1"/>
      <c r="D767" s="1"/>
      <c r="E767" s="1"/>
      <c r="F767" s="1"/>
      <c r="G767" s="1"/>
      <c r="H767" s="1"/>
      <c r="I767" s="1"/>
    </row>
    <row r="768" spans="2:9" ht="15.75" customHeight="1" x14ac:dyDescent="0.25">
      <c r="B768" s="1"/>
      <c r="C768" s="1"/>
      <c r="D768" s="1"/>
      <c r="E768" s="1"/>
      <c r="F768" s="1"/>
      <c r="G768" s="1"/>
      <c r="H768" s="1"/>
      <c r="I768" s="1"/>
    </row>
    <row r="769" spans="2:9" ht="15.75" customHeight="1" x14ac:dyDescent="0.25">
      <c r="B769" s="1"/>
      <c r="C769" s="1"/>
      <c r="D769" s="1"/>
      <c r="E769" s="1"/>
      <c r="F769" s="1"/>
      <c r="G769" s="1"/>
      <c r="H769" s="1"/>
      <c r="I769" s="1"/>
    </row>
    <row r="770" spans="2:9" ht="15.75" customHeight="1" x14ac:dyDescent="0.25">
      <c r="B770" s="1"/>
      <c r="C770" s="1"/>
      <c r="D770" s="1"/>
      <c r="E770" s="1"/>
      <c r="F770" s="1"/>
      <c r="G770" s="1"/>
      <c r="H770" s="1"/>
      <c r="I770" s="1"/>
    </row>
    <row r="771" spans="2:9" ht="15.75" customHeight="1" x14ac:dyDescent="0.25">
      <c r="B771" s="1"/>
      <c r="C771" s="1"/>
      <c r="D771" s="1"/>
      <c r="E771" s="1"/>
      <c r="F771" s="1"/>
      <c r="G771" s="1"/>
      <c r="H771" s="1"/>
      <c r="I771" s="1"/>
    </row>
    <row r="772" spans="2:9" ht="15.75" customHeight="1" x14ac:dyDescent="0.25">
      <c r="B772" s="1"/>
      <c r="C772" s="1"/>
      <c r="D772" s="1"/>
      <c r="E772" s="1"/>
      <c r="F772" s="1"/>
      <c r="G772" s="1"/>
      <c r="H772" s="1"/>
      <c r="I772" s="1"/>
    </row>
    <row r="773" spans="2:9" ht="15.75" customHeight="1" x14ac:dyDescent="0.25">
      <c r="B773" s="1"/>
      <c r="C773" s="1"/>
      <c r="D773" s="1"/>
      <c r="E773" s="1"/>
      <c r="F773" s="1"/>
      <c r="G773" s="1"/>
      <c r="H773" s="1"/>
      <c r="I773" s="1"/>
    </row>
    <row r="774" spans="2:9" ht="15.75" customHeight="1" x14ac:dyDescent="0.25">
      <c r="B774" s="1"/>
      <c r="C774" s="1"/>
      <c r="D774" s="1"/>
      <c r="E774" s="1"/>
      <c r="F774" s="1"/>
      <c r="G774" s="1"/>
      <c r="H774" s="1"/>
      <c r="I774" s="1"/>
    </row>
    <row r="775" spans="2:9" ht="15.75" customHeight="1" x14ac:dyDescent="0.25">
      <c r="B775" s="1"/>
      <c r="C775" s="1"/>
      <c r="D775" s="1"/>
      <c r="E775" s="1"/>
      <c r="F775" s="1"/>
      <c r="G775" s="1"/>
      <c r="H775" s="1"/>
      <c r="I775" s="1"/>
    </row>
    <row r="776" spans="2:9" ht="15.75" customHeight="1" x14ac:dyDescent="0.25">
      <c r="B776" s="1"/>
      <c r="C776" s="1"/>
      <c r="D776" s="1"/>
      <c r="E776" s="1"/>
      <c r="F776" s="1"/>
      <c r="G776" s="1"/>
      <c r="H776" s="1"/>
      <c r="I776" s="1"/>
    </row>
    <row r="777" spans="2:9" ht="15.75" customHeight="1" x14ac:dyDescent="0.25">
      <c r="B777" s="1"/>
      <c r="C777" s="1"/>
      <c r="D777" s="1"/>
      <c r="E777" s="1"/>
      <c r="F777" s="1"/>
      <c r="G777" s="1"/>
      <c r="H777" s="1"/>
      <c r="I777" s="1"/>
    </row>
    <row r="778" spans="2:9" ht="15.75" customHeight="1" x14ac:dyDescent="0.25">
      <c r="B778" s="1"/>
      <c r="C778" s="1"/>
      <c r="D778" s="1"/>
      <c r="E778" s="1"/>
      <c r="F778" s="1"/>
      <c r="G778" s="1"/>
      <c r="H778" s="1"/>
      <c r="I778" s="1"/>
    </row>
    <row r="779" spans="2:9" ht="15.75" customHeight="1" x14ac:dyDescent="0.25">
      <c r="B779" s="1"/>
      <c r="C779" s="1"/>
      <c r="D779" s="1"/>
      <c r="E779" s="1"/>
      <c r="F779" s="1"/>
      <c r="G779" s="1"/>
      <c r="H779" s="1"/>
      <c r="I779" s="1"/>
    </row>
    <row r="780" spans="2:9" ht="15.75" customHeight="1" x14ac:dyDescent="0.25">
      <c r="B780" s="1"/>
      <c r="C780" s="1"/>
      <c r="D780" s="1"/>
      <c r="E780" s="1"/>
      <c r="F780" s="1"/>
      <c r="G780" s="1"/>
      <c r="H780" s="1"/>
      <c r="I780" s="1"/>
    </row>
    <row r="781" spans="2:9" ht="15.75" customHeight="1" x14ac:dyDescent="0.25">
      <c r="B781" s="1"/>
      <c r="C781" s="1"/>
      <c r="D781" s="1"/>
      <c r="E781" s="1"/>
      <c r="F781" s="1"/>
      <c r="G781" s="1"/>
      <c r="H781" s="1"/>
      <c r="I781" s="1"/>
    </row>
    <row r="782" spans="2:9" ht="15.75" customHeight="1" x14ac:dyDescent="0.25">
      <c r="B782" s="1"/>
      <c r="C782" s="1"/>
      <c r="D782" s="1"/>
      <c r="E782" s="1"/>
      <c r="F782" s="1"/>
      <c r="G782" s="1"/>
      <c r="H782" s="1"/>
      <c r="I782" s="1"/>
    </row>
    <row r="783" spans="2:9" ht="15.75" customHeight="1" x14ac:dyDescent="0.25">
      <c r="B783" s="1"/>
      <c r="C783" s="1"/>
      <c r="D783" s="1"/>
      <c r="E783" s="1"/>
      <c r="F783" s="1"/>
      <c r="G783" s="1"/>
      <c r="H783" s="1"/>
      <c r="I783" s="1"/>
    </row>
    <row r="784" spans="2:9" ht="15.75" customHeight="1" x14ac:dyDescent="0.25">
      <c r="B784" s="1"/>
      <c r="C784" s="1"/>
      <c r="D784" s="1"/>
      <c r="E784" s="1"/>
      <c r="F784" s="1"/>
      <c r="G784" s="1"/>
      <c r="H784" s="1"/>
      <c r="I784" s="1"/>
    </row>
    <row r="785" spans="2:9" ht="15.75" customHeight="1" x14ac:dyDescent="0.25">
      <c r="B785" s="1"/>
      <c r="C785" s="1"/>
      <c r="D785" s="1"/>
      <c r="E785" s="1"/>
      <c r="F785" s="1"/>
      <c r="G785" s="1"/>
      <c r="H785" s="1"/>
      <c r="I785" s="1"/>
    </row>
    <row r="786" spans="2:9" ht="15.75" customHeight="1" x14ac:dyDescent="0.25">
      <c r="B786" s="1"/>
      <c r="C786" s="1"/>
      <c r="D786" s="1"/>
      <c r="E786" s="1"/>
      <c r="F786" s="1"/>
      <c r="G786" s="1"/>
      <c r="H786" s="1"/>
      <c r="I786" s="1"/>
    </row>
    <row r="787" spans="2:9" ht="15.75" customHeight="1" x14ac:dyDescent="0.25">
      <c r="B787" s="1"/>
      <c r="C787" s="1"/>
      <c r="D787" s="1"/>
      <c r="E787" s="1"/>
      <c r="F787" s="1"/>
      <c r="G787" s="1"/>
      <c r="H787" s="1"/>
      <c r="I787" s="1"/>
    </row>
    <row r="788" spans="2:9" ht="15.75" customHeight="1" x14ac:dyDescent="0.25">
      <c r="B788" s="1"/>
      <c r="C788" s="1"/>
      <c r="D788" s="1"/>
      <c r="E788" s="1"/>
      <c r="F788" s="1"/>
      <c r="G788" s="1"/>
      <c r="H788" s="1"/>
      <c r="I788" s="1"/>
    </row>
    <row r="789" spans="2:9" ht="15.75" customHeight="1" x14ac:dyDescent="0.25">
      <c r="B789" s="1"/>
      <c r="C789" s="1"/>
      <c r="D789" s="1"/>
      <c r="E789" s="1"/>
      <c r="F789" s="1"/>
      <c r="G789" s="1"/>
      <c r="H789" s="1"/>
      <c r="I789" s="1"/>
    </row>
    <row r="790" spans="2:9" ht="15.75" customHeight="1" x14ac:dyDescent="0.25">
      <c r="B790" s="1"/>
      <c r="C790" s="1"/>
      <c r="D790" s="1"/>
      <c r="E790" s="1"/>
      <c r="F790" s="1"/>
      <c r="G790" s="1"/>
      <c r="H790" s="1"/>
      <c r="I790" s="1"/>
    </row>
    <row r="791" spans="2:9" ht="15.75" customHeight="1" x14ac:dyDescent="0.25">
      <c r="B791" s="1"/>
      <c r="C791" s="1"/>
      <c r="D791" s="1"/>
      <c r="E791" s="1"/>
      <c r="F791" s="1"/>
      <c r="G791" s="1"/>
      <c r="H791" s="1"/>
      <c r="I791" s="1"/>
    </row>
    <row r="792" spans="2:9" ht="15.75" customHeight="1" x14ac:dyDescent="0.25">
      <c r="B792" s="1"/>
      <c r="C792" s="1"/>
      <c r="D792" s="1"/>
      <c r="E792" s="1"/>
      <c r="F792" s="1"/>
      <c r="G792" s="1"/>
      <c r="H792" s="1"/>
      <c r="I792" s="1"/>
    </row>
    <row r="793" spans="2:9" ht="15.75" customHeight="1" x14ac:dyDescent="0.25">
      <c r="B793" s="1"/>
      <c r="C793" s="1"/>
      <c r="D793" s="1"/>
      <c r="E793" s="1"/>
      <c r="F793" s="1"/>
      <c r="G793" s="1"/>
      <c r="H793" s="1"/>
      <c r="I793" s="1"/>
    </row>
    <row r="794" spans="2:9" ht="15.75" customHeight="1" x14ac:dyDescent="0.25">
      <c r="B794" s="1"/>
      <c r="C794" s="1"/>
      <c r="D794" s="1"/>
      <c r="E794" s="1"/>
      <c r="F794" s="1"/>
      <c r="G794" s="1"/>
      <c r="H794" s="1"/>
      <c r="I794" s="1"/>
    </row>
    <row r="795" spans="2:9" ht="15.75" customHeight="1" x14ac:dyDescent="0.25">
      <c r="B795" s="1"/>
      <c r="C795" s="1"/>
      <c r="D795" s="1"/>
      <c r="E795" s="1"/>
      <c r="F795" s="1"/>
      <c r="G795" s="1"/>
      <c r="H795" s="1"/>
      <c r="I795" s="1"/>
    </row>
    <row r="796" spans="2:9" ht="15.75" customHeight="1" x14ac:dyDescent="0.25">
      <c r="B796" s="1"/>
      <c r="C796" s="1"/>
      <c r="D796" s="1"/>
      <c r="E796" s="1"/>
      <c r="F796" s="1"/>
      <c r="G796" s="1"/>
      <c r="H796" s="1"/>
      <c r="I796" s="1"/>
    </row>
    <row r="797" spans="2:9" ht="15.75" customHeight="1" x14ac:dyDescent="0.25">
      <c r="B797" s="1"/>
      <c r="C797" s="1"/>
      <c r="D797" s="1"/>
      <c r="E797" s="1"/>
      <c r="F797" s="1"/>
      <c r="G797" s="1"/>
      <c r="H797" s="1"/>
      <c r="I797" s="1"/>
    </row>
    <row r="798" spans="2:9" ht="15.75" customHeight="1" x14ac:dyDescent="0.25">
      <c r="B798" s="1"/>
      <c r="C798" s="1"/>
      <c r="D798" s="1"/>
      <c r="E798" s="1"/>
      <c r="F798" s="1"/>
      <c r="G798" s="1"/>
      <c r="H798" s="1"/>
      <c r="I798" s="1"/>
    </row>
    <row r="799" spans="2:9" ht="15.75" customHeight="1" x14ac:dyDescent="0.25">
      <c r="B799" s="1"/>
      <c r="C799" s="1"/>
      <c r="D799" s="1"/>
      <c r="E799" s="1"/>
      <c r="F799" s="1"/>
      <c r="G799" s="1"/>
      <c r="H799" s="1"/>
      <c r="I799" s="1"/>
    </row>
    <row r="800" spans="2:9" ht="15.75" customHeight="1" x14ac:dyDescent="0.25">
      <c r="B800" s="1"/>
      <c r="C800" s="1"/>
      <c r="D800" s="1"/>
      <c r="E800" s="1"/>
      <c r="F800" s="1"/>
      <c r="G800" s="1"/>
      <c r="H800" s="1"/>
      <c r="I800" s="1"/>
    </row>
    <row r="801" spans="2:9" ht="15.75" customHeight="1" x14ac:dyDescent="0.25">
      <c r="B801" s="1"/>
      <c r="C801" s="1"/>
      <c r="D801" s="1"/>
      <c r="E801" s="1"/>
      <c r="F801" s="1"/>
      <c r="G801" s="1"/>
      <c r="H801" s="1"/>
      <c r="I801" s="1"/>
    </row>
    <row r="802" spans="2:9" ht="15.75" customHeight="1" x14ac:dyDescent="0.25">
      <c r="B802" s="1"/>
      <c r="C802" s="1"/>
      <c r="D802" s="1"/>
      <c r="E802" s="1"/>
      <c r="F802" s="1"/>
      <c r="G802" s="1"/>
      <c r="H802" s="1"/>
      <c r="I802" s="1"/>
    </row>
    <row r="803" spans="2:9" ht="15.75" customHeight="1" x14ac:dyDescent="0.25">
      <c r="B803" s="1"/>
      <c r="C803" s="1"/>
      <c r="D803" s="1"/>
      <c r="E803" s="1"/>
      <c r="F803" s="1"/>
      <c r="G803" s="1"/>
      <c r="H803" s="1"/>
      <c r="I803" s="1"/>
    </row>
    <row r="804" spans="2:9" ht="15.75" customHeight="1" x14ac:dyDescent="0.25">
      <c r="B804" s="1"/>
      <c r="C804" s="1"/>
      <c r="D804" s="1"/>
      <c r="E804" s="1"/>
      <c r="F804" s="1"/>
      <c r="G804" s="1"/>
      <c r="H804" s="1"/>
      <c r="I804" s="1"/>
    </row>
    <row r="805" spans="2:9" ht="15.75" customHeight="1" x14ac:dyDescent="0.25">
      <c r="B805" s="1"/>
      <c r="C805" s="1"/>
      <c r="D805" s="1"/>
      <c r="E805" s="1"/>
      <c r="F805" s="1"/>
      <c r="G805" s="1"/>
      <c r="H805" s="1"/>
      <c r="I805" s="1"/>
    </row>
    <row r="806" spans="2:9" ht="15.75" customHeight="1" x14ac:dyDescent="0.25">
      <c r="B806" s="1"/>
      <c r="C806" s="1"/>
      <c r="D806" s="1"/>
      <c r="E806" s="1"/>
      <c r="F806" s="1"/>
      <c r="G806" s="1"/>
      <c r="H806" s="1"/>
      <c r="I806" s="1"/>
    </row>
    <row r="807" spans="2:9" ht="15.75" customHeight="1" x14ac:dyDescent="0.25">
      <c r="B807" s="1"/>
      <c r="C807" s="1"/>
      <c r="D807" s="1"/>
      <c r="E807" s="1"/>
      <c r="F807" s="1"/>
      <c r="G807" s="1"/>
      <c r="H807" s="1"/>
      <c r="I807" s="1"/>
    </row>
    <row r="808" spans="2:9" ht="15.75" customHeight="1" x14ac:dyDescent="0.25">
      <c r="B808" s="1"/>
      <c r="C808" s="1"/>
      <c r="D808" s="1"/>
      <c r="E808" s="1"/>
      <c r="F808" s="1"/>
      <c r="G808" s="1"/>
      <c r="H808" s="1"/>
      <c r="I808" s="1"/>
    </row>
    <row r="809" spans="2:9" ht="15.75" customHeight="1" x14ac:dyDescent="0.25">
      <c r="B809" s="1"/>
      <c r="C809" s="1"/>
      <c r="D809" s="1"/>
      <c r="E809" s="1"/>
      <c r="F809" s="1"/>
      <c r="G809" s="1"/>
      <c r="H809" s="1"/>
      <c r="I809" s="1"/>
    </row>
    <row r="810" spans="2:9" ht="15.75" customHeight="1" x14ac:dyDescent="0.25">
      <c r="B810" s="1"/>
      <c r="C810" s="1"/>
      <c r="D810" s="1"/>
      <c r="E810" s="1"/>
      <c r="F810" s="1"/>
      <c r="G810" s="1"/>
      <c r="H810" s="1"/>
      <c r="I810" s="1"/>
    </row>
    <row r="811" spans="2:9" ht="15.75" customHeight="1" x14ac:dyDescent="0.25">
      <c r="B811" s="1"/>
      <c r="C811" s="1"/>
      <c r="D811" s="1"/>
      <c r="E811" s="1"/>
      <c r="F811" s="1"/>
      <c r="G811" s="1"/>
      <c r="H811" s="1"/>
      <c r="I811" s="1"/>
    </row>
    <row r="812" spans="2:9" ht="15.75" customHeight="1" x14ac:dyDescent="0.25">
      <c r="B812" s="1"/>
      <c r="C812" s="1"/>
      <c r="D812" s="1"/>
      <c r="E812" s="1"/>
      <c r="F812" s="1"/>
      <c r="G812" s="1"/>
      <c r="H812" s="1"/>
      <c r="I812" s="1"/>
    </row>
    <row r="813" spans="2:9" ht="15.75" customHeight="1" x14ac:dyDescent="0.25">
      <c r="B813" s="1"/>
      <c r="C813" s="1"/>
      <c r="D813" s="1"/>
      <c r="E813" s="1"/>
      <c r="F813" s="1"/>
      <c r="G813" s="1"/>
      <c r="H813" s="1"/>
      <c r="I813" s="1"/>
    </row>
    <row r="814" spans="2:9" ht="15.75" customHeight="1" x14ac:dyDescent="0.25">
      <c r="B814" s="1"/>
      <c r="C814" s="1"/>
      <c r="D814" s="1"/>
      <c r="E814" s="1"/>
      <c r="F814" s="1"/>
      <c r="G814" s="1"/>
      <c r="H814" s="1"/>
      <c r="I814" s="1"/>
    </row>
    <row r="815" spans="2:9" ht="15.75" customHeight="1" x14ac:dyDescent="0.25">
      <c r="B815" s="1"/>
      <c r="C815" s="1"/>
      <c r="D815" s="1"/>
      <c r="E815" s="1"/>
      <c r="F815" s="1"/>
      <c r="G815" s="1"/>
      <c r="H815" s="1"/>
      <c r="I815" s="1"/>
    </row>
    <row r="816" spans="2:9" ht="15.75" customHeight="1" x14ac:dyDescent="0.25">
      <c r="B816" s="1"/>
      <c r="C816" s="1"/>
      <c r="D816" s="1"/>
      <c r="E816" s="1"/>
      <c r="F816" s="1"/>
      <c r="G816" s="1"/>
      <c r="H816" s="1"/>
      <c r="I816" s="1"/>
    </row>
    <row r="817" spans="2:9" ht="15.75" customHeight="1" x14ac:dyDescent="0.25">
      <c r="B817" s="1"/>
      <c r="C817" s="1"/>
      <c r="D817" s="1"/>
      <c r="E817" s="1"/>
      <c r="F817" s="1"/>
      <c r="G817" s="1"/>
      <c r="H817" s="1"/>
      <c r="I817" s="1"/>
    </row>
    <row r="818" spans="2:9" ht="15.75" customHeight="1" x14ac:dyDescent="0.25">
      <c r="B818" s="1"/>
      <c r="C818" s="1"/>
      <c r="D818" s="1"/>
      <c r="E818" s="1"/>
      <c r="F818" s="1"/>
      <c r="G818" s="1"/>
      <c r="H818" s="1"/>
      <c r="I818" s="1"/>
    </row>
    <row r="819" spans="2:9" ht="15.75" customHeight="1" x14ac:dyDescent="0.25">
      <c r="B819" s="1"/>
      <c r="C819" s="1"/>
      <c r="D819" s="1"/>
      <c r="E819" s="1"/>
      <c r="F819" s="1"/>
      <c r="G819" s="1"/>
      <c r="H819" s="1"/>
      <c r="I819" s="1"/>
    </row>
    <row r="820" spans="2:9" ht="15.75" customHeight="1" x14ac:dyDescent="0.25">
      <c r="B820" s="1"/>
      <c r="C820" s="1"/>
      <c r="D820" s="1"/>
      <c r="E820" s="1"/>
      <c r="F820" s="1"/>
      <c r="G820" s="1"/>
      <c r="H820" s="1"/>
      <c r="I820" s="1"/>
    </row>
    <row r="821" spans="2:9" ht="15.75" customHeight="1" x14ac:dyDescent="0.25">
      <c r="B821" s="1"/>
      <c r="C821" s="1"/>
      <c r="D821" s="1"/>
      <c r="E821" s="1"/>
      <c r="F821" s="1"/>
      <c r="G821" s="1"/>
      <c r="H821" s="1"/>
      <c r="I821" s="1"/>
    </row>
    <row r="822" spans="2:9" ht="15.75" customHeight="1" x14ac:dyDescent="0.25">
      <c r="B822" s="1"/>
      <c r="C822" s="1"/>
      <c r="D822" s="1"/>
      <c r="E822" s="1"/>
      <c r="F822" s="1"/>
      <c r="G822" s="1"/>
      <c r="H822" s="1"/>
      <c r="I822" s="1"/>
    </row>
    <row r="823" spans="2:9" ht="15.75" customHeight="1" x14ac:dyDescent="0.25">
      <c r="B823" s="1"/>
      <c r="C823" s="1"/>
      <c r="D823" s="1"/>
      <c r="E823" s="1"/>
      <c r="F823" s="1"/>
      <c r="G823" s="1"/>
      <c r="H823" s="1"/>
      <c r="I823" s="1"/>
    </row>
    <row r="824" spans="2:9" ht="15.75" customHeight="1" x14ac:dyDescent="0.25">
      <c r="B824" s="1"/>
      <c r="C824" s="1"/>
      <c r="D824" s="1"/>
      <c r="E824" s="1"/>
      <c r="F824" s="1"/>
      <c r="G824" s="1"/>
      <c r="H824" s="1"/>
      <c r="I824" s="1"/>
    </row>
    <row r="825" spans="2:9" ht="15.75" customHeight="1" x14ac:dyDescent="0.25">
      <c r="B825" s="1"/>
      <c r="C825" s="1"/>
      <c r="D825" s="1"/>
      <c r="E825" s="1"/>
      <c r="F825" s="1"/>
      <c r="G825" s="1"/>
      <c r="H825" s="1"/>
      <c r="I825" s="1"/>
    </row>
    <row r="826" spans="2:9" ht="15.75" customHeight="1" x14ac:dyDescent="0.25">
      <c r="B826" s="1"/>
      <c r="C826" s="1"/>
      <c r="D826" s="1"/>
      <c r="E826" s="1"/>
      <c r="F826" s="1"/>
      <c r="G826" s="1"/>
      <c r="H826" s="1"/>
      <c r="I826" s="1"/>
    </row>
    <row r="827" spans="2:9" ht="15.75" customHeight="1" x14ac:dyDescent="0.25">
      <c r="B827" s="1"/>
      <c r="C827" s="1"/>
      <c r="D827" s="1"/>
      <c r="E827" s="1"/>
      <c r="F827" s="1"/>
      <c r="G827" s="1"/>
      <c r="H827" s="1"/>
      <c r="I827" s="1"/>
    </row>
    <row r="828" spans="2:9" ht="15.75" customHeight="1" x14ac:dyDescent="0.25">
      <c r="B828" s="1"/>
      <c r="C828" s="1"/>
      <c r="D828" s="1"/>
      <c r="E828" s="1"/>
      <c r="F828" s="1"/>
      <c r="G828" s="1"/>
      <c r="H828" s="1"/>
      <c r="I828" s="1"/>
    </row>
    <row r="829" spans="2:9" ht="15.75" customHeight="1" x14ac:dyDescent="0.25">
      <c r="B829" s="1"/>
      <c r="C829" s="1"/>
      <c r="D829" s="1"/>
      <c r="E829" s="1"/>
      <c r="F829" s="1"/>
      <c r="G829" s="1"/>
      <c r="H829" s="1"/>
      <c r="I829" s="1"/>
    </row>
    <row r="830" spans="2:9" ht="15.75" customHeight="1" x14ac:dyDescent="0.25">
      <c r="B830" s="1"/>
      <c r="C830" s="1"/>
      <c r="D830" s="1"/>
      <c r="E830" s="1"/>
      <c r="F830" s="1"/>
      <c r="G830" s="1"/>
      <c r="H830" s="1"/>
      <c r="I830" s="1"/>
    </row>
    <row r="831" spans="2:9" ht="15.75" customHeight="1" x14ac:dyDescent="0.25">
      <c r="B831" s="1"/>
      <c r="C831" s="1"/>
      <c r="D831" s="1"/>
      <c r="E831" s="1"/>
      <c r="F831" s="1"/>
      <c r="G831" s="1"/>
      <c r="H831" s="1"/>
      <c r="I831" s="1"/>
    </row>
    <row r="832" spans="2:9" ht="15.75" customHeight="1" x14ac:dyDescent="0.25">
      <c r="B832" s="1"/>
      <c r="C832" s="1"/>
      <c r="D832" s="1"/>
      <c r="E832" s="1"/>
      <c r="F832" s="1"/>
      <c r="G832" s="1"/>
      <c r="H832" s="1"/>
      <c r="I832" s="1"/>
    </row>
    <row r="833" spans="2:9" ht="15.75" customHeight="1" x14ac:dyDescent="0.25">
      <c r="B833" s="1"/>
      <c r="C833" s="1"/>
      <c r="D833" s="1"/>
      <c r="E833" s="1"/>
      <c r="F833" s="1"/>
      <c r="G833" s="1"/>
      <c r="H833" s="1"/>
      <c r="I833" s="1"/>
    </row>
    <row r="834" spans="2:9" ht="15.75" customHeight="1" x14ac:dyDescent="0.25">
      <c r="B834" s="1"/>
      <c r="C834" s="1"/>
      <c r="D834" s="1"/>
      <c r="E834" s="1"/>
      <c r="F834" s="1"/>
      <c r="G834" s="1"/>
      <c r="H834" s="1"/>
      <c r="I834" s="1"/>
    </row>
    <row r="835" spans="2:9" ht="15.75" customHeight="1" x14ac:dyDescent="0.25">
      <c r="B835" s="1"/>
      <c r="C835" s="1"/>
      <c r="D835" s="1"/>
      <c r="E835" s="1"/>
      <c r="F835" s="1"/>
      <c r="G835" s="1"/>
      <c r="H835" s="1"/>
      <c r="I835" s="1"/>
    </row>
    <row r="836" spans="2:9" ht="15.75" customHeight="1" x14ac:dyDescent="0.25">
      <c r="B836" s="1"/>
      <c r="C836" s="1"/>
      <c r="D836" s="1"/>
      <c r="E836" s="1"/>
      <c r="F836" s="1"/>
      <c r="G836" s="1"/>
      <c r="H836" s="1"/>
      <c r="I836" s="1"/>
    </row>
    <row r="837" spans="2:9" ht="15.75" customHeight="1" x14ac:dyDescent="0.25">
      <c r="B837" s="1"/>
      <c r="C837" s="1"/>
      <c r="D837" s="1"/>
      <c r="E837" s="1"/>
      <c r="F837" s="1"/>
      <c r="G837" s="1"/>
      <c r="H837" s="1"/>
      <c r="I837" s="1"/>
    </row>
    <row r="838" spans="2:9" ht="15.75" customHeight="1" x14ac:dyDescent="0.25">
      <c r="B838" s="1"/>
      <c r="C838" s="1"/>
      <c r="D838" s="1"/>
      <c r="E838" s="1"/>
      <c r="F838" s="1"/>
      <c r="G838" s="1"/>
      <c r="H838" s="1"/>
      <c r="I838" s="1"/>
    </row>
    <row r="839" spans="2:9" ht="15.75" customHeight="1" x14ac:dyDescent="0.25">
      <c r="B839" s="1"/>
      <c r="C839" s="1"/>
      <c r="D839" s="1"/>
      <c r="E839" s="1"/>
      <c r="F839" s="1"/>
      <c r="G839" s="1"/>
      <c r="H839" s="1"/>
      <c r="I839" s="1"/>
    </row>
    <row r="840" spans="2:9" ht="15.75" customHeight="1" x14ac:dyDescent="0.25">
      <c r="B840" s="1"/>
      <c r="C840" s="1"/>
      <c r="D840" s="1"/>
      <c r="E840" s="1"/>
      <c r="F840" s="1"/>
      <c r="G840" s="1"/>
      <c r="H840" s="1"/>
      <c r="I840" s="1"/>
    </row>
    <row r="841" spans="2:9" ht="15.75" customHeight="1" x14ac:dyDescent="0.25">
      <c r="B841" s="1"/>
      <c r="C841" s="1"/>
      <c r="D841" s="1"/>
      <c r="E841" s="1"/>
      <c r="F841" s="1"/>
      <c r="G841" s="1"/>
      <c r="H841" s="1"/>
      <c r="I841" s="1"/>
    </row>
    <row r="842" spans="2:9" ht="15.75" customHeight="1" x14ac:dyDescent="0.25">
      <c r="B842" s="1"/>
      <c r="C842" s="1"/>
      <c r="D842" s="1"/>
      <c r="E842" s="1"/>
      <c r="F842" s="1"/>
      <c r="G842" s="1"/>
      <c r="H842" s="1"/>
      <c r="I842" s="1"/>
    </row>
    <row r="843" spans="2:9" ht="15.75" customHeight="1" x14ac:dyDescent="0.25">
      <c r="B843" s="1"/>
      <c r="C843" s="1"/>
      <c r="D843" s="1"/>
      <c r="E843" s="1"/>
      <c r="F843" s="1"/>
      <c r="G843" s="1"/>
      <c r="H843" s="1"/>
      <c r="I843" s="1"/>
    </row>
    <row r="844" spans="2:9" ht="15.75" customHeight="1" x14ac:dyDescent="0.25">
      <c r="B844" s="1"/>
      <c r="C844" s="1"/>
      <c r="D844" s="1"/>
      <c r="E844" s="1"/>
      <c r="F844" s="1"/>
      <c r="G844" s="1"/>
      <c r="H844" s="1"/>
      <c r="I844" s="1"/>
    </row>
    <row r="845" spans="2:9" ht="15.75" customHeight="1" x14ac:dyDescent="0.25">
      <c r="B845" s="1"/>
      <c r="C845" s="1"/>
      <c r="D845" s="1"/>
      <c r="E845" s="1"/>
      <c r="F845" s="1"/>
      <c r="G845" s="1"/>
      <c r="H845" s="1"/>
      <c r="I845" s="1"/>
    </row>
    <row r="846" spans="2:9" ht="15.75" customHeight="1" x14ac:dyDescent="0.25">
      <c r="B846" s="1"/>
      <c r="C846" s="1"/>
      <c r="D846" s="1"/>
      <c r="E846" s="1"/>
      <c r="F846" s="1"/>
      <c r="G846" s="1"/>
      <c r="H846" s="1"/>
      <c r="I846" s="1"/>
    </row>
    <row r="847" spans="2:9" ht="15.75" customHeight="1" x14ac:dyDescent="0.25">
      <c r="B847" s="1"/>
      <c r="C847" s="1"/>
      <c r="D847" s="1"/>
      <c r="E847" s="1"/>
      <c r="F847" s="1"/>
      <c r="G847" s="1"/>
      <c r="H847" s="1"/>
      <c r="I847" s="1"/>
    </row>
    <row r="848" spans="2:9" ht="15.75" customHeight="1" x14ac:dyDescent="0.25">
      <c r="B848" s="1"/>
      <c r="C848" s="1"/>
      <c r="D848" s="1"/>
      <c r="E848" s="1"/>
      <c r="F848" s="1"/>
      <c r="G848" s="1"/>
      <c r="H848" s="1"/>
      <c r="I848" s="1"/>
    </row>
    <row r="849" spans="2:9" ht="15.75" customHeight="1" x14ac:dyDescent="0.25">
      <c r="B849" s="1"/>
      <c r="C849" s="1"/>
      <c r="D849" s="1"/>
      <c r="E849" s="1"/>
      <c r="F849" s="1"/>
      <c r="G849" s="1"/>
      <c r="H849" s="1"/>
      <c r="I849" s="1"/>
    </row>
    <row r="850" spans="2:9" ht="15.75" customHeight="1" x14ac:dyDescent="0.25">
      <c r="B850" s="1"/>
      <c r="C850" s="1"/>
      <c r="D850" s="1"/>
      <c r="E850" s="1"/>
      <c r="F850" s="1"/>
      <c r="G850" s="1"/>
      <c r="H850" s="1"/>
      <c r="I850" s="1"/>
    </row>
    <row r="851" spans="2:9" ht="15.75" customHeight="1" x14ac:dyDescent="0.25">
      <c r="B851" s="1"/>
      <c r="C851" s="1"/>
      <c r="D851" s="1"/>
      <c r="E851" s="1"/>
      <c r="F851" s="1"/>
      <c r="G851" s="1"/>
      <c r="H851" s="1"/>
      <c r="I851" s="1"/>
    </row>
    <row r="852" spans="2:9" ht="15.75" customHeight="1" x14ac:dyDescent="0.25">
      <c r="B852" s="1"/>
      <c r="C852" s="1"/>
      <c r="D852" s="1"/>
      <c r="E852" s="1"/>
      <c r="F852" s="1"/>
      <c r="G852" s="1"/>
      <c r="H852" s="1"/>
      <c r="I852" s="1"/>
    </row>
    <row r="853" spans="2:9" ht="15.75" customHeight="1" x14ac:dyDescent="0.25">
      <c r="B853" s="1"/>
      <c r="C853" s="1"/>
      <c r="D853" s="1"/>
      <c r="E853" s="1"/>
      <c r="F853" s="1"/>
      <c r="G853" s="1"/>
      <c r="H853" s="1"/>
      <c r="I853" s="1"/>
    </row>
    <row r="854" spans="2:9" ht="15.75" customHeight="1" x14ac:dyDescent="0.25">
      <c r="B854" s="1"/>
      <c r="C854" s="1"/>
      <c r="D854" s="1"/>
      <c r="E854" s="1"/>
      <c r="F854" s="1"/>
      <c r="G854" s="1"/>
      <c r="H854" s="1"/>
      <c r="I854" s="1"/>
    </row>
    <row r="855" spans="2:9" ht="15.75" customHeight="1" x14ac:dyDescent="0.25">
      <c r="B855" s="1"/>
      <c r="C855" s="1"/>
      <c r="D855" s="1"/>
      <c r="E855" s="1"/>
      <c r="F855" s="1"/>
      <c r="G855" s="1"/>
      <c r="H855" s="1"/>
      <c r="I855" s="1"/>
    </row>
    <row r="856" spans="2:9" ht="15.75" customHeight="1" x14ac:dyDescent="0.25">
      <c r="B856" s="1"/>
      <c r="C856" s="1"/>
      <c r="D856" s="1"/>
      <c r="E856" s="1"/>
      <c r="F856" s="1"/>
      <c r="G856" s="1"/>
      <c r="H856" s="1"/>
      <c r="I856" s="1"/>
    </row>
    <row r="857" spans="2:9" ht="15.75" customHeight="1" x14ac:dyDescent="0.25">
      <c r="B857" s="1"/>
      <c r="C857" s="1"/>
      <c r="D857" s="1"/>
      <c r="E857" s="1"/>
      <c r="F857" s="1"/>
      <c r="G857" s="1"/>
      <c r="H857" s="1"/>
      <c r="I857" s="1"/>
    </row>
    <row r="858" spans="2:9" ht="15.75" customHeight="1" x14ac:dyDescent="0.25">
      <c r="B858" s="1"/>
      <c r="C858" s="1"/>
      <c r="D858" s="1"/>
      <c r="E858" s="1"/>
      <c r="F858" s="1"/>
      <c r="G858" s="1"/>
      <c r="H858" s="1"/>
      <c r="I858" s="1"/>
    </row>
    <row r="859" spans="2:9" ht="15.75" customHeight="1" x14ac:dyDescent="0.25">
      <c r="B859" s="1"/>
      <c r="C859" s="1"/>
      <c r="D859" s="1"/>
      <c r="E859" s="1"/>
      <c r="F859" s="1"/>
      <c r="G859" s="1"/>
      <c r="H859" s="1"/>
      <c r="I859" s="1"/>
    </row>
    <row r="860" spans="2:9" ht="15.75" customHeight="1" x14ac:dyDescent="0.25">
      <c r="B860" s="1"/>
      <c r="C860" s="1"/>
      <c r="D860" s="1"/>
      <c r="E860" s="1"/>
      <c r="F860" s="1"/>
      <c r="G860" s="1"/>
      <c r="H860" s="1"/>
      <c r="I860" s="1"/>
    </row>
    <row r="861" spans="2:9" ht="15.75" customHeight="1" x14ac:dyDescent="0.25">
      <c r="B861" s="1"/>
      <c r="C861" s="1"/>
      <c r="D861" s="1"/>
      <c r="E861" s="1"/>
      <c r="F861" s="1"/>
      <c r="G861" s="1"/>
      <c r="H861" s="1"/>
      <c r="I861" s="1"/>
    </row>
    <row r="862" spans="2:9" ht="15.75" customHeight="1" x14ac:dyDescent="0.25">
      <c r="B862" s="1"/>
      <c r="C862" s="1"/>
      <c r="D862" s="1"/>
      <c r="E862" s="1"/>
      <c r="F862" s="1"/>
      <c r="G862" s="1"/>
      <c r="H862" s="1"/>
      <c r="I862" s="1"/>
    </row>
    <row r="863" spans="2:9" ht="15.75" customHeight="1" x14ac:dyDescent="0.25">
      <c r="B863" s="1"/>
      <c r="C863" s="1"/>
      <c r="D863" s="1"/>
      <c r="E863" s="1"/>
      <c r="F863" s="1"/>
      <c r="G863" s="1"/>
      <c r="H863" s="1"/>
      <c r="I863" s="1"/>
    </row>
    <row r="864" spans="2:9" ht="15.75" customHeight="1" x14ac:dyDescent="0.25">
      <c r="B864" s="1"/>
      <c r="C864" s="1"/>
      <c r="D864" s="1"/>
      <c r="E864" s="1"/>
      <c r="F864" s="1"/>
      <c r="G864" s="1"/>
      <c r="H864" s="1"/>
      <c r="I864" s="1"/>
    </row>
    <row r="865" spans="2:9" ht="15.75" customHeight="1" x14ac:dyDescent="0.25">
      <c r="B865" s="1"/>
      <c r="C865" s="1"/>
      <c r="D865" s="1"/>
      <c r="E865" s="1"/>
      <c r="F865" s="1"/>
      <c r="G865" s="1"/>
      <c r="H865" s="1"/>
      <c r="I865" s="1"/>
    </row>
    <row r="866" spans="2:9" ht="15.75" customHeight="1" x14ac:dyDescent="0.25">
      <c r="B866" s="1"/>
      <c r="C866" s="1"/>
      <c r="D866" s="1"/>
      <c r="E866" s="1"/>
      <c r="F866" s="1"/>
      <c r="G866" s="1"/>
      <c r="H866" s="1"/>
      <c r="I866" s="1"/>
    </row>
    <row r="867" spans="2:9" ht="15.75" customHeight="1" x14ac:dyDescent="0.25">
      <c r="B867" s="1"/>
      <c r="C867" s="1"/>
      <c r="D867" s="1"/>
      <c r="E867" s="1"/>
      <c r="F867" s="1"/>
      <c r="G867" s="1"/>
      <c r="H867" s="1"/>
      <c r="I867" s="1"/>
    </row>
    <row r="868" spans="2:9" ht="15.75" customHeight="1" x14ac:dyDescent="0.25">
      <c r="B868" s="1"/>
      <c r="C868" s="1"/>
      <c r="D868" s="1"/>
      <c r="E868" s="1"/>
      <c r="F868" s="1"/>
      <c r="G868" s="1"/>
      <c r="H868" s="1"/>
      <c r="I868" s="1"/>
    </row>
    <row r="869" spans="2:9" ht="15.75" customHeight="1" x14ac:dyDescent="0.25">
      <c r="B869" s="1"/>
      <c r="C869" s="1"/>
      <c r="D869" s="1"/>
      <c r="E869" s="1"/>
      <c r="F869" s="1"/>
      <c r="G869" s="1"/>
      <c r="H869" s="1"/>
      <c r="I869" s="1"/>
    </row>
    <row r="870" spans="2:9" ht="15.75" customHeight="1" x14ac:dyDescent="0.25">
      <c r="B870" s="1"/>
      <c r="C870" s="1"/>
      <c r="D870" s="1"/>
      <c r="E870" s="1"/>
      <c r="F870" s="1"/>
      <c r="G870" s="1"/>
      <c r="H870" s="1"/>
      <c r="I870" s="1"/>
    </row>
    <row r="871" spans="2:9" ht="15.75" customHeight="1" x14ac:dyDescent="0.25">
      <c r="B871" s="1"/>
      <c r="C871" s="1"/>
      <c r="D871" s="1"/>
      <c r="E871" s="1"/>
      <c r="F871" s="1"/>
      <c r="G871" s="1"/>
      <c r="H871" s="1"/>
      <c r="I871" s="1"/>
    </row>
    <row r="872" spans="2:9" ht="15.75" customHeight="1" x14ac:dyDescent="0.25">
      <c r="B872" s="1"/>
      <c r="C872" s="1"/>
      <c r="D872" s="1"/>
      <c r="E872" s="1"/>
      <c r="F872" s="1"/>
      <c r="G872" s="1"/>
      <c r="H872" s="1"/>
      <c r="I872" s="1"/>
    </row>
    <row r="873" spans="2:9" ht="15.75" customHeight="1" x14ac:dyDescent="0.25">
      <c r="B873" s="1"/>
      <c r="C873" s="1"/>
      <c r="D873" s="1"/>
      <c r="E873" s="1"/>
      <c r="F873" s="1"/>
      <c r="G873" s="1"/>
      <c r="H873" s="1"/>
      <c r="I873" s="1"/>
    </row>
    <row r="874" spans="2:9" ht="15.75" customHeight="1" x14ac:dyDescent="0.25">
      <c r="B874" s="1"/>
      <c r="C874" s="1"/>
      <c r="D874" s="1"/>
      <c r="E874" s="1"/>
      <c r="F874" s="1"/>
      <c r="G874" s="1"/>
      <c r="H874" s="1"/>
      <c r="I874" s="1"/>
    </row>
    <row r="875" spans="2:9" ht="15.75" customHeight="1" x14ac:dyDescent="0.25">
      <c r="B875" s="1"/>
      <c r="C875" s="1"/>
      <c r="D875" s="1"/>
      <c r="E875" s="1"/>
      <c r="F875" s="1"/>
      <c r="G875" s="1"/>
      <c r="H875" s="1"/>
      <c r="I875" s="1"/>
    </row>
    <row r="876" spans="2:9" ht="15.75" customHeight="1" x14ac:dyDescent="0.25">
      <c r="B876" s="1"/>
      <c r="C876" s="1"/>
      <c r="D876" s="1"/>
      <c r="E876" s="1"/>
      <c r="F876" s="1"/>
      <c r="G876" s="1"/>
      <c r="H876" s="1"/>
      <c r="I876" s="1"/>
    </row>
    <row r="877" spans="2:9" ht="15.75" customHeight="1" x14ac:dyDescent="0.25">
      <c r="B877" s="1"/>
      <c r="C877" s="1"/>
      <c r="D877" s="1"/>
      <c r="E877" s="1"/>
      <c r="F877" s="1"/>
      <c r="G877" s="1"/>
      <c r="H877" s="1"/>
      <c r="I877" s="1"/>
    </row>
    <row r="878" spans="2:9" ht="15.75" customHeight="1" x14ac:dyDescent="0.25">
      <c r="B878" s="1"/>
      <c r="C878" s="1"/>
      <c r="D878" s="1"/>
      <c r="E878" s="1"/>
      <c r="F878" s="1"/>
      <c r="G878" s="1"/>
      <c r="H878" s="1"/>
      <c r="I878" s="1"/>
    </row>
    <row r="879" spans="2:9" ht="15.75" customHeight="1" x14ac:dyDescent="0.25">
      <c r="B879" s="1"/>
      <c r="C879" s="1"/>
      <c r="D879" s="1"/>
      <c r="E879" s="1"/>
      <c r="F879" s="1"/>
      <c r="G879" s="1"/>
      <c r="H879" s="1"/>
      <c r="I879" s="1"/>
    </row>
    <row r="880" spans="2:9" ht="15.75" customHeight="1" x14ac:dyDescent="0.25">
      <c r="B880" s="1"/>
      <c r="C880" s="1"/>
      <c r="D880" s="1"/>
      <c r="E880" s="1"/>
      <c r="F880" s="1"/>
      <c r="G880" s="1"/>
      <c r="H880" s="1"/>
      <c r="I880" s="1"/>
    </row>
    <row r="881" spans="2:9" ht="15.75" customHeight="1" x14ac:dyDescent="0.25">
      <c r="B881" s="1"/>
      <c r="C881" s="1"/>
      <c r="D881" s="1"/>
      <c r="E881" s="1"/>
      <c r="F881" s="1"/>
      <c r="G881" s="1"/>
      <c r="H881" s="1"/>
      <c r="I881" s="1"/>
    </row>
    <row r="882" spans="2:9" ht="15.75" customHeight="1" x14ac:dyDescent="0.25">
      <c r="B882" s="1"/>
      <c r="C882" s="1"/>
      <c r="D882" s="1"/>
      <c r="E882" s="1"/>
      <c r="F882" s="1"/>
      <c r="G882" s="1"/>
      <c r="H882" s="1"/>
      <c r="I882" s="1"/>
    </row>
    <row r="883" spans="2:9" ht="15.75" customHeight="1" x14ac:dyDescent="0.25">
      <c r="B883" s="1"/>
      <c r="C883" s="1"/>
      <c r="D883" s="1"/>
      <c r="E883" s="1"/>
      <c r="F883" s="1"/>
      <c r="G883" s="1"/>
      <c r="H883" s="1"/>
      <c r="I883" s="1"/>
    </row>
    <row r="884" spans="2:9" ht="15.75" customHeight="1" x14ac:dyDescent="0.25">
      <c r="B884" s="1"/>
      <c r="C884" s="1"/>
      <c r="D884" s="1"/>
      <c r="E884" s="1"/>
      <c r="F884" s="1"/>
      <c r="G884" s="1"/>
      <c r="H884" s="1"/>
      <c r="I884" s="1"/>
    </row>
    <row r="885" spans="2:9" ht="15.75" customHeight="1" x14ac:dyDescent="0.25">
      <c r="B885" s="1"/>
      <c r="C885" s="1"/>
      <c r="D885" s="1"/>
      <c r="E885" s="1"/>
      <c r="F885" s="1"/>
      <c r="G885" s="1"/>
      <c r="H885" s="1"/>
      <c r="I885" s="1"/>
    </row>
    <row r="886" spans="2:9" ht="15.75" customHeight="1" x14ac:dyDescent="0.25">
      <c r="B886" s="1"/>
      <c r="C886" s="1"/>
      <c r="D886" s="1"/>
      <c r="E886" s="1"/>
      <c r="F886" s="1"/>
      <c r="G886" s="1"/>
      <c r="H886" s="1"/>
      <c r="I886" s="1"/>
    </row>
    <row r="887" spans="2:9" ht="15.75" customHeight="1" x14ac:dyDescent="0.25">
      <c r="B887" s="1"/>
      <c r="C887" s="1"/>
      <c r="D887" s="1"/>
      <c r="E887" s="1"/>
      <c r="F887" s="1"/>
      <c r="G887" s="1"/>
      <c r="H887" s="1"/>
      <c r="I887" s="1"/>
    </row>
    <row r="888" spans="2:9" ht="15.75" customHeight="1" x14ac:dyDescent="0.25">
      <c r="B888" s="1"/>
      <c r="C888" s="1"/>
      <c r="D888" s="1"/>
      <c r="E888" s="1"/>
      <c r="F888" s="1"/>
      <c r="G888" s="1"/>
      <c r="H888" s="1"/>
      <c r="I888" s="1"/>
    </row>
    <row r="889" spans="2:9" ht="15.75" customHeight="1" x14ac:dyDescent="0.25">
      <c r="B889" s="1"/>
      <c r="C889" s="1"/>
      <c r="D889" s="1"/>
      <c r="E889" s="1"/>
      <c r="F889" s="1"/>
      <c r="G889" s="1"/>
      <c r="H889" s="1"/>
      <c r="I889" s="1"/>
    </row>
    <row r="890" spans="2:9" ht="15.75" customHeight="1" x14ac:dyDescent="0.25">
      <c r="B890" s="1"/>
      <c r="C890" s="1"/>
      <c r="D890" s="1"/>
      <c r="E890" s="1"/>
      <c r="F890" s="1"/>
      <c r="G890" s="1"/>
      <c r="H890" s="1"/>
      <c r="I890" s="1"/>
    </row>
    <row r="891" spans="2:9" ht="15.75" customHeight="1" x14ac:dyDescent="0.25">
      <c r="B891" s="1"/>
      <c r="C891" s="1"/>
      <c r="D891" s="1"/>
      <c r="E891" s="1"/>
      <c r="F891" s="1"/>
      <c r="G891" s="1"/>
      <c r="H891" s="1"/>
      <c r="I891" s="1"/>
    </row>
    <row r="892" spans="2:9" ht="15.75" customHeight="1" x14ac:dyDescent="0.25">
      <c r="B892" s="1"/>
      <c r="C892" s="1"/>
      <c r="D892" s="1"/>
      <c r="E892" s="1"/>
      <c r="F892" s="1"/>
      <c r="G892" s="1"/>
      <c r="H892" s="1"/>
      <c r="I892" s="1"/>
    </row>
    <row r="893" spans="2:9" ht="15.75" customHeight="1" x14ac:dyDescent="0.25">
      <c r="B893" s="1"/>
      <c r="C893" s="1"/>
      <c r="D893" s="1"/>
      <c r="E893" s="1"/>
      <c r="F893" s="1"/>
      <c r="G893" s="1"/>
      <c r="H893" s="1"/>
      <c r="I893" s="1"/>
    </row>
    <row r="894" spans="2:9" ht="15.75" customHeight="1" x14ac:dyDescent="0.25">
      <c r="B894" s="1"/>
      <c r="C894" s="1"/>
      <c r="D894" s="1"/>
      <c r="E894" s="1"/>
      <c r="F894" s="1"/>
      <c r="G894" s="1"/>
      <c r="H894" s="1"/>
      <c r="I894" s="1"/>
    </row>
    <row r="895" spans="2:9" ht="15.75" customHeight="1" x14ac:dyDescent="0.25">
      <c r="B895" s="1"/>
      <c r="C895" s="1"/>
      <c r="D895" s="1"/>
      <c r="E895" s="1"/>
      <c r="F895" s="1"/>
      <c r="G895" s="1"/>
      <c r="H895" s="1"/>
      <c r="I895" s="1"/>
    </row>
    <row r="896" spans="2:9" ht="15.75" customHeight="1" x14ac:dyDescent="0.25">
      <c r="B896" s="1"/>
      <c r="C896" s="1"/>
      <c r="D896" s="1"/>
      <c r="E896" s="1"/>
      <c r="F896" s="1"/>
      <c r="G896" s="1"/>
      <c r="H896" s="1"/>
      <c r="I896" s="1"/>
    </row>
    <row r="897" spans="2:9" ht="15.75" customHeight="1" x14ac:dyDescent="0.25">
      <c r="B897" s="1"/>
      <c r="C897" s="1"/>
      <c r="D897" s="1"/>
      <c r="E897" s="1"/>
      <c r="F897" s="1"/>
      <c r="G897" s="1"/>
      <c r="H897" s="1"/>
      <c r="I897" s="1"/>
    </row>
    <row r="898" spans="2:9" ht="15.75" customHeight="1" x14ac:dyDescent="0.25">
      <c r="B898" s="1"/>
      <c r="C898" s="1"/>
      <c r="D898" s="1"/>
      <c r="E898" s="1"/>
      <c r="F898" s="1"/>
      <c r="G898" s="1"/>
      <c r="H898" s="1"/>
      <c r="I898" s="1"/>
    </row>
    <row r="899" spans="2:9" ht="15.75" customHeight="1" x14ac:dyDescent="0.25">
      <c r="B899" s="1"/>
      <c r="C899" s="1"/>
      <c r="D899" s="1"/>
      <c r="E899" s="1"/>
      <c r="F899" s="1"/>
      <c r="G899" s="1"/>
      <c r="H899" s="1"/>
      <c r="I899" s="1"/>
    </row>
    <row r="900" spans="2:9" ht="15.75" customHeight="1" x14ac:dyDescent="0.25">
      <c r="B900" s="1"/>
      <c r="C900" s="1"/>
      <c r="D900" s="1"/>
      <c r="E900" s="1"/>
      <c r="F900" s="1"/>
      <c r="G900" s="1"/>
      <c r="H900" s="1"/>
      <c r="I900" s="1"/>
    </row>
    <row r="901" spans="2:9" ht="15.75" customHeight="1" x14ac:dyDescent="0.25">
      <c r="B901" s="1"/>
      <c r="C901" s="1"/>
      <c r="D901" s="1"/>
      <c r="E901" s="1"/>
      <c r="F901" s="1"/>
      <c r="G901" s="1"/>
      <c r="H901" s="1"/>
      <c r="I901" s="1"/>
    </row>
    <row r="902" spans="2:9" ht="15.75" customHeight="1" x14ac:dyDescent="0.25">
      <c r="B902" s="1"/>
      <c r="C902" s="1"/>
      <c r="D902" s="1"/>
      <c r="E902" s="1"/>
      <c r="F902" s="1"/>
      <c r="G902" s="1"/>
      <c r="H902" s="1"/>
      <c r="I902" s="1"/>
    </row>
    <row r="903" spans="2:9" ht="15.75" customHeight="1" x14ac:dyDescent="0.25">
      <c r="B903" s="1"/>
      <c r="C903" s="1"/>
      <c r="D903" s="1"/>
      <c r="E903" s="1"/>
      <c r="F903" s="1"/>
      <c r="G903" s="1"/>
      <c r="H903" s="1"/>
      <c r="I903" s="1"/>
    </row>
    <row r="904" spans="2:9" ht="15.75" customHeight="1" x14ac:dyDescent="0.25">
      <c r="B904" s="1"/>
      <c r="C904" s="1"/>
      <c r="D904" s="1"/>
      <c r="E904" s="1"/>
      <c r="F904" s="1"/>
      <c r="G904" s="1"/>
      <c r="H904" s="1"/>
      <c r="I904" s="1"/>
    </row>
    <row r="905" spans="2:9" ht="15.75" customHeight="1" x14ac:dyDescent="0.25">
      <c r="B905" s="1"/>
      <c r="C905" s="1"/>
      <c r="D905" s="1"/>
      <c r="E905" s="1"/>
      <c r="F905" s="1"/>
      <c r="G905" s="1"/>
      <c r="H905" s="1"/>
      <c r="I905" s="1"/>
    </row>
    <row r="906" spans="2:9" ht="15.75" customHeight="1" x14ac:dyDescent="0.25">
      <c r="B906" s="1"/>
      <c r="C906" s="1"/>
      <c r="D906" s="1"/>
      <c r="E906" s="1"/>
      <c r="F906" s="1"/>
      <c r="G906" s="1"/>
      <c r="H906" s="1"/>
      <c r="I906" s="1"/>
    </row>
    <row r="907" spans="2:9" ht="15.75" customHeight="1" x14ac:dyDescent="0.25">
      <c r="B907" s="1"/>
      <c r="C907" s="1"/>
      <c r="D907" s="1"/>
      <c r="E907" s="1"/>
      <c r="F907" s="1"/>
      <c r="G907" s="1"/>
      <c r="H907" s="1"/>
      <c r="I907" s="1"/>
    </row>
    <row r="908" spans="2:9" ht="15.75" customHeight="1" x14ac:dyDescent="0.25">
      <c r="B908" s="1"/>
      <c r="C908" s="1"/>
      <c r="D908" s="1"/>
      <c r="E908" s="1"/>
      <c r="F908" s="1"/>
      <c r="G908" s="1"/>
      <c r="H908" s="1"/>
      <c r="I908" s="1"/>
    </row>
    <row r="909" spans="2:9" ht="15.75" customHeight="1" x14ac:dyDescent="0.25">
      <c r="B909" s="1"/>
      <c r="C909" s="1"/>
      <c r="D909" s="1"/>
      <c r="E909" s="1"/>
      <c r="F909" s="1"/>
      <c r="G909" s="1"/>
      <c r="H909" s="1"/>
      <c r="I909" s="1"/>
    </row>
    <row r="910" spans="2:9" ht="15.75" customHeight="1" x14ac:dyDescent="0.25">
      <c r="B910" s="1"/>
      <c r="C910" s="1"/>
      <c r="D910" s="1"/>
      <c r="E910" s="1"/>
      <c r="F910" s="1"/>
      <c r="G910" s="1"/>
      <c r="H910" s="1"/>
      <c r="I910" s="1"/>
    </row>
    <row r="911" spans="2:9" ht="15.75" customHeight="1" x14ac:dyDescent="0.25">
      <c r="B911" s="1"/>
      <c r="C911" s="1"/>
      <c r="D911" s="1"/>
      <c r="E911" s="1"/>
      <c r="F911" s="1"/>
      <c r="G911" s="1"/>
      <c r="H911" s="1"/>
      <c r="I911" s="1"/>
    </row>
    <row r="912" spans="2:9" ht="15.75" customHeight="1" x14ac:dyDescent="0.25">
      <c r="B912" s="1"/>
      <c r="C912" s="1"/>
      <c r="D912" s="1"/>
      <c r="E912" s="1"/>
      <c r="F912" s="1"/>
      <c r="G912" s="1"/>
      <c r="H912" s="1"/>
      <c r="I912" s="1"/>
    </row>
    <row r="913" spans="2:9" ht="15.75" customHeight="1" x14ac:dyDescent="0.25">
      <c r="B913" s="1"/>
      <c r="C913" s="1"/>
      <c r="D913" s="1"/>
      <c r="E913" s="1"/>
      <c r="F913" s="1"/>
      <c r="G913" s="1"/>
      <c r="H913" s="1"/>
      <c r="I913" s="1"/>
    </row>
    <row r="914" spans="2:9" ht="15.75" customHeight="1" x14ac:dyDescent="0.25">
      <c r="B914" s="1"/>
      <c r="C914" s="1"/>
      <c r="D914" s="1"/>
      <c r="E914" s="1"/>
      <c r="F914" s="1"/>
      <c r="G914" s="1"/>
      <c r="H914" s="1"/>
      <c r="I914" s="1"/>
    </row>
    <row r="915" spans="2:9" ht="15.75" customHeight="1" x14ac:dyDescent="0.25">
      <c r="B915" s="1"/>
      <c r="C915" s="1"/>
      <c r="D915" s="1"/>
      <c r="E915" s="1"/>
      <c r="F915" s="1"/>
      <c r="G915" s="1"/>
      <c r="H915" s="1"/>
      <c r="I915" s="1"/>
    </row>
    <row r="916" spans="2:9" ht="15.75" customHeight="1" x14ac:dyDescent="0.25">
      <c r="B916" s="1"/>
      <c r="C916" s="1"/>
      <c r="D916" s="1"/>
      <c r="E916" s="1"/>
      <c r="F916" s="1"/>
      <c r="G916" s="1"/>
      <c r="H916" s="1"/>
      <c r="I916" s="1"/>
    </row>
    <row r="917" spans="2:9" ht="15.75" customHeight="1" x14ac:dyDescent="0.25">
      <c r="B917" s="1"/>
      <c r="C917" s="1"/>
      <c r="D917" s="1"/>
      <c r="E917" s="1"/>
      <c r="F917" s="1"/>
      <c r="G917" s="1"/>
      <c r="H917" s="1"/>
      <c r="I917" s="1"/>
    </row>
    <row r="918" spans="2:9" ht="15.75" customHeight="1" x14ac:dyDescent="0.25">
      <c r="B918" s="1"/>
      <c r="C918" s="1"/>
      <c r="D918" s="1"/>
      <c r="E918" s="1"/>
      <c r="F918" s="1"/>
      <c r="G918" s="1"/>
      <c r="H918" s="1"/>
      <c r="I918" s="1"/>
    </row>
    <row r="919" spans="2:9" ht="15.75" customHeight="1" x14ac:dyDescent="0.25">
      <c r="B919" s="1"/>
      <c r="C919" s="1"/>
      <c r="D919" s="1"/>
      <c r="E919" s="1"/>
      <c r="F919" s="1"/>
      <c r="G919" s="1"/>
      <c r="H919" s="1"/>
      <c r="I919" s="1"/>
    </row>
    <row r="920" spans="2:9" ht="15.75" customHeight="1" x14ac:dyDescent="0.25">
      <c r="B920" s="1"/>
      <c r="C920" s="1"/>
      <c r="D920" s="1"/>
      <c r="E920" s="1"/>
      <c r="F920" s="1"/>
      <c r="G920" s="1"/>
      <c r="H920" s="1"/>
      <c r="I920" s="1"/>
    </row>
    <row r="921" spans="2:9" ht="15.75" customHeight="1" x14ac:dyDescent="0.25">
      <c r="B921" s="1"/>
      <c r="C921" s="1"/>
      <c r="D921" s="1"/>
      <c r="E921" s="1"/>
      <c r="F921" s="1"/>
      <c r="G921" s="1"/>
      <c r="H921" s="1"/>
      <c r="I921" s="1"/>
    </row>
    <row r="922" spans="2:9" ht="15.75" customHeight="1" x14ac:dyDescent="0.25">
      <c r="B922" s="1"/>
      <c r="C922" s="1"/>
      <c r="D922" s="1"/>
      <c r="E922" s="1"/>
      <c r="F922" s="1"/>
      <c r="G922" s="1"/>
      <c r="H922" s="1"/>
      <c r="I922" s="1"/>
    </row>
    <row r="923" spans="2:9" ht="15.75" customHeight="1" x14ac:dyDescent="0.25">
      <c r="B923" s="1"/>
      <c r="C923" s="1"/>
      <c r="D923" s="1"/>
      <c r="E923" s="1"/>
      <c r="F923" s="1"/>
      <c r="G923" s="1"/>
      <c r="H923" s="1"/>
      <c r="I923" s="1"/>
    </row>
    <row r="924" spans="2:9" ht="15.75" customHeight="1" x14ac:dyDescent="0.25">
      <c r="B924" s="1"/>
      <c r="C924" s="1"/>
      <c r="D924" s="1"/>
      <c r="E924" s="1"/>
      <c r="F924" s="1"/>
      <c r="G924" s="1"/>
      <c r="H924" s="1"/>
      <c r="I924" s="1"/>
    </row>
    <row r="925" spans="2:9" ht="15.75" customHeight="1" x14ac:dyDescent="0.25">
      <c r="B925" s="1"/>
      <c r="C925" s="1"/>
      <c r="D925" s="1"/>
      <c r="E925" s="1"/>
      <c r="F925" s="1"/>
      <c r="G925" s="1"/>
      <c r="H925" s="1"/>
      <c r="I925" s="1"/>
    </row>
    <row r="926" spans="2:9" ht="15.75" customHeight="1" x14ac:dyDescent="0.25">
      <c r="B926" s="1"/>
      <c r="C926" s="1"/>
      <c r="D926" s="1"/>
      <c r="E926" s="1"/>
      <c r="F926" s="1"/>
      <c r="G926" s="1"/>
      <c r="H926" s="1"/>
      <c r="I926" s="1"/>
    </row>
    <row r="927" spans="2:9" ht="15.75" customHeight="1" x14ac:dyDescent="0.25">
      <c r="B927" s="1"/>
      <c r="C927" s="1"/>
      <c r="D927" s="1"/>
      <c r="E927" s="1"/>
      <c r="F927" s="1"/>
      <c r="G927" s="1"/>
      <c r="H927" s="1"/>
      <c r="I927" s="1"/>
    </row>
    <row r="928" spans="2:9" ht="15.75" customHeight="1" x14ac:dyDescent="0.25">
      <c r="B928" s="1"/>
      <c r="C928" s="1"/>
      <c r="D928" s="1"/>
      <c r="E928" s="1"/>
      <c r="F928" s="1"/>
      <c r="G928" s="1"/>
      <c r="H928" s="1"/>
      <c r="I928" s="1"/>
    </row>
    <row r="929" spans="2:9" ht="15.75" customHeight="1" x14ac:dyDescent="0.25">
      <c r="B929" s="1"/>
      <c r="C929" s="1"/>
      <c r="D929" s="1"/>
      <c r="E929" s="1"/>
      <c r="F929" s="1"/>
      <c r="G929" s="1"/>
      <c r="H929" s="1"/>
      <c r="I929" s="1"/>
    </row>
    <row r="930" spans="2:9" ht="15.75" customHeight="1" x14ac:dyDescent="0.25">
      <c r="B930" s="1"/>
      <c r="C930" s="1"/>
      <c r="D930" s="1"/>
      <c r="E930" s="1"/>
      <c r="F930" s="1"/>
      <c r="G930" s="1"/>
      <c r="H930" s="1"/>
      <c r="I930" s="1"/>
    </row>
    <row r="931" spans="2:9" ht="15.75" customHeight="1" x14ac:dyDescent="0.25">
      <c r="B931" s="1"/>
      <c r="C931" s="1"/>
      <c r="D931" s="1"/>
      <c r="E931" s="1"/>
      <c r="F931" s="1"/>
      <c r="G931" s="1"/>
      <c r="H931" s="1"/>
      <c r="I931" s="1"/>
    </row>
    <row r="932" spans="2:9" ht="15.75" customHeight="1" x14ac:dyDescent="0.25">
      <c r="B932" s="1"/>
      <c r="C932" s="1"/>
      <c r="D932" s="1"/>
      <c r="E932" s="1"/>
      <c r="F932" s="1"/>
      <c r="G932" s="1"/>
      <c r="H932" s="1"/>
      <c r="I932" s="1"/>
    </row>
    <row r="933" spans="2:9" ht="15.75" customHeight="1" x14ac:dyDescent="0.25">
      <c r="B933" s="1"/>
      <c r="C933" s="1"/>
      <c r="D933" s="1"/>
      <c r="E933" s="1"/>
      <c r="F933" s="1"/>
      <c r="G933" s="1"/>
      <c r="H933" s="1"/>
      <c r="I933" s="1"/>
    </row>
    <row r="934" spans="2:9" ht="15.75" customHeight="1" x14ac:dyDescent="0.25">
      <c r="B934" s="1"/>
      <c r="C934" s="1"/>
      <c r="D934" s="1"/>
      <c r="E934" s="1"/>
      <c r="F934" s="1"/>
      <c r="G934" s="1"/>
      <c r="H934" s="1"/>
      <c r="I934" s="1"/>
    </row>
    <row r="935" spans="2:9" ht="15.75" customHeight="1" x14ac:dyDescent="0.25">
      <c r="B935" s="1"/>
      <c r="C935" s="1"/>
      <c r="D935" s="1"/>
      <c r="E935" s="1"/>
      <c r="F935" s="1"/>
      <c r="G935" s="1"/>
      <c r="H935" s="1"/>
      <c r="I935" s="1"/>
    </row>
    <row r="936" spans="2:9" ht="15.75" customHeight="1" x14ac:dyDescent="0.25">
      <c r="B936" s="1"/>
      <c r="C936" s="1"/>
      <c r="D936" s="1"/>
      <c r="E936" s="1"/>
      <c r="F936" s="1"/>
      <c r="G936" s="1"/>
      <c r="H936" s="1"/>
      <c r="I936" s="1"/>
    </row>
    <row r="937" spans="2:9" ht="15.75" customHeight="1" x14ac:dyDescent="0.25">
      <c r="B937" s="1"/>
      <c r="C937" s="1"/>
      <c r="D937" s="1"/>
      <c r="E937" s="1"/>
      <c r="F937" s="1"/>
      <c r="G937" s="1"/>
      <c r="H937" s="1"/>
      <c r="I937" s="1"/>
    </row>
    <row r="938" spans="2:9" ht="15.75" customHeight="1" x14ac:dyDescent="0.25">
      <c r="B938" s="1"/>
      <c r="C938" s="1"/>
      <c r="D938" s="1"/>
      <c r="E938" s="1"/>
      <c r="F938" s="1"/>
      <c r="G938" s="1"/>
      <c r="H938" s="1"/>
      <c r="I938" s="1"/>
    </row>
    <row r="939" spans="2:9" ht="15.75" customHeight="1" x14ac:dyDescent="0.25">
      <c r="B939" s="1"/>
      <c r="C939" s="1"/>
      <c r="D939" s="1"/>
      <c r="E939" s="1"/>
      <c r="F939" s="1"/>
      <c r="G939" s="1"/>
      <c r="H939" s="1"/>
      <c r="I939" s="1"/>
    </row>
    <row r="940" spans="2:9" ht="15.75" customHeight="1" x14ac:dyDescent="0.25">
      <c r="B940" s="1"/>
      <c r="C940" s="1"/>
      <c r="D940" s="1"/>
      <c r="E940" s="1"/>
      <c r="F940" s="1"/>
      <c r="G940" s="1"/>
      <c r="H940" s="1"/>
      <c r="I940" s="1"/>
    </row>
    <row r="941" spans="2:9" ht="15.75" customHeight="1" x14ac:dyDescent="0.25">
      <c r="B941" s="1"/>
      <c r="C941" s="1"/>
      <c r="D941" s="1"/>
      <c r="E941" s="1"/>
      <c r="F941" s="1"/>
      <c r="G941" s="1"/>
      <c r="H941" s="1"/>
      <c r="I941" s="1"/>
    </row>
    <row r="942" spans="2:9" ht="15.75" customHeight="1" x14ac:dyDescent="0.25">
      <c r="B942" s="1"/>
      <c r="C942" s="1"/>
      <c r="D942" s="1"/>
      <c r="E942" s="1"/>
      <c r="F942" s="1"/>
      <c r="G942" s="1"/>
      <c r="H942" s="1"/>
      <c r="I942" s="1"/>
    </row>
    <row r="943" spans="2:9" ht="15.75" customHeight="1" x14ac:dyDescent="0.25">
      <c r="B943" s="1"/>
      <c r="C943" s="1"/>
      <c r="D943" s="1"/>
      <c r="E943" s="1"/>
      <c r="F943" s="1"/>
      <c r="G943" s="1"/>
      <c r="H943" s="1"/>
      <c r="I943" s="1"/>
    </row>
    <row r="944" spans="2:9" ht="15.75" customHeight="1" x14ac:dyDescent="0.25">
      <c r="B944" s="1"/>
      <c r="C944" s="1"/>
      <c r="D944" s="1"/>
      <c r="E944" s="1"/>
      <c r="F944" s="1"/>
      <c r="G944" s="1"/>
      <c r="H944" s="1"/>
      <c r="I944" s="1"/>
    </row>
    <row r="945" spans="2:9" ht="15.75" customHeight="1" x14ac:dyDescent="0.25">
      <c r="B945" s="1"/>
      <c r="C945" s="1"/>
      <c r="D945" s="1"/>
      <c r="E945" s="1"/>
      <c r="F945" s="1"/>
      <c r="G945" s="1"/>
      <c r="H945" s="1"/>
      <c r="I945" s="1"/>
    </row>
    <row r="946" spans="2:9" ht="15.75" customHeight="1" x14ac:dyDescent="0.25">
      <c r="B946" s="1"/>
      <c r="C946" s="1"/>
      <c r="D946" s="1"/>
      <c r="E946" s="1"/>
      <c r="F946" s="1"/>
      <c r="G946" s="1"/>
      <c r="H946" s="1"/>
      <c r="I946" s="1"/>
    </row>
    <row r="947" spans="2:9" ht="15.75" customHeight="1" x14ac:dyDescent="0.25">
      <c r="B947" s="1"/>
      <c r="C947" s="1"/>
      <c r="D947" s="1"/>
      <c r="E947" s="1"/>
      <c r="F947" s="1"/>
      <c r="G947" s="1"/>
      <c r="H947" s="1"/>
      <c r="I947" s="1"/>
    </row>
    <row r="948" spans="2:9" ht="15.75" customHeight="1" x14ac:dyDescent="0.25">
      <c r="B948" s="1"/>
      <c r="C948" s="1"/>
      <c r="D948" s="1"/>
      <c r="E948" s="1"/>
      <c r="F948" s="1"/>
      <c r="G948" s="1"/>
      <c r="H948" s="1"/>
      <c r="I948" s="1"/>
    </row>
    <row r="949" spans="2:9" ht="15.75" customHeight="1" x14ac:dyDescent="0.25">
      <c r="B949" s="1"/>
      <c r="C949" s="1"/>
      <c r="D949" s="1"/>
      <c r="E949" s="1"/>
      <c r="F949" s="1"/>
      <c r="G949" s="1"/>
      <c r="H949" s="1"/>
      <c r="I949" s="1"/>
    </row>
    <row r="950" spans="2:9" ht="15.75" customHeight="1" x14ac:dyDescent="0.25">
      <c r="B950" s="1"/>
      <c r="C950" s="1"/>
      <c r="D950" s="1"/>
      <c r="E950" s="1"/>
      <c r="F950" s="1"/>
      <c r="G950" s="1"/>
      <c r="H950" s="1"/>
      <c r="I950" s="1"/>
    </row>
    <row r="951" spans="2:9" ht="15.75" customHeight="1" x14ac:dyDescent="0.25">
      <c r="B951" s="1"/>
      <c r="C951" s="1"/>
      <c r="D951" s="1"/>
      <c r="E951" s="1"/>
      <c r="F951" s="1"/>
      <c r="G951" s="1"/>
      <c r="H951" s="1"/>
      <c r="I951" s="1"/>
    </row>
    <row r="952" spans="2:9" ht="15.75" customHeight="1" x14ac:dyDescent="0.25">
      <c r="B952" s="1"/>
      <c r="C952" s="1"/>
      <c r="D952" s="1"/>
      <c r="E952" s="1"/>
      <c r="F952" s="1"/>
      <c r="G952" s="1"/>
      <c r="H952" s="1"/>
      <c r="I952" s="1"/>
    </row>
    <row r="953" spans="2:9" ht="15.75" customHeight="1" x14ac:dyDescent="0.25">
      <c r="B953" s="1"/>
      <c r="C953" s="1"/>
      <c r="D953" s="1"/>
      <c r="E953" s="1"/>
      <c r="F953" s="1"/>
      <c r="G953" s="1"/>
      <c r="H953" s="1"/>
      <c r="I953" s="1"/>
    </row>
    <row r="954" spans="2:9" ht="15.75" customHeight="1" x14ac:dyDescent="0.25">
      <c r="B954" s="1"/>
      <c r="C954" s="1"/>
      <c r="D954" s="1"/>
      <c r="E954" s="1"/>
      <c r="F954" s="1"/>
      <c r="G954" s="1"/>
      <c r="H954" s="1"/>
      <c r="I954" s="1"/>
    </row>
    <row r="955" spans="2:9" ht="15.75" customHeight="1" x14ac:dyDescent="0.25">
      <c r="B955" s="1"/>
      <c r="C955" s="1"/>
      <c r="D955" s="1"/>
      <c r="E955" s="1"/>
      <c r="F955" s="1"/>
      <c r="G955" s="1"/>
      <c r="H955" s="1"/>
      <c r="I955" s="1"/>
    </row>
    <row r="956" spans="2:9" ht="15.75" customHeight="1" x14ac:dyDescent="0.25">
      <c r="B956" s="1"/>
      <c r="C956" s="1"/>
      <c r="D956" s="1"/>
      <c r="E956" s="1"/>
      <c r="F956" s="1"/>
      <c r="G956" s="1"/>
      <c r="H956" s="1"/>
      <c r="I956" s="1"/>
    </row>
    <row r="957" spans="2:9" ht="15.75" customHeight="1" x14ac:dyDescent="0.25">
      <c r="B957" s="1"/>
      <c r="C957" s="1"/>
      <c r="D957" s="1"/>
      <c r="E957" s="1"/>
      <c r="F957" s="1"/>
      <c r="G957" s="1"/>
      <c r="H957" s="1"/>
      <c r="I957" s="1"/>
    </row>
    <row r="958" spans="2:9" ht="15.75" customHeight="1" x14ac:dyDescent="0.25">
      <c r="B958" s="1"/>
      <c r="C958" s="1"/>
      <c r="D958" s="1"/>
      <c r="E958" s="1"/>
      <c r="F958" s="1"/>
      <c r="G958" s="1"/>
      <c r="H958" s="1"/>
      <c r="I958" s="1"/>
    </row>
    <row r="959" spans="2:9" ht="15.75" customHeight="1" x14ac:dyDescent="0.25">
      <c r="B959" s="1"/>
      <c r="C959" s="1"/>
      <c r="D959" s="1"/>
      <c r="E959" s="1"/>
      <c r="F959" s="1"/>
      <c r="G959" s="1"/>
      <c r="H959" s="1"/>
      <c r="I959" s="1"/>
    </row>
    <row r="960" spans="2:9" ht="15.75" customHeight="1" x14ac:dyDescent="0.25">
      <c r="B960" s="1"/>
      <c r="C960" s="1"/>
      <c r="D960" s="1"/>
      <c r="E960" s="1"/>
      <c r="F960" s="1"/>
      <c r="G960" s="1"/>
      <c r="H960" s="1"/>
      <c r="I960" s="1"/>
    </row>
    <row r="961" spans="2:9" ht="15.75" customHeight="1" x14ac:dyDescent="0.25">
      <c r="B961" s="1"/>
      <c r="C961" s="1"/>
      <c r="D961" s="1"/>
      <c r="E961" s="1"/>
      <c r="F961" s="1"/>
      <c r="G961" s="1"/>
      <c r="H961" s="1"/>
      <c r="I961" s="1"/>
    </row>
    <row r="962" spans="2:9" ht="15.75" customHeight="1" x14ac:dyDescent="0.25">
      <c r="B962" s="1"/>
      <c r="C962" s="1"/>
      <c r="D962" s="1"/>
      <c r="E962" s="1"/>
      <c r="F962" s="1"/>
      <c r="G962" s="1"/>
      <c r="H962" s="1"/>
      <c r="I962" s="1"/>
    </row>
    <row r="963" spans="2:9" ht="15.75" customHeight="1" x14ac:dyDescent="0.25">
      <c r="B963" s="1"/>
      <c r="C963" s="1"/>
      <c r="D963" s="1"/>
      <c r="E963" s="1"/>
      <c r="F963" s="1"/>
      <c r="G963" s="1"/>
      <c r="H963" s="1"/>
      <c r="I963" s="1"/>
    </row>
    <row r="964" spans="2:9" ht="15.75" customHeight="1" x14ac:dyDescent="0.25">
      <c r="B964" s="1"/>
      <c r="C964" s="1"/>
      <c r="D964" s="1"/>
      <c r="E964" s="1"/>
      <c r="F964" s="1"/>
      <c r="G964" s="1"/>
      <c r="H964" s="1"/>
      <c r="I964" s="1"/>
    </row>
    <row r="965" spans="2:9" ht="15.75" customHeight="1" x14ac:dyDescent="0.25">
      <c r="B965" s="1"/>
      <c r="C965" s="1"/>
      <c r="D965" s="1"/>
      <c r="E965" s="1"/>
      <c r="F965" s="1"/>
      <c r="G965" s="1"/>
      <c r="H965" s="1"/>
      <c r="I965" s="1"/>
    </row>
    <row r="966" spans="2:9" ht="15.75" customHeight="1" x14ac:dyDescent="0.25">
      <c r="B966" s="1"/>
      <c r="C966" s="1"/>
      <c r="D966" s="1"/>
      <c r="E966" s="1"/>
      <c r="F966" s="1"/>
      <c r="G966" s="1"/>
      <c r="H966" s="1"/>
      <c r="I966" s="1"/>
    </row>
    <row r="967" spans="2:9" ht="15.75" customHeight="1" x14ac:dyDescent="0.25">
      <c r="B967" s="1"/>
      <c r="C967" s="1"/>
      <c r="D967" s="1"/>
      <c r="E967" s="1"/>
      <c r="F967" s="1"/>
      <c r="G967" s="1"/>
      <c r="H967" s="1"/>
      <c r="I967" s="1"/>
    </row>
    <row r="968" spans="2:9" ht="15.75" customHeight="1" x14ac:dyDescent="0.25">
      <c r="B968" s="1"/>
      <c r="C968" s="1"/>
      <c r="D968" s="1"/>
      <c r="E968" s="1"/>
      <c r="F968" s="1"/>
      <c r="G968" s="1"/>
      <c r="H968" s="1"/>
      <c r="I968" s="1"/>
    </row>
    <row r="969" spans="2:9" ht="15.75" customHeight="1" x14ac:dyDescent="0.25">
      <c r="B969" s="1"/>
      <c r="C969" s="1"/>
      <c r="D969" s="1"/>
      <c r="E969" s="1"/>
      <c r="F969" s="1"/>
      <c r="G969" s="1"/>
      <c r="H969" s="1"/>
      <c r="I969" s="1"/>
    </row>
    <row r="970" spans="2:9" ht="15.75" customHeight="1" x14ac:dyDescent="0.25">
      <c r="B970" s="1"/>
      <c r="C970" s="1"/>
      <c r="D970" s="1"/>
      <c r="E970" s="1"/>
      <c r="F970" s="1"/>
      <c r="G970" s="1"/>
      <c r="H970" s="1"/>
      <c r="I970" s="1"/>
    </row>
    <row r="971" spans="2:9" ht="15.75" customHeight="1" x14ac:dyDescent="0.25">
      <c r="B971" s="1"/>
      <c r="C971" s="1"/>
      <c r="D971" s="1"/>
      <c r="E971" s="1"/>
      <c r="F971" s="1"/>
      <c r="G971" s="1"/>
      <c r="H971" s="1"/>
      <c r="I971" s="1"/>
    </row>
    <row r="972" spans="2:9" ht="15.75" customHeight="1" x14ac:dyDescent="0.25">
      <c r="B972" s="1"/>
      <c r="C972" s="1"/>
      <c r="D972" s="1"/>
      <c r="E972" s="1"/>
      <c r="F972" s="1"/>
      <c r="G972" s="1"/>
      <c r="H972" s="1"/>
      <c r="I972" s="1"/>
    </row>
    <row r="973" spans="2:9" ht="15.75" customHeight="1" x14ac:dyDescent="0.25">
      <c r="B973" s="1"/>
      <c r="C973" s="1"/>
      <c r="D973" s="1"/>
      <c r="E973" s="1"/>
      <c r="F973" s="1"/>
      <c r="G973" s="1"/>
      <c r="H973" s="1"/>
      <c r="I973" s="1"/>
    </row>
    <row r="974" spans="2:9" ht="15.75" customHeight="1" x14ac:dyDescent="0.25">
      <c r="B974" s="1"/>
      <c r="C974" s="1"/>
      <c r="D974" s="1"/>
      <c r="E974" s="1"/>
      <c r="F974" s="1"/>
      <c r="G974" s="1"/>
      <c r="H974" s="1"/>
      <c r="I974" s="1"/>
    </row>
    <row r="975" spans="2:9" ht="15.75" customHeight="1" x14ac:dyDescent="0.25">
      <c r="B975" s="1"/>
      <c r="C975" s="1"/>
      <c r="D975" s="1"/>
      <c r="E975" s="1"/>
      <c r="F975" s="1"/>
      <c r="G975" s="1"/>
      <c r="H975" s="1"/>
      <c r="I975" s="1"/>
    </row>
    <row r="976" spans="2:9" ht="15.75" customHeight="1" x14ac:dyDescent="0.25">
      <c r="B976" s="1"/>
      <c r="C976" s="1"/>
      <c r="D976" s="1"/>
      <c r="E976" s="1"/>
      <c r="F976" s="1"/>
      <c r="G976" s="1"/>
      <c r="H976" s="1"/>
      <c r="I976" s="1"/>
    </row>
    <row r="977" spans="2:9" ht="15.75" customHeight="1" x14ac:dyDescent="0.25">
      <c r="B977" s="1"/>
      <c r="C977" s="1"/>
      <c r="D977" s="1"/>
      <c r="E977" s="1"/>
      <c r="F977" s="1"/>
      <c r="G977" s="1"/>
      <c r="H977" s="1"/>
      <c r="I977" s="1"/>
    </row>
    <row r="978" spans="2:9" ht="15.75" customHeight="1" x14ac:dyDescent="0.25">
      <c r="B978" s="1"/>
      <c r="C978" s="1"/>
      <c r="D978" s="1"/>
      <c r="E978" s="1"/>
      <c r="F978" s="1"/>
      <c r="G978" s="1"/>
      <c r="H978" s="1"/>
      <c r="I978" s="1"/>
    </row>
    <row r="979" spans="2:9" ht="15.75" customHeight="1" x14ac:dyDescent="0.25">
      <c r="B979" s="1"/>
      <c r="C979" s="1"/>
      <c r="D979" s="1"/>
      <c r="E979" s="1"/>
      <c r="F979" s="1"/>
      <c r="G979" s="1"/>
      <c r="H979" s="1"/>
      <c r="I979" s="1"/>
    </row>
    <row r="980" spans="2:9" ht="15.75" customHeight="1" x14ac:dyDescent="0.25">
      <c r="B980" s="1"/>
      <c r="C980" s="1"/>
      <c r="D980" s="1"/>
      <c r="E980" s="1"/>
      <c r="F980" s="1"/>
      <c r="G980" s="1"/>
      <c r="H980" s="1"/>
      <c r="I980" s="1"/>
    </row>
    <row r="981" spans="2:9" ht="15.75" customHeight="1" x14ac:dyDescent="0.25">
      <c r="B981" s="1"/>
      <c r="C981" s="1"/>
      <c r="D981" s="1"/>
      <c r="E981" s="1"/>
      <c r="F981" s="1"/>
      <c r="G981" s="1"/>
      <c r="H981" s="1"/>
      <c r="I981" s="1"/>
    </row>
    <row r="982" spans="2:9" ht="15.75" customHeight="1" x14ac:dyDescent="0.25">
      <c r="B982" s="1"/>
      <c r="C982" s="1"/>
      <c r="D982" s="1"/>
      <c r="E982" s="1"/>
      <c r="F982" s="1"/>
      <c r="G982" s="1"/>
      <c r="H982" s="1"/>
      <c r="I982" s="1"/>
    </row>
    <row r="983" spans="2:9" ht="15.75" customHeight="1" x14ac:dyDescent="0.25">
      <c r="B983" s="1"/>
      <c r="C983" s="1"/>
      <c r="D983" s="1"/>
      <c r="E983" s="1"/>
      <c r="F983" s="1"/>
      <c r="G983" s="1"/>
      <c r="H983" s="1"/>
      <c r="I983" s="1"/>
    </row>
    <row r="984" spans="2:9" ht="15.75" customHeight="1" x14ac:dyDescent="0.25">
      <c r="B984" s="1"/>
      <c r="C984" s="1"/>
      <c r="D984" s="1"/>
      <c r="E984" s="1"/>
      <c r="F984" s="1"/>
      <c r="G984" s="1"/>
      <c r="H984" s="1"/>
      <c r="I984" s="1"/>
    </row>
    <row r="985" spans="2:9" ht="15.75" customHeight="1" x14ac:dyDescent="0.25">
      <c r="B985" s="1"/>
      <c r="C985" s="1"/>
      <c r="D985" s="1"/>
      <c r="E985" s="1"/>
      <c r="F985" s="1"/>
      <c r="G985" s="1"/>
      <c r="H985" s="1"/>
      <c r="I985" s="1"/>
    </row>
    <row r="986" spans="2:9" ht="15.75" customHeight="1" x14ac:dyDescent="0.25">
      <c r="B986" s="1"/>
      <c r="C986" s="1"/>
      <c r="D986" s="1"/>
      <c r="E986" s="1"/>
      <c r="F986" s="1"/>
      <c r="G986" s="1"/>
      <c r="H986" s="1"/>
      <c r="I986" s="1"/>
    </row>
    <row r="987" spans="2:9" ht="15.75" customHeight="1" x14ac:dyDescent="0.25">
      <c r="B987" s="1"/>
      <c r="C987" s="1"/>
      <c r="D987" s="1"/>
      <c r="E987" s="1"/>
      <c r="F987" s="1"/>
      <c r="G987" s="1"/>
      <c r="H987" s="1"/>
      <c r="I987" s="1"/>
    </row>
    <row r="988" spans="2:9" ht="15.75" customHeight="1" x14ac:dyDescent="0.25">
      <c r="B988" s="1"/>
      <c r="C988" s="1"/>
      <c r="D988" s="1"/>
      <c r="E988" s="1"/>
      <c r="F988" s="1"/>
      <c r="G988" s="1"/>
      <c r="H988" s="1"/>
      <c r="I988" s="1"/>
    </row>
    <row r="989" spans="2:9" ht="15.75" customHeight="1" x14ac:dyDescent="0.25">
      <c r="B989" s="1"/>
      <c r="C989" s="1"/>
      <c r="D989" s="1"/>
      <c r="E989" s="1"/>
      <c r="F989" s="1"/>
      <c r="G989" s="1"/>
      <c r="H989" s="1"/>
      <c r="I989" s="1"/>
    </row>
    <row r="990" spans="2:9" ht="15.75" customHeight="1" x14ac:dyDescent="0.25">
      <c r="B990" s="1"/>
      <c r="C990" s="1"/>
      <c r="D990" s="1"/>
      <c r="E990" s="1"/>
      <c r="F990" s="1"/>
      <c r="G990" s="1"/>
      <c r="H990" s="1"/>
      <c r="I990" s="1"/>
    </row>
    <row r="991" spans="2:9" ht="15.75" customHeight="1" x14ac:dyDescent="0.25">
      <c r="B991" s="1"/>
      <c r="C991" s="1"/>
      <c r="D991" s="1"/>
      <c r="E991" s="1"/>
      <c r="F991" s="1"/>
      <c r="G991" s="1"/>
      <c r="H991" s="1"/>
      <c r="I991" s="1"/>
    </row>
    <row r="992" spans="2:9" ht="15.75" customHeight="1" x14ac:dyDescent="0.25">
      <c r="B992" s="1"/>
      <c r="C992" s="1"/>
      <c r="D992" s="1"/>
      <c r="E992" s="1"/>
      <c r="F992" s="1"/>
      <c r="G992" s="1"/>
      <c r="H992" s="1"/>
      <c r="I992" s="1"/>
    </row>
    <row r="993" spans="2:9" ht="15.75" customHeight="1" x14ac:dyDescent="0.25">
      <c r="B993" s="1"/>
      <c r="C993" s="1"/>
      <c r="D993" s="1"/>
      <c r="E993" s="1"/>
      <c r="F993" s="1"/>
      <c r="G993" s="1"/>
      <c r="H993" s="1"/>
      <c r="I993" s="1"/>
    </row>
    <row r="994" spans="2:9" ht="15.75" customHeight="1" x14ac:dyDescent="0.25">
      <c r="B994" s="1"/>
      <c r="C994" s="1"/>
      <c r="D994" s="1"/>
      <c r="E994" s="1"/>
      <c r="F994" s="1"/>
      <c r="G994" s="1"/>
      <c r="H994" s="1"/>
      <c r="I994" s="1"/>
    </row>
    <row r="995" spans="2:9" ht="15.75" customHeight="1" x14ac:dyDescent="0.25">
      <c r="B995" s="1"/>
      <c r="C995" s="1"/>
      <c r="D995" s="1"/>
      <c r="E995" s="1"/>
      <c r="F995" s="1"/>
      <c r="G995" s="1"/>
      <c r="H995" s="1"/>
      <c r="I995" s="1"/>
    </row>
    <row r="996" spans="2:9" ht="15.75" customHeight="1" x14ac:dyDescent="0.25">
      <c r="B996" s="1"/>
      <c r="C996" s="1"/>
      <c r="D996" s="1"/>
      <c r="E996" s="1"/>
      <c r="F996" s="1"/>
      <c r="G996" s="1"/>
      <c r="H996" s="1"/>
      <c r="I996" s="1"/>
    </row>
    <row r="997" spans="2:9" ht="15.75" customHeight="1" x14ac:dyDescent="0.25">
      <c r="B997" s="1"/>
      <c r="C997" s="1"/>
      <c r="D997" s="1"/>
      <c r="E997" s="1"/>
      <c r="F997" s="1"/>
      <c r="G997" s="1"/>
      <c r="H997" s="1"/>
      <c r="I997" s="1"/>
    </row>
    <row r="998" spans="2:9" ht="15.75" customHeight="1" x14ac:dyDescent="0.25">
      <c r="B998" s="1"/>
      <c r="C998" s="1"/>
      <c r="D998" s="1"/>
      <c r="E998" s="1"/>
      <c r="F998" s="1"/>
      <c r="G998" s="1"/>
      <c r="H998" s="1"/>
      <c r="I998" s="1"/>
    </row>
    <row r="999" spans="2:9" ht="15.75" customHeight="1" x14ac:dyDescent="0.25">
      <c r="B999" s="1"/>
      <c r="C999" s="1"/>
      <c r="D999" s="1"/>
      <c r="E999" s="1"/>
      <c r="F999" s="1"/>
      <c r="G999" s="1"/>
      <c r="H999" s="1"/>
      <c r="I999" s="1"/>
    </row>
    <row r="1000" spans="2:9" ht="15.75" customHeight="1" x14ac:dyDescent="0.25">
      <c r="B1000" s="1"/>
      <c r="C1000" s="1"/>
      <c r="D1000" s="1"/>
      <c r="E1000" s="1"/>
      <c r="F1000" s="1"/>
      <c r="G1000" s="1"/>
      <c r="H1000" s="1"/>
      <c r="I1000" s="1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C1:J1000"/>
  <sheetViews>
    <sheetView topLeftCell="B13" zoomScale="130" zoomScaleNormal="130" workbookViewId="0">
      <selection activeCell="D45" sqref="D45"/>
    </sheetView>
  </sheetViews>
  <sheetFormatPr defaultColWidth="14.42578125" defaultRowHeight="15" customHeight="1" x14ac:dyDescent="0.25"/>
  <cols>
    <col min="2" max="2" width="10.7109375" customWidth="1"/>
    <col min="3" max="3" width="10.28515625" customWidth="1"/>
    <col min="4" max="4" width="65.140625" customWidth="1"/>
    <col min="5" max="5" width="3.7109375" customWidth="1"/>
    <col min="6" max="6" width="8.28515625" customWidth="1"/>
    <col min="7" max="7" width="10" customWidth="1"/>
    <col min="8" max="8" width="14.28515625" customWidth="1"/>
    <col min="9" max="9" width="8.7109375" customWidth="1"/>
    <col min="10" max="10" width="13.28515625" customWidth="1"/>
    <col min="11" max="27" width="10.7109375" customWidth="1"/>
  </cols>
  <sheetData>
    <row r="1" spans="3:10" x14ac:dyDescent="0.25">
      <c r="C1" s="1"/>
      <c r="D1" s="1"/>
      <c r="E1" s="1"/>
      <c r="F1" s="1"/>
      <c r="G1" s="1"/>
      <c r="H1" s="2">
        <f>0+0+H3+0+0+0+0+0+0</f>
        <v>226473.64</v>
      </c>
      <c r="I1" s="1"/>
      <c r="J1" s="2">
        <f>0+0+J3+0+0+0+0+0+0</f>
        <v>29452.68</v>
      </c>
    </row>
    <row r="2" spans="3:10" ht="33.75" x14ac:dyDescent="0.25">
      <c r="C2" s="3" t="s">
        <v>3</v>
      </c>
      <c r="D2" s="3" t="s">
        <v>4</v>
      </c>
      <c r="E2" s="3" t="s">
        <v>5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</row>
    <row r="3" spans="3:10" x14ac:dyDescent="0.25">
      <c r="C3" s="2" t="s">
        <v>1853</v>
      </c>
      <c r="D3" s="2" t="s">
        <v>1854</v>
      </c>
      <c r="E3" s="1"/>
      <c r="F3" s="1"/>
      <c r="G3" s="1"/>
      <c r="H3" s="2">
        <v>226473.64</v>
      </c>
      <c r="I3" s="1"/>
      <c r="J3" s="2">
        <v>29452.68</v>
      </c>
    </row>
    <row r="4" spans="3:10" x14ac:dyDescent="0.25">
      <c r="C4" s="5" t="s">
        <v>1855</v>
      </c>
      <c r="D4" s="5" t="s">
        <v>1856</v>
      </c>
      <c r="E4" s="1"/>
      <c r="F4" s="1"/>
      <c r="G4" s="1"/>
      <c r="H4" s="5">
        <v>103987.74</v>
      </c>
      <c r="I4" s="1"/>
      <c r="J4" s="5">
        <v>15127.3</v>
      </c>
    </row>
    <row r="5" spans="3:10" x14ac:dyDescent="0.25">
      <c r="C5" s="6" t="s">
        <v>1857</v>
      </c>
      <c r="D5" s="106" t="s">
        <v>1858</v>
      </c>
      <c r="E5" s="6" t="s">
        <v>20</v>
      </c>
      <c r="F5" s="6">
        <v>1</v>
      </c>
      <c r="G5" s="6">
        <v>12282.54</v>
      </c>
      <c r="H5" s="6">
        <v>12282.54</v>
      </c>
      <c r="I5" s="6">
        <v>0</v>
      </c>
      <c r="J5" s="6">
        <v>0</v>
      </c>
    </row>
    <row r="6" spans="3:10" x14ac:dyDescent="0.25">
      <c r="C6" s="6" t="s">
        <v>1859</v>
      </c>
      <c r="D6" s="106" t="s">
        <v>1860</v>
      </c>
      <c r="E6" s="6" t="s">
        <v>105</v>
      </c>
      <c r="F6" s="6">
        <v>70.77</v>
      </c>
      <c r="G6" s="6">
        <v>349.82</v>
      </c>
      <c r="H6" s="6">
        <v>24756.76</v>
      </c>
      <c r="I6" s="6">
        <v>0</v>
      </c>
      <c r="J6" s="6">
        <v>0</v>
      </c>
    </row>
    <row r="7" spans="3:10" x14ac:dyDescent="0.25">
      <c r="C7" s="6" t="s">
        <v>1861</v>
      </c>
      <c r="D7" s="106" t="s">
        <v>1862</v>
      </c>
      <c r="E7" s="6" t="s">
        <v>105</v>
      </c>
      <c r="F7" s="6">
        <v>11.14</v>
      </c>
      <c r="G7" s="6">
        <v>426.5</v>
      </c>
      <c r="H7" s="6">
        <v>4751.21</v>
      </c>
      <c r="I7" s="6">
        <v>0</v>
      </c>
      <c r="J7" s="6">
        <v>0</v>
      </c>
    </row>
    <row r="8" spans="3:10" x14ac:dyDescent="0.25">
      <c r="C8" s="6" t="s">
        <v>1863</v>
      </c>
      <c r="D8" s="106" t="s">
        <v>1864</v>
      </c>
      <c r="E8" s="6" t="s">
        <v>20</v>
      </c>
      <c r="F8" s="6">
        <v>1</v>
      </c>
      <c r="G8" s="6">
        <v>3747.38</v>
      </c>
      <c r="H8" s="6">
        <v>3747.38</v>
      </c>
      <c r="I8" s="6">
        <v>0</v>
      </c>
      <c r="J8" s="6">
        <v>0</v>
      </c>
    </row>
    <row r="9" spans="3:10" x14ac:dyDescent="0.25">
      <c r="C9" s="6" t="s">
        <v>1865</v>
      </c>
      <c r="D9" s="6" t="s">
        <v>1866</v>
      </c>
      <c r="E9" s="6" t="s">
        <v>112</v>
      </c>
      <c r="F9" s="6">
        <v>4</v>
      </c>
      <c r="G9" s="6">
        <v>4825.43</v>
      </c>
      <c r="H9" s="6">
        <v>19301.72</v>
      </c>
      <c r="I9" s="6">
        <v>0</v>
      </c>
      <c r="J9" s="6">
        <v>0</v>
      </c>
    </row>
    <row r="10" spans="3:10" x14ac:dyDescent="0.25">
      <c r="C10" s="6" t="s">
        <v>1867</v>
      </c>
      <c r="D10" s="6" t="s">
        <v>1868</v>
      </c>
      <c r="E10" s="6" t="s">
        <v>112</v>
      </c>
      <c r="F10" s="6">
        <v>2</v>
      </c>
      <c r="G10" s="6">
        <v>2566.9699999999998</v>
      </c>
      <c r="H10" s="6">
        <v>5133.9399999999996</v>
      </c>
      <c r="I10" s="6">
        <v>0</v>
      </c>
      <c r="J10" s="6">
        <v>0</v>
      </c>
    </row>
    <row r="11" spans="3:10" x14ac:dyDescent="0.25">
      <c r="C11" s="6" t="s">
        <v>1869</v>
      </c>
      <c r="D11" s="104" t="s">
        <v>1870</v>
      </c>
      <c r="E11" s="103" t="s">
        <v>20</v>
      </c>
      <c r="F11" s="103">
        <v>1</v>
      </c>
      <c r="G11" s="6">
        <v>6480</v>
      </c>
      <c r="H11" s="6">
        <v>6480</v>
      </c>
      <c r="I11" s="6">
        <v>0</v>
      </c>
      <c r="J11" s="6">
        <v>0</v>
      </c>
    </row>
    <row r="12" spans="3:10" x14ac:dyDescent="0.25">
      <c r="C12" s="6" t="s">
        <v>1871</v>
      </c>
      <c r="D12" s="105" t="s">
        <v>1872</v>
      </c>
      <c r="E12" s="6" t="s">
        <v>105</v>
      </c>
      <c r="F12" s="6">
        <v>99</v>
      </c>
      <c r="G12" s="6">
        <v>78.239999999999995</v>
      </c>
      <c r="H12" s="6">
        <v>7745.76</v>
      </c>
      <c r="I12" s="6">
        <v>76.55</v>
      </c>
      <c r="J12" s="6">
        <v>7578.45</v>
      </c>
    </row>
    <row r="13" spans="3:10" x14ac:dyDescent="0.25">
      <c r="C13" s="6" t="s">
        <v>1873</v>
      </c>
      <c r="D13" s="105" t="s">
        <v>1874</v>
      </c>
      <c r="E13" s="6" t="s">
        <v>105</v>
      </c>
      <c r="F13" s="6">
        <v>85</v>
      </c>
      <c r="G13" s="6">
        <v>78.239999999999995</v>
      </c>
      <c r="H13" s="6">
        <v>6650.4</v>
      </c>
      <c r="I13" s="6">
        <v>88.81</v>
      </c>
      <c r="J13" s="6">
        <v>7548.85</v>
      </c>
    </row>
    <row r="14" spans="3:10" x14ac:dyDescent="0.25">
      <c r="C14" s="6" t="s">
        <v>1875</v>
      </c>
      <c r="D14" s="6" t="s">
        <v>1876</v>
      </c>
      <c r="E14" s="6" t="s">
        <v>20</v>
      </c>
      <c r="F14" s="6">
        <v>1</v>
      </c>
      <c r="G14" s="6">
        <v>8305</v>
      </c>
      <c r="H14" s="6">
        <v>8305</v>
      </c>
      <c r="I14" s="6">
        <v>0</v>
      </c>
      <c r="J14" s="6">
        <v>0</v>
      </c>
    </row>
    <row r="15" spans="3:10" x14ac:dyDescent="0.25">
      <c r="C15" s="6" t="s">
        <v>1877</v>
      </c>
      <c r="D15" s="6" t="s">
        <v>1878</v>
      </c>
      <c r="E15" s="6" t="s">
        <v>20</v>
      </c>
      <c r="F15" s="6">
        <v>1</v>
      </c>
      <c r="G15" s="6">
        <v>45</v>
      </c>
      <c r="H15" s="6">
        <v>45</v>
      </c>
      <c r="I15" s="6">
        <v>0</v>
      </c>
      <c r="J15" s="6">
        <v>0</v>
      </c>
    </row>
    <row r="16" spans="3:10" x14ac:dyDescent="0.25">
      <c r="C16" s="6" t="s">
        <v>1879</v>
      </c>
      <c r="D16" s="6" t="s">
        <v>1880</v>
      </c>
      <c r="E16" s="6" t="s">
        <v>112</v>
      </c>
      <c r="F16" s="6">
        <v>27</v>
      </c>
      <c r="G16" s="6">
        <v>132.88999999999999</v>
      </c>
      <c r="H16" s="6">
        <v>3588.03</v>
      </c>
      <c r="I16" s="6">
        <v>0</v>
      </c>
      <c r="J16" s="6">
        <v>0</v>
      </c>
    </row>
    <row r="17" spans="3:10" x14ac:dyDescent="0.25">
      <c r="C17" s="6" t="s">
        <v>1881</v>
      </c>
      <c r="D17" s="6" t="s">
        <v>1882</v>
      </c>
      <c r="E17" s="6" t="s">
        <v>20</v>
      </c>
      <c r="F17" s="6">
        <v>1</v>
      </c>
      <c r="G17" s="6">
        <v>1200</v>
      </c>
      <c r="H17" s="6">
        <v>1200</v>
      </c>
      <c r="I17" s="6">
        <v>0</v>
      </c>
      <c r="J17" s="6">
        <v>0</v>
      </c>
    </row>
    <row r="18" spans="3:10" x14ac:dyDescent="0.25">
      <c r="C18" s="5" t="s">
        <v>1883</v>
      </c>
      <c r="D18" s="5" t="s">
        <v>1884</v>
      </c>
      <c r="E18" s="1"/>
      <c r="F18" s="1"/>
      <c r="G18" s="1"/>
      <c r="H18" s="5">
        <v>47547.32</v>
      </c>
      <c r="I18" s="1"/>
      <c r="J18" s="5">
        <v>5938.68</v>
      </c>
    </row>
    <row r="19" spans="3:10" x14ac:dyDescent="0.25">
      <c r="C19" s="6" t="s">
        <v>1885</v>
      </c>
      <c r="D19" s="6" t="s">
        <v>1886</v>
      </c>
      <c r="E19" s="6" t="s">
        <v>105</v>
      </c>
      <c r="F19" s="6">
        <v>25</v>
      </c>
      <c r="G19" s="6">
        <v>78.239999999999995</v>
      </c>
      <c r="H19" s="6">
        <v>1956</v>
      </c>
      <c r="I19" s="6">
        <v>76.55</v>
      </c>
      <c r="J19" s="6">
        <v>1913.75</v>
      </c>
    </row>
    <row r="20" spans="3:10" x14ac:dyDescent="0.25">
      <c r="C20" s="6" t="s">
        <v>1887</v>
      </c>
      <c r="D20" s="6" t="s">
        <v>1888</v>
      </c>
      <c r="E20" s="6" t="s">
        <v>105</v>
      </c>
      <c r="F20" s="6">
        <v>19.53</v>
      </c>
      <c r="G20" s="6">
        <v>45.24</v>
      </c>
      <c r="H20" s="6">
        <v>883.54</v>
      </c>
      <c r="I20" s="6">
        <v>75.959999999999994</v>
      </c>
      <c r="J20" s="6">
        <v>1483.5</v>
      </c>
    </row>
    <row r="21" spans="3:10" ht="15.75" customHeight="1" x14ac:dyDescent="0.25">
      <c r="C21" s="6" t="s">
        <v>1889</v>
      </c>
      <c r="D21" s="6" t="s">
        <v>1890</v>
      </c>
      <c r="E21" s="6" t="s">
        <v>105</v>
      </c>
      <c r="F21" s="6">
        <v>23.06</v>
      </c>
      <c r="G21" s="6">
        <v>78.239999999999995</v>
      </c>
      <c r="H21" s="6">
        <v>1804.21</v>
      </c>
      <c r="I21" s="6">
        <v>88.81</v>
      </c>
      <c r="J21" s="6">
        <v>2047.96</v>
      </c>
    </row>
    <row r="22" spans="3:10" ht="15.75" customHeight="1" x14ac:dyDescent="0.25">
      <c r="C22" s="6" t="s">
        <v>1891</v>
      </c>
      <c r="D22" s="6" t="s">
        <v>1892</v>
      </c>
      <c r="E22" s="6" t="s">
        <v>105</v>
      </c>
      <c r="F22" s="6">
        <v>12.26</v>
      </c>
      <c r="G22" s="6">
        <v>45.24</v>
      </c>
      <c r="H22" s="6">
        <v>554.64</v>
      </c>
      <c r="I22" s="6">
        <v>40.25</v>
      </c>
      <c r="J22" s="6">
        <v>493.47</v>
      </c>
    </row>
    <row r="23" spans="3:10" ht="15.75" customHeight="1" x14ac:dyDescent="0.25">
      <c r="C23" s="6" t="s">
        <v>1893</v>
      </c>
      <c r="D23" s="6" t="s">
        <v>1894</v>
      </c>
      <c r="E23" s="6" t="s">
        <v>20</v>
      </c>
      <c r="F23" s="6">
        <v>1</v>
      </c>
      <c r="G23" s="6">
        <v>3570.5</v>
      </c>
      <c r="H23" s="6">
        <v>3570.5</v>
      </c>
      <c r="I23" s="6">
        <v>0</v>
      </c>
      <c r="J23" s="6">
        <v>0</v>
      </c>
    </row>
    <row r="24" spans="3:10" ht="15.75" customHeight="1" x14ac:dyDescent="0.25">
      <c r="C24" s="6" t="s">
        <v>1895</v>
      </c>
      <c r="D24" s="6" t="s">
        <v>1896</v>
      </c>
      <c r="E24" s="6" t="s">
        <v>20</v>
      </c>
      <c r="F24" s="6">
        <v>1</v>
      </c>
      <c r="G24" s="6">
        <v>7615.06</v>
      </c>
      <c r="H24" s="6">
        <v>7615.06</v>
      </c>
      <c r="I24" s="6">
        <v>0</v>
      </c>
      <c r="J24" s="6">
        <v>0</v>
      </c>
    </row>
    <row r="25" spans="3:10" ht="15.75" customHeight="1" x14ac:dyDescent="0.25">
      <c r="C25" s="6" t="s">
        <v>1897</v>
      </c>
      <c r="D25" s="6" t="s">
        <v>1898</v>
      </c>
      <c r="E25" s="6" t="s">
        <v>20</v>
      </c>
      <c r="F25" s="6">
        <v>1</v>
      </c>
      <c r="G25" s="6">
        <v>10878.17</v>
      </c>
      <c r="H25" s="6">
        <v>10878.17</v>
      </c>
      <c r="I25" s="6">
        <v>0</v>
      </c>
      <c r="J25" s="6">
        <v>0</v>
      </c>
    </row>
    <row r="26" spans="3:10" ht="15.75" customHeight="1" x14ac:dyDescent="0.25">
      <c r="C26" s="6" t="s">
        <v>1899</v>
      </c>
      <c r="D26" s="6" t="s">
        <v>1900</v>
      </c>
      <c r="E26" s="6" t="s">
        <v>112</v>
      </c>
      <c r="F26" s="6">
        <v>2</v>
      </c>
      <c r="G26" s="6">
        <v>3000</v>
      </c>
      <c r="H26" s="6">
        <v>6000</v>
      </c>
      <c r="I26" s="6">
        <v>0</v>
      </c>
      <c r="J26" s="6">
        <v>0</v>
      </c>
    </row>
    <row r="27" spans="3:10" ht="15.75" customHeight="1" x14ac:dyDescent="0.25">
      <c r="C27" s="6" t="s">
        <v>1901</v>
      </c>
      <c r="D27" s="6" t="s">
        <v>1902</v>
      </c>
      <c r="E27" s="6" t="s">
        <v>20</v>
      </c>
      <c r="F27" s="6">
        <v>1</v>
      </c>
      <c r="G27" s="6">
        <v>9927.09</v>
      </c>
      <c r="H27" s="6">
        <v>9927.09</v>
      </c>
      <c r="I27" s="6">
        <v>0</v>
      </c>
      <c r="J27" s="6">
        <v>0</v>
      </c>
    </row>
    <row r="28" spans="3:10" ht="15.75" customHeight="1" x14ac:dyDescent="0.25">
      <c r="C28" s="6" t="s">
        <v>1903</v>
      </c>
      <c r="D28" s="6" t="s">
        <v>1904</v>
      </c>
      <c r="E28" s="6" t="s">
        <v>105</v>
      </c>
      <c r="F28" s="6">
        <v>11.21</v>
      </c>
      <c r="G28" s="6">
        <v>388.77</v>
      </c>
      <c r="H28" s="6">
        <v>4358.1099999999997</v>
      </c>
      <c r="I28" s="6">
        <v>0</v>
      </c>
      <c r="J28" s="6">
        <v>0</v>
      </c>
    </row>
    <row r="29" spans="3:10" ht="15.75" customHeight="1" x14ac:dyDescent="0.25">
      <c r="C29" s="5" t="s">
        <v>1905</v>
      </c>
      <c r="D29" s="5" t="s">
        <v>1906</v>
      </c>
      <c r="E29" s="1"/>
      <c r="F29" s="1"/>
      <c r="G29" s="1"/>
      <c r="H29" s="5">
        <v>11646.51</v>
      </c>
      <c r="I29" s="1"/>
      <c r="J29" s="5">
        <v>3428.84</v>
      </c>
    </row>
    <row r="30" spans="3:10" ht="15.75" customHeight="1" x14ac:dyDescent="0.25">
      <c r="C30" s="6" t="s">
        <v>1907</v>
      </c>
      <c r="D30" s="6" t="s">
        <v>1908</v>
      </c>
      <c r="E30" s="6" t="s">
        <v>105</v>
      </c>
      <c r="F30" s="6">
        <v>14</v>
      </c>
      <c r="G30" s="6">
        <v>45</v>
      </c>
      <c r="H30" s="6">
        <v>630</v>
      </c>
      <c r="I30" s="6">
        <v>0</v>
      </c>
      <c r="J30" s="6">
        <v>0</v>
      </c>
    </row>
    <row r="31" spans="3:10" ht="15.75" customHeight="1" x14ac:dyDescent="0.25">
      <c r="C31" s="6" t="s">
        <v>1909</v>
      </c>
      <c r="D31" s="6" t="s">
        <v>1910</v>
      </c>
      <c r="E31" s="6" t="s">
        <v>112</v>
      </c>
      <c r="F31" s="6">
        <v>7</v>
      </c>
      <c r="G31" s="6">
        <v>132.88999999999999</v>
      </c>
      <c r="H31" s="6">
        <v>930.23</v>
      </c>
      <c r="I31" s="6">
        <v>0</v>
      </c>
      <c r="J31" s="6">
        <v>0</v>
      </c>
    </row>
    <row r="32" spans="3:10" ht="15.75" customHeight="1" x14ac:dyDescent="0.25">
      <c r="C32" s="6" t="s">
        <v>1911</v>
      </c>
      <c r="D32" s="105" t="s">
        <v>1912</v>
      </c>
      <c r="E32" s="6" t="s">
        <v>105</v>
      </c>
      <c r="F32" s="6">
        <v>35.4</v>
      </c>
      <c r="G32" s="6">
        <v>78.239999999999995</v>
      </c>
      <c r="H32" s="6">
        <v>2769.7</v>
      </c>
      <c r="I32" s="6">
        <v>96.86</v>
      </c>
      <c r="J32" s="6">
        <v>3428.84</v>
      </c>
    </row>
    <row r="33" spans="3:10" ht="15.75" customHeight="1" x14ac:dyDescent="0.25">
      <c r="C33" s="6" t="s">
        <v>1913</v>
      </c>
      <c r="D33" s="6" t="s">
        <v>1914</v>
      </c>
      <c r="E33" s="6" t="s">
        <v>34</v>
      </c>
      <c r="F33" s="6">
        <v>12.24</v>
      </c>
      <c r="G33" s="6">
        <v>597.76</v>
      </c>
      <c r="H33" s="6">
        <v>7316.58</v>
      </c>
      <c r="I33" s="6">
        <v>0</v>
      </c>
      <c r="J33" s="6">
        <v>0</v>
      </c>
    </row>
    <row r="34" spans="3:10" ht="15.75" customHeight="1" x14ac:dyDescent="0.25">
      <c r="C34" s="5" t="s">
        <v>1915</v>
      </c>
      <c r="D34" s="5" t="s">
        <v>1916</v>
      </c>
      <c r="E34" s="1"/>
      <c r="F34" s="1"/>
      <c r="G34" s="1"/>
      <c r="H34" s="5">
        <v>63292.07</v>
      </c>
      <c r="I34" s="1"/>
      <c r="J34" s="5">
        <v>4957.8599999999997</v>
      </c>
    </row>
    <row r="35" spans="3:10" ht="15.75" customHeight="1" x14ac:dyDescent="0.25">
      <c r="C35" s="6" t="s">
        <v>1917</v>
      </c>
      <c r="D35" s="6" t="s">
        <v>1918</v>
      </c>
      <c r="E35" s="6" t="s">
        <v>105</v>
      </c>
      <c r="F35" s="6">
        <v>29.6</v>
      </c>
      <c r="G35" s="6">
        <v>78.239999999999995</v>
      </c>
      <c r="H35" s="6">
        <v>2315.9</v>
      </c>
      <c r="I35" s="6">
        <v>88.81</v>
      </c>
      <c r="J35" s="6">
        <v>2628.78</v>
      </c>
    </row>
    <row r="36" spans="3:10" ht="15.75" customHeight="1" x14ac:dyDescent="0.25">
      <c r="C36" s="6" t="s">
        <v>1919</v>
      </c>
      <c r="D36" s="102" t="s">
        <v>1920</v>
      </c>
      <c r="E36" s="6" t="s">
        <v>20</v>
      </c>
      <c r="F36" s="6">
        <v>1</v>
      </c>
      <c r="G36" s="6">
        <v>21049.9</v>
      </c>
      <c r="H36" s="6">
        <v>21049.9</v>
      </c>
      <c r="I36" s="6">
        <v>0</v>
      </c>
      <c r="J36" s="6">
        <v>0</v>
      </c>
    </row>
    <row r="37" spans="3:10" ht="15.75" customHeight="1" x14ac:dyDescent="0.25">
      <c r="C37" s="6" t="s">
        <v>1921</v>
      </c>
      <c r="D37" s="6" t="s">
        <v>1922</v>
      </c>
      <c r="E37" s="6" t="s">
        <v>20</v>
      </c>
      <c r="F37" s="6">
        <v>1</v>
      </c>
      <c r="G37" s="6">
        <v>1305.51</v>
      </c>
      <c r="H37" s="6">
        <v>1305.51</v>
      </c>
      <c r="I37" s="6">
        <v>0</v>
      </c>
      <c r="J37" s="6">
        <v>0</v>
      </c>
    </row>
    <row r="38" spans="3:10" ht="15.75" customHeight="1" x14ac:dyDescent="0.25">
      <c r="C38" s="6" t="s">
        <v>1923</v>
      </c>
      <c r="D38" s="6" t="s">
        <v>1924</v>
      </c>
      <c r="E38" s="6" t="s">
        <v>20</v>
      </c>
      <c r="F38" s="6">
        <v>1</v>
      </c>
      <c r="G38" s="6">
        <v>1631.78</v>
      </c>
      <c r="H38" s="6">
        <v>1631.78</v>
      </c>
      <c r="I38" s="6">
        <v>0</v>
      </c>
      <c r="J38" s="6">
        <v>0</v>
      </c>
    </row>
    <row r="39" spans="3:10" ht="15.75" customHeight="1" x14ac:dyDescent="0.25">
      <c r="C39" s="6" t="s">
        <v>1925</v>
      </c>
      <c r="D39" s="6" t="s">
        <v>1926</v>
      </c>
      <c r="E39" s="6" t="s">
        <v>20</v>
      </c>
      <c r="F39" s="6">
        <v>1</v>
      </c>
      <c r="G39" s="6">
        <v>1453.81</v>
      </c>
      <c r="H39" s="6">
        <v>1453.81</v>
      </c>
      <c r="I39" s="6">
        <v>0</v>
      </c>
      <c r="J39" s="6">
        <v>0</v>
      </c>
    </row>
    <row r="40" spans="3:10" ht="15.75" customHeight="1" x14ac:dyDescent="0.25">
      <c r="C40" s="6" t="s">
        <v>1927</v>
      </c>
      <c r="D40" s="6" t="s">
        <v>1928</v>
      </c>
      <c r="E40" s="6" t="s">
        <v>20</v>
      </c>
      <c r="F40" s="6">
        <v>1</v>
      </c>
      <c r="G40" s="6">
        <v>1296.99</v>
      </c>
      <c r="H40" s="6">
        <v>1296.99</v>
      </c>
      <c r="I40" s="6">
        <v>0</v>
      </c>
      <c r="J40" s="6">
        <v>0</v>
      </c>
    </row>
    <row r="41" spans="3:10" ht="15.75" customHeight="1" x14ac:dyDescent="0.25">
      <c r="C41" s="6" t="s">
        <v>1929</v>
      </c>
      <c r="D41" s="6" t="s">
        <v>1930</v>
      </c>
      <c r="E41" s="6" t="s">
        <v>20</v>
      </c>
      <c r="F41" s="6">
        <v>1</v>
      </c>
      <c r="G41" s="6">
        <v>1570.53</v>
      </c>
      <c r="H41" s="6">
        <v>1570.53</v>
      </c>
      <c r="I41" s="6">
        <v>0</v>
      </c>
      <c r="J41" s="6">
        <v>0</v>
      </c>
    </row>
    <row r="42" spans="3:10" ht="15.75" customHeight="1" x14ac:dyDescent="0.25">
      <c r="C42" s="6" t="s">
        <v>1931</v>
      </c>
      <c r="D42" s="6" t="s">
        <v>1888</v>
      </c>
      <c r="E42" s="6" t="s">
        <v>105</v>
      </c>
      <c r="F42" s="6">
        <v>1.78</v>
      </c>
      <c r="G42" s="6">
        <v>45.24</v>
      </c>
      <c r="H42" s="6">
        <v>80.53</v>
      </c>
      <c r="I42" s="6">
        <v>75.959999999999994</v>
      </c>
      <c r="J42" s="6">
        <v>135.21</v>
      </c>
    </row>
    <row r="43" spans="3:10" ht="15.75" customHeight="1" x14ac:dyDescent="0.25">
      <c r="C43" s="6" t="s">
        <v>1932</v>
      </c>
      <c r="D43" s="6" t="s">
        <v>1933</v>
      </c>
      <c r="E43" s="6" t="s">
        <v>105</v>
      </c>
      <c r="F43" s="6">
        <v>6.09</v>
      </c>
      <c r="G43" s="6">
        <v>14.5</v>
      </c>
      <c r="H43" s="6">
        <v>88.31</v>
      </c>
      <c r="I43" s="6">
        <v>3.52</v>
      </c>
      <c r="J43" s="6">
        <v>21.44</v>
      </c>
    </row>
    <row r="44" spans="3:10" ht="15.75" customHeight="1" x14ac:dyDescent="0.25">
      <c r="C44" s="6" t="s">
        <v>1934</v>
      </c>
      <c r="D44" s="6" t="s">
        <v>1935</v>
      </c>
      <c r="E44" s="6" t="s">
        <v>105</v>
      </c>
      <c r="F44" s="6">
        <v>3.05</v>
      </c>
      <c r="G44" s="6">
        <v>14.5</v>
      </c>
      <c r="H44" s="6">
        <v>44.23</v>
      </c>
      <c r="I44" s="6">
        <v>3.52</v>
      </c>
      <c r="J44" s="6">
        <v>10.74</v>
      </c>
    </row>
    <row r="45" spans="3:10" ht="15.75" customHeight="1" x14ac:dyDescent="0.25">
      <c r="C45" s="6" t="s">
        <v>1936</v>
      </c>
      <c r="D45" s="6" t="s">
        <v>1937</v>
      </c>
      <c r="E45" s="6" t="s">
        <v>105</v>
      </c>
      <c r="F45" s="6">
        <v>13.54</v>
      </c>
      <c r="G45" s="6">
        <v>309.38</v>
      </c>
      <c r="H45" s="6">
        <v>4189.01</v>
      </c>
      <c r="I45" s="6">
        <v>0</v>
      </c>
      <c r="J45" s="6">
        <v>0</v>
      </c>
    </row>
    <row r="46" spans="3:10" ht="15.75" customHeight="1" x14ac:dyDescent="0.25">
      <c r="C46" s="6" t="s">
        <v>1938</v>
      </c>
      <c r="D46" s="6" t="s">
        <v>1939</v>
      </c>
      <c r="E46" s="6" t="s">
        <v>105</v>
      </c>
      <c r="F46" s="6">
        <v>12.47</v>
      </c>
      <c r="G46" s="6">
        <v>78.239999999999995</v>
      </c>
      <c r="H46" s="6">
        <v>975.65</v>
      </c>
      <c r="I46" s="6">
        <v>88.81</v>
      </c>
      <c r="J46" s="6">
        <v>1107.46</v>
      </c>
    </row>
    <row r="47" spans="3:10" ht="15.75" customHeight="1" x14ac:dyDescent="0.25">
      <c r="C47" s="6" t="s">
        <v>1940</v>
      </c>
      <c r="D47" s="6" t="s">
        <v>1941</v>
      </c>
      <c r="E47" s="6" t="s">
        <v>105</v>
      </c>
      <c r="F47" s="6">
        <v>13.77</v>
      </c>
      <c r="G47" s="6">
        <v>78.239999999999995</v>
      </c>
      <c r="H47" s="6">
        <v>1077.3599999999999</v>
      </c>
      <c r="I47" s="6">
        <v>76.56</v>
      </c>
      <c r="J47" s="6">
        <v>1054.23</v>
      </c>
    </row>
    <row r="48" spans="3:10" ht="15.75" customHeight="1" x14ac:dyDescent="0.25">
      <c r="C48" s="6" t="s">
        <v>1942</v>
      </c>
      <c r="D48" s="102" t="s">
        <v>1943</v>
      </c>
      <c r="E48" s="6" t="s">
        <v>105</v>
      </c>
      <c r="F48" s="6">
        <v>22.56</v>
      </c>
      <c r="G48" s="6">
        <v>388.77</v>
      </c>
      <c r="H48" s="6">
        <v>8770.65</v>
      </c>
      <c r="I48" s="6">
        <v>0</v>
      </c>
      <c r="J48" s="6">
        <v>0</v>
      </c>
    </row>
    <row r="49" spans="3:10" ht="15.75" customHeight="1" x14ac:dyDescent="0.25">
      <c r="C49" s="6" t="s">
        <v>1944</v>
      </c>
      <c r="D49" s="102" t="s">
        <v>1945</v>
      </c>
      <c r="E49" s="6" t="s">
        <v>112</v>
      </c>
      <c r="F49" s="6">
        <v>3</v>
      </c>
      <c r="G49" s="6">
        <v>5813.97</v>
      </c>
      <c r="H49" s="6">
        <v>17441.91</v>
      </c>
      <c r="I49" s="6">
        <v>0</v>
      </c>
      <c r="J49" s="6">
        <v>0</v>
      </c>
    </row>
    <row r="50" spans="3:10" ht="15.75" customHeight="1" x14ac:dyDescent="0.25">
      <c r="C50" s="1"/>
      <c r="D50" s="1"/>
      <c r="E50" s="1"/>
      <c r="F50" s="1"/>
      <c r="G50" s="1"/>
      <c r="H50" s="1"/>
      <c r="I50" s="1"/>
      <c r="J50" s="1"/>
    </row>
    <row r="51" spans="3:10" ht="15.75" customHeight="1" x14ac:dyDescent="0.25">
      <c r="C51" s="1"/>
      <c r="D51" s="1"/>
      <c r="E51" s="1"/>
      <c r="F51" s="1"/>
      <c r="G51" s="1"/>
      <c r="H51" s="1"/>
      <c r="I51" s="1"/>
      <c r="J51" s="1"/>
    </row>
    <row r="52" spans="3:10" ht="15.75" customHeight="1" x14ac:dyDescent="0.25">
      <c r="C52" s="1"/>
      <c r="D52" s="1"/>
      <c r="E52" s="1"/>
      <c r="F52" s="1"/>
      <c r="G52" s="1"/>
      <c r="H52" s="1"/>
      <c r="I52" s="1"/>
      <c r="J52" s="1"/>
    </row>
    <row r="53" spans="3:10" ht="15.75" customHeight="1" x14ac:dyDescent="0.25">
      <c r="C53" s="1"/>
      <c r="D53" s="1"/>
      <c r="E53" s="1"/>
      <c r="F53" s="1"/>
      <c r="G53" s="1"/>
      <c r="H53" s="1"/>
      <c r="I53" s="1"/>
      <c r="J53" s="1"/>
    </row>
    <row r="54" spans="3:10" ht="15.75" customHeight="1" x14ac:dyDescent="0.25">
      <c r="C54" s="1"/>
      <c r="D54" s="1"/>
      <c r="E54" s="1"/>
      <c r="F54" s="1"/>
      <c r="G54" s="1"/>
      <c r="H54" s="1"/>
      <c r="I54" s="1"/>
      <c r="J54" s="1"/>
    </row>
    <row r="55" spans="3:10" ht="15.75" customHeight="1" x14ac:dyDescent="0.25">
      <c r="C55" s="1"/>
      <c r="D55" s="1"/>
      <c r="E55" s="1"/>
      <c r="F55" s="1"/>
      <c r="G55" s="1"/>
      <c r="H55" s="1"/>
      <c r="I55" s="1"/>
      <c r="J55" s="1"/>
    </row>
    <row r="56" spans="3:10" ht="15.75" customHeight="1" x14ac:dyDescent="0.25">
      <c r="C56" s="1"/>
      <c r="D56" s="1"/>
      <c r="E56" s="1"/>
      <c r="F56" s="1"/>
      <c r="G56" s="1"/>
      <c r="H56" s="1"/>
      <c r="I56" s="1"/>
      <c r="J56" s="1"/>
    </row>
    <row r="57" spans="3:10" ht="15.75" customHeight="1" x14ac:dyDescent="0.25">
      <c r="C57" s="1"/>
      <c r="D57" s="1"/>
      <c r="E57" s="1"/>
      <c r="F57" s="1"/>
      <c r="G57" s="1"/>
      <c r="H57" s="1"/>
      <c r="I57" s="1"/>
      <c r="J57" s="1"/>
    </row>
    <row r="58" spans="3:10" ht="15.75" customHeight="1" x14ac:dyDescent="0.25">
      <c r="C58" s="1"/>
      <c r="D58" s="1"/>
      <c r="E58" s="1"/>
      <c r="F58" s="1"/>
      <c r="G58" s="1"/>
      <c r="H58" s="1"/>
      <c r="I58" s="1"/>
      <c r="J58" s="1"/>
    </row>
    <row r="59" spans="3:10" ht="15.75" customHeight="1" x14ac:dyDescent="0.25">
      <c r="C59" s="1"/>
      <c r="D59" s="1"/>
      <c r="E59" s="1"/>
      <c r="F59" s="1"/>
      <c r="G59" s="1"/>
      <c r="H59" s="1"/>
      <c r="I59" s="1"/>
      <c r="J59" s="1"/>
    </row>
    <row r="60" spans="3:10" ht="15.75" customHeight="1" x14ac:dyDescent="0.25">
      <c r="C60" s="1"/>
      <c r="D60" s="1"/>
      <c r="E60" s="1"/>
      <c r="F60" s="1"/>
      <c r="G60" s="1"/>
      <c r="H60" s="1"/>
      <c r="I60" s="1"/>
      <c r="J60" s="1"/>
    </row>
    <row r="61" spans="3:10" ht="15.75" customHeight="1" x14ac:dyDescent="0.25">
      <c r="C61" s="1"/>
      <c r="D61" s="1"/>
      <c r="E61" s="1"/>
      <c r="F61" s="1"/>
      <c r="G61" s="1"/>
      <c r="H61" s="1"/>
      <c r="I61" s="1"/>
      <c r="J61" s="1"/>
    </row>
    <row r="62" spans="3:10" ht="15.75" customHeight="1" x14ac:dyDescent="0.25">
      <c r="C62" s="1"/>
      <c r="D62" s="1"/>
      <c r="E62" s="1"/>
      <c r="F62" s="1"/>
      <c r="G62" s="1"/>
      <c r="H62" s="1"/>
      <c r="I62" s="1"/>
      <c r="J62" s="1"/>
    </row>
    <row r="63" spans="3:10" ht="15.75" customHeight="1" x14ac:dyDescent="0.25">
      <c r="C63" s="1"/>
      <c r="D63" s="1"/>
      <c r="E63" s="1"/>
      <c r="F63" s="1"/>
      <c r="G63" s="1"/>
      <c r="H63" s="1"/>
      <c r="I63" s="1"/>
      <c r="J63" s="1"/>
    </row>
    <row r="64" spans="3:10" ht="15.75" customHeight="1" x14ac:dyDescent="0.25">
      <c r="C64" s="1"/>
      <c r="D64" s="1"/>
      <c r="E64" s="1"/>
      <c r="F64" s="1"/>
      <c r="G64" s="1"/>
      <c r="H64" s="1"/>
      <c r="I64" s="1"/>
      <c r="J64" s="1"/>
    </row>
    <row r="65" spans="3:10" ht="15.75" customHeight="1" x14ac:dyDescent="0.25">
      <c r="C65" s="1"/>
      <c r="D65" s="1"/>
      <c r="E65" s="1"/>
      <c r="F65" s="1"/>
      <c r="G65" s="1"/>
      <c r="H65" s="1"/>
      <c r="I65" s="1"/>
      <c r="J65" s="1"/>
    </row>
    <row r="66" spans="3:10" ht="15.75" customHeight="1" x14ac:dyDescent="0.25">
      <c r="C66" s="1"/>
      <c r="D66" s="1"/>
      <c r="E66" s="1"/>
      <c r="F66" s="1"/>
      <c r="G66" s="1"/>
      <c r="H66" s="1"/>
      <c r="I66" s="1"/>
      <c r="J66" s="1"/>
    </row>
    <row r="67" spans="3:10" ht="15.75" customHeight="1" x14ac:dyDescent="0.25">
      <c r="C67" s="1"/>
      <c r="D67" s="1"/>
      <c r="E67" s="1"/>
      <c r="F67" s="1"/>
      <c r="G67" s="1"/>
      <c r="H67" s="1"/>
      <c r="I67" s="1"/>
      <c r="J67" s="1"/>
    </row>
    <row r="68" spans="3:10" ht="15.75" customHeight="1" x14ac:dyDescent="0.25">
      <c r="C68" s="1"/>
      <c r="D68" s="1"/>
      <c r="E68" s="1"/>
      <c r="F68" s="1"/>
      <c r="G68" s="1"/>
      <c r="H68" s="1"/>
      <c r="I68" s="1"/>
      <c r="J68" s="1"/>
    </row>
    <row r="69" spans="3:10" ht="15.75" customHeight="1" x14ac:dyDescent="0.25">
      <c r="C69" s="1"/>
      <c r="D69" s="1"/>
      <c r="E69" s="1"/>
      <c r="F69" s="1"/>
      <c r="G69" s="1"/>
      <c r="H69" s="1"/>
      <c r="I69" s="1"/>
      <c r="J69" s="1"/>
    </row>
    <row r="70" spans="3:10" ht="15.75" customHeight="1" x14ac:dyDescent="0.25">
      <c r="C70" s="1"/>
      <c r="D70" s="1"/>
      <c r="E70" s="1"/>
      <c r="F70" s="1"/>
      <c r="G70" s="1"/>
      <c r="H70" s="1"/>
      <c r="I70" s="1"/>
      <c r="J70" s="1"/>
    </row>
    <row r="71" spans="3:10" ht="15.75" customHeight="1" x14ac:dyDescent="0.25">
      <c r="C71" s="1"/>
      <c r="D71" s="1"/>
      <c r="E71" s="1"/>
      <c r="F71" s="1"/>
      <c r="G71" s="1"/>
      <c r="H71" s="1"/>
      <c r="I71" s="1"/>
      <c r="J71" s="1"/>
    </row>
    <row r="72" spans="3:10" ht="15.75" customHeight="1" x14ac:dyDescent="0.25">
      <c r="C72" s="1"/>
      <c r="D72" s="1"/>
      <c r="E72" s="1"/>
      <c r="F72" s="1"/>
      <c r="G72" s="1"/>
      <c r="H72" s="1"/>
      <c r="I72" s="1"/>
      <c r="J72" s="1"/>
    </row>
    <row r="73" spans="3:10" ht="15.75" customHeight="1" x14ac:dyDescent="0.25">
      <c r="C73" s="1"/>
      <c r="D73" s="1"/>
      <c r="E73" s="1"/>
      <c r="F73" s="1"/>
      <c r="G73" s="1"/>
      <c r="H73" s="1"/>
      <c r="I73" s="1"/>
      <c r="J73" s="1"/>
    </row>
    <row r="74" spans="3:10" ht="15.75" customHeight="1" x14ac:dyDescent="0.25">
      <c r="C74" s="1"/>
      <c r="D74" s="1"/>
      <c r="E74" s="1"/>
      <c r="F74" s="1"/>
      <c r="G74" s="1"/>
      <c r="H74" s="1"/>
      <c r="I74" s="1"/>
      <c r="J74" s="1"/>
    </row>
    <row r="75" spans="3:10" ht="15.75" customHeight="1" x14ac:dyDescent="0.25">
      <c r="C75" s="1"/>
      <c r="D75" s="1"/>
      <c r="E75" s="1"/>
      <c r="F75" s="1"/>
      <c r="G75" s="1"/>
      <c r="H75" s="1"/>
      <c r="I75" s="1"/>
      <c r="J75" s="1"/>
    </row>
    <row r="76" spans="3:10" ht="15.75" customHeight="1" x14ac:dyDescent="0.25">
      <c r="C76" s="1"/>
      <c r="D76" s="1"/>
      <c r="E76" s="1"/>
      <c r="F76" s="1"/>
      <c r="G76" s="1"/>
      <c r="H76" s="1"/>
      <c r="I76" s="1"/>
      <c r="J76" s="1"/>
    </row>
    <row r="77" spans="3:10" ht="15.75" customHeight="1" x14ac:dyDescent="0.25">
      <c r="C77" s="1"/>
      <c r="D77" s="1"/>
      <c r="E77" s="1"/>
      <c r="F77" s="1"/>
      <c r="G77" s="1"/>
      <c r="H77" s="1"/>
      <c r="I77" s="1"/>
      <c r="J77" s="1"/>
    </row>
    <row r="78" spans="3:10" ht="15.75" customHeight="1" x14ac:dyDescent="0.25">
      <c r="C78" s="1"/>
      <c r="D78" s="1"/>
      <c r="E78" s="1"/>
      <c r="F78" s="1"/>
      <c r="G78" s="1"/>
      <c r="H78" s="1"/>
      <c r="I78" s="1"/>
      <c r="J78" s="1"/>
    </row>
    <row r="79" spans="3:10" ht="15.75" customHeight="1" x14ac:dyDescent="0.25">
      <c r="C79" s="1"/>
      <c r="D79" s="1"/>
      <c r="E79" s="1"/>
      <c r="F79" s="1"/>
      <c r="G79" s="1"/>
      <c r="H79" s="1"/>
      <c r="I79" s="1"/>
      <c r="J79" s="1"/>
    </row>
    <row r="80" spans="3:10" ht="15.75" customHeight="1" x14ac:dyDescent="0.25">
      <c r="C80" s="1"/>
      <c r="D80" s="1"/>
      <c r="E80" s="1"/>
      <c r="F80" s="1"/>
      <c r="G80" s="1"/>
      <c r="H80" s="1"/>
      <c r="I80" s="1"/>
      <c r="J80" s="1"/>
    </row>
    <row r="81" spans="3:10" ht="15.75" customHeight="1" x14ac:dyDescent="0.25">
      <c r="C81" s="1"/>
      <c r="D81" s="1"/>
      <c r="E81" s="1"/>
      <c r="F81" s="1"/>
      <c r="G81" s="1"/>
      <c r="H81" s="1"/>
      <c r="I81" s="1"/>
      <c r="J81" s="1"/>
    </row>
    <row r="82" spans="3:10" ht="15.75" customHeight="1" x14ac:dyDescent="0.25">
      <c r="C82" s="1"/>
      <c r="D82" s="1"/>
      <c r="E82" s="1"/>
      <c r="F82" s="1"/>
      <c r="G82" s="1"/>
      <c r="H82" s="1"/>
      <c r="I82" s="1"/>
      <c r="J82" s="1"/>
    </row>
    <row r="83" spans="3:10" ht="15.75" customHeight="1" x14ac:dyDescent="0.25">
      <c r="C83" s="1"/>
      <c r="D83" s="1"/>
      <c r="E83" s="1"/>
      <c r="F83" s="1"/>
      <c r="G83" s="1"/>
      <c r="H83" s="1"/>
      <c r="I83" s="1"/>
      <c r="J83" s="1"/>
    </row>
    <row r="84" spans="3:10" ht="15.75" customHeight="1" x14ac:dyDescent="0.25">
      <c r="C84" s="1"/>
      <c r="D84" s="1"/>
      <c r="E84" s="1"/>
      <c r="F84" s="1"/>
      <c r="G84" s="1"/>
      <c r="H84" s="1"/>
      <c r="I84" s="1"/>
      <c r="J84" s="1"/>
    </row>
    <row r="85" spans="3:10" ht="15.75" customHeight="1" x14ac:dyDescent="0.25">
      <c r="C85" s="1"/>
      <c r="D85" s="1"/>
      <c r="E85" s="1"/>
      <c r="F85" s="1"/>
      <c r="G85" s="1"/>
      <c r="H85" s="1"/>
      <c r="I85" s="1"/>
      <c r="J85" s="1"/>
    </row>
    <row r="86" spans="3:10" ht="15.75" customHeight="1" x14ac:dyDescent="0.25">
      <c r="C86" s="1"/>
      <c r="D86" s="1"/>
      <c r="E86" s="1"/>
      <c r="F86" s="1"/>
      <c r="G86" s="1"/>
      <c r="H86" s="1"/>
      <c r="I86" s="1"/>
      <c r="J86" s="1"/>
    </row>
    <row r="87" spans="3:10" ht="15.75" customHeight="1" x14ac:dyDescent="0.25">
      <c r="C87" s="1"/>
      <c r="D87" s="1"/>
      <c r="E87" s="1"/>
      <c r="F87" s="1"/>
      <c r="G87" s="1"/>
      <c r="H87" s="1"/>
      <c r="I87" s="1"/>
      <c r="J87" s="1"/>
    </row>
    <row r="88" spans="3:10" ht="15.75" customHeight="1" x14ac:dyDescent="0.25">
      <c r="C88" s="1"/>
      <c r="D88" s="1"/>
      <c r="E88" s="1"/>
      <c r="F88" s="1"/>
      <c r="G88" s="1"/>
      <c r="H88" s="1"/>
      <c r="I88" s="1"/>
      <c r="J88" s="1"/>
    </row>
    <row r="89" spans="3:10" ht="15.75" customHeight="1" x14ac:dyDescent="0.25">
      <c r="C89" s="1"/>
      <c r="D89" s="1"/>
      <c r="E89" s="1"/>
      <c r="F89" s="1"/>
      <c r="G89" s="1"/>
      <c r="H89" s="1"/>
      <c r="I89" s="1"/>
      <c r="J89" s="1"/>
    </row>
    <row r="90" spans="3:10" ht="15.75" customHeight="1" x14ac:dyDescent="0.25">
      <c r="C90" s="1"/>
      <c r="D90" s="1"/>
      <c r="E90" s="1"/>
      <c r="F90" s="1"/>
      <c r="G90" s="1"/>
      <c r="H90" s="1"/>
      <c r="I90" s="1"/>
      <c r="J90" s="1"/>
    </row>
    <row r="91" spans="3:10" ht="15.75" customHeight="1" x14ac:dyDescent="0.25">
      <c r="C91" s="1"/>
      <c r="D91" s="1"/>
      <c r="E91" s="1"/>
      <c r="F91" s="1"/>
      <c r="G91" s="1"/>
      <c r="H91" s="1"/>
      <c r="I91" s="1"/>
      <c r="J91" s="1"/>
    </row>
    <row r="92" spans="3:10" ht="15.75" customHeight="1" x14ac:dyDescent="0.25">
      <c r="C92" s="1"/>
      <c r="D92" s="1"/>
      <c r="E92" s="1"/>
      <c r="F92" s="1"/>
      <c r="G92" s="1"/>
      <c r="H92" s="1"/>
      <c r="I92" s="1"/>
      <c r="J92" s="1"/>
    </row>
    <row r="93" spans="3:10" ht="15.75" customHeight="1" x14ac:dyDescent="0.25">
      <c r="C93" s="1"/>
      <c r="D93" s="1"/>
      <c r="E93" s="1"/>
      <c r="F93" s="1"/>
      <c r="G93" s="1"/>
      <c r="H93" s="1"/>
      <c r="I93" s="1"/>
      <c r="J93" s="1"/>
    </row>
    <row r="94" spans="3:10" ht="15.75" customHeight="1" x14ac:dyDescent="0.25">
      <c r="C94" s="1"/>
      <c r="D94" s="1"/>
      <c r="E94" s="1"/>
      <c r="F94" s="1"/>
      <c r="G94" s="1"/>
      <c r="H94" s="1"/>
      <c r="I94" s="1"/>
      <c r="J94" s="1"/>
    </row>
    <row r="95" spans="3:10" ht="15.75" customHeight="1" x14ac:dyDescent="0.25">
      <c r="C95" s="1"/>
      <c r="D95" s="1"/>
      <c r="E95" s="1"/>
      <c r="F95" s="1"/>
      <c r="G95" s="1"/>
      <c r="H95" s="1"/>
      <c r="I95" s="1"/>
      <c r="J95" s="1"/>
    </row>
    <row r="96" spans="3:10" ht="15.75" customHeight="1" x14ac:dyDescent="0.25">
      <c r="C96" s="1"/>
      <c r="D96" s="1"/>
      <c r="E96" s="1"/>
      <c r="F96" s="1"/>
      <c r="G96" s="1"/>
      <c r="H96" s="1"/>
      <c r="I96" s="1"/>
      <c r="J96" s="1"/>
    </row>
    <row r="97" spans="3:10" ht="15.75" customHeight="1" x14ac:dyDescent="0.25">
      <c r="C97" s="1"/>
      <c r="D97" s="1"/>
      <c r="E97" s="1"/>
      <c r="F97" s="1"/>
      <c r="G97" s="1"/>
      <c r="H97" s="1"/>
      <c r="I97" s="1"/>
      <c r="J97" s="1"/>
    </row>
    <row r="98" spans="3:10" ht="15.75" customHeight="1" x14ac:dyDescent="0.25">
      <c r="C98" s="1"/>
      <c r="D98" s="1"/>
      <c r="E98" s="1"/>
      <c r="F98" s="1"/>
      <c r="G98" s="1"/>
      <c r="H98" s="1"/>
      <c r="I98" s="1"/>
      <c r="J98" s="1"/>
    </row>
    <row r="99" spans="3:10" ht="15.75" customHeight="1" x14ac:dyDescent="0.25">
      <c r="C99" s="1"/>
      <c r="D99" s="1"/>
      <c r="E99" s="1"/>
      <c r="F99" s="1"/>
      <c r="G99" s="1"/>
      <c r="H99" s="1"/>
      <c r="I99" s="1"/>
      <c r="J99" s="1"/>
    </row>
    <row r="100" spans="3:10" ht="15.75" customHeight="1" x14ac:dyDescent="0.25">
      <c r="C100" s="1"/>
      <c r="D100" s="1"/>
      <c r="E100" s="1"/>
      <c r="F100" s="1"/>
      <c r="G100" s="1"/>
      <c r="H100" s="1"/>
      <c r="I100" s="1"/>
      <c r="J100" s="1"/>
    </row>
    <row r="101" spans="3:10" ht="15.75" customHeight="1" x14ac:dyDescent="0.25">
      <c r="C101" s="1"/>
      <c r="D101" s="1"/>
      <c r="E101" s="1"/>
      <c r="F101" s="1"/>
      <c r="G101" s="1"/>
      <c r="H101" s="1"/>
      <c r="I101" s="1"/>
      <c r="J101" s="1"/>
    </row>
    <row r="102" spans="3:10" ht="15.75" customHeight="1" x14ac:dyDescent="0.25">
      <c r="C102" s="1"/>
      <c r="D102" s="1"/>
      <c r="E102" s="1"/>
      <c r="F102" s="1"/>
      <c r="G102" s="1"/>
      <c r="H102" s="1"/>
      <c r="I102" s="1"/>
      <c r="J102" s="1"/>
    </row>
    <row r="103" spans="3:10" ht="15.75" customHeight="1" x14ac:dyDescent="0.25">
      <c r="C103" s="1"/>
      <c r="D103" s="1"/>
      <c r="E103" s="1"/>
      <c r="F103" s="1"/>
      <c r="G103" s="1"/>
      <c r="H103" s="1"/>
      <c r="I103" s="1"/>
      <c r="J103" s="1"/>
    </row>
    <row r="104" spans="3:10" ht="15.75" customHeight="1" x14ac:dyDescent="0.25">
      <c r="C104" s="1"/>
      <c r="D104" s="1"/>
      <c r="E104" s="1"/>
      <c r="F104" s="1"/>
      <c r="G104" s="1"/>
      <c r="H104" s="1"/>
      <c r="I104" s="1"/>
      <c r="J104" s="1"/>
    </row>
    <row r="105" spans="3:10" ht="15.75" customHeight="1" x14ac:dyDescent="0.25">
      <c r="C105" s="1"/>
      <c r="D105" s="1"/>
      <c r="E105" s="1"/>
      <c r="F105" s="1"/>
      <c r="G105" s="1"/>
      <c r="H105" s="1"/>
      <c r="I105" s="1"/>
      <c r="J105" s="1"/>
    </row>
    <row r="106" spans="3:10" ht="15.75" customHeight="1" x14ac:dyDescent="0.25">
      <c r="C106" s="1"/>
      <c r="D106" s="1"/>
      <c r="E106" s="1"/>
      <c r="F106" s="1"/>
      <c r="G106" s="1"/>
      <c r="H106" s="1"/>
      <c r="I106" s="1"/>
      <c r="J106" s="1"/>
    </row>
    <row r="107" spans="3:10" ht="15.75" customHeight="1" x14ac:dyDescent="0.25">
      <c r="C107" s="1"/>
      <c r="D107" s="1"/>
      <c r="E107" s="1"/>
      <c r="F107" s="1"/>
      <c r="G107" s="1"/>
      <c r="H107" s="1"/>
      <c r="I107" s="1"/>
      <c r="J107" s="1"/>
    </row>
    <row r="108" spans="3:10" ht="15.75" customHeight="1" x14ac:dyDescent="0.25">
      <c r="C108" s="1"/>
      <c r="D108" s="1"/>
      <c r="E108" s="1"/>
      <c r="F108" s="1"/>
      <c r="G108" s="1"/>
      <c r="H108" s="1"/>
      <c r="I108" s="1"/>
      <c r="J108" s="1"/>
    </row>
    <row r="109" spans="3:10" ht="15.75" customHeight="1" x14ac:dyDescent="0.25">
      <c r="C109" s="1"/>
      <c r="D109" s="1"/>
      <c r="E109" s="1"/>
      <c r="F109" s="1"/>
      <c r="G109" s="1"/>
      <c r="H109" s="1"/>
      <c r="I109" s="1"/>
      <c r="J109" s="1"/>
    </row>
    <row r="110" spans="3:10" ht="15.75" customHeight="1" x14ac:dyDescent="0.25">
      <c r="C110" s="1"/>
      <c r="D110" s="1"/>
      <c r="E110" s="1"/>
      <c r="F110" s="1"/>
      <c r="G110" s="1"/>
      <c r="H110" s="1"/>
      <c r="I110" s="1"/>
      <c r="J110" s="1"/>
    </row>
    <row r="111" spans="3:10" ht="15.75" customHeight="1" x14ac:dyDescent="0.25">
      <c r="C111" s="1"/>
      <c r="D111" s="1"/>
      <c r="E111" s="1"/>
      <c r="F111" s="1"/>
      <c r="G111" s="1"/>
      <c r="H111" s="1"/>
      <c r="I111" s="1"/>
      <c r="J111" s="1"/>
    </row>
    <row r="112" spans="3:10" ht="15.75" customHeight="1" x14ac:dyDescent="0.25">
      <c r="C112" s="1"/>
      <c r="D112" s="1"/>
      <c r="E112" s="1"/>
      <c r="F112" s="1"/>
      <c r="G112" s="1"/>
      <c r="H112" s="1"/>
      <c r="I112" s="1"/>
      <c r="J112" s="1"/>
    </row>
    <row r="113" spans="3:10" ht="15.75" customHeight="1" x14ac:dyDescent="0.25">
      <c r="C113" s="1"/>
      <c r="D113" s="1"/>
      <c r="E113" s="1"/>
      <c r="F113" s="1"/>
      <c r="G113" s="1"/>
      <c r="H113" s="1"/>
      <c r="I113" s="1"/>
      <c r="J113" s="1"/>
    </row>
    <row r="114" spans="3:10" ht="15.75" customHeight="1" x14ac:dyDescent="0.25">
      <c r="C114" s="1"/>
      <c r="D114" s="1"/>
      <c r="E114" s="1"/>
      <c r="F114" s="1"/>
      <c r="G114" s="1"/>
      <c r="H114" s="1"/>
      <c r="I114" s="1"/>
      <c r="J114" s="1"/>
    </row>
    <row r="115" spans="3:10" ht="15.75" customHeight="1" x14ac:dyDescent="0.25">
      <c r="C115" s="1"/>
      <c r="D115" s="1"/>
      <c r="E115" s="1"/>
      <c r="F115" s="1"/>
      <c r="G115" s="1"/>
      <c r="H115" s="1"/>
      <c r="I115" s="1"/>
      <c r="J115" s="1"/>
    </row>
    <row r="116" spans="3:10" ht="15.75" customHeight="1" x14ac:dyDescent="0.25">
      <c r="C116" s="1"/>
      <c r="D116" s="1"/>
      <c r="E116" s="1"/>
      <c r="F116" s="1"/>
      <c r="G116" s="1"/>
      <c r="H116" s="1"/>
      <c r="I116" s="1"/>
      <c r="J116" s="1"/>
    </row>
    <row r="117" spans="3:10" ht="15.75" customHeight="1" x14ac:dyDescent="0.25">
      <c r="C117" s="1"/>
      <c r="D117" s="1"/>
      <c r="E117" s="1"/>
      <c r="F117" s="1"/>
      <c r="G117" s="1"/>
      <c r="H117" s="1"/>
      <c r="I117" s="1"/>
      <c r="J117" s="1"/>
    </row>
    <row r="118" spans="3:10" ht="15.75" customHeight="1" x14ac:dyDescent="0.25">
      <c r="C118" s="1"/>
      <c r="D118" s="1"/>
      <c r="E118" s="1"/>
      <c r="F118" s="1"/>
      <c r="G118" s="1"/>
      <c r="H118" s="1"/>
      <c r="I118" s="1"/>
      <c r="J118" s="1"/>
    </row>
    <row r="119" spans="3:10" ht="15.75" customHeight="1" x14ac:dyDescent="0.25">
      <c r="C119" s="1"/>
      <c r="D119" s="1"/>
      <c r="E119" s="1"/>
      <c r="F119" s="1"/>
      <c r="G119" s="1"/>
      <c r="H119" s="1"/>
      <c r="I119" s="1"/>
      <c r="J119" s="1"/>
    </row>
    <row r="120" spans="3:10" ht="15.75" customHeight="1" x14ac:dyDescent="0.25">
      <c r="C120" s="1"/>
      <c r="D120" s="1"/>
      <c r="E120" s="1"/>
      <c r="F120" s="1"/>
      <c r="G120" s="1"/>
      <c r="H120" s="1"/>
      <c r="I120" s="1"/>
      <c r="J120" s="1"/>
    </row>
    <row r="121" spans="3:10" ht="15.75" customHeight="1" x14ac:dyDescent="0.25">
      <c r="C121" s="1"/>
      <c r="D121" s="1"/>
      <c r="E121" s="1"/>
      <c r="F121" s="1"/>
      <c r="G121" s="1"/>
      <c r="H121" s="1"/>
      <c r="I121" s="1"/>
      <c r="J121" s="1"/>
    </row>
    <row r="122" spans="3:10" ht="15.75" customHeight="1" x14ac:dyDescent="0.25">
      <c r="C122" s="1"/>
      <c r="D122" s="1"/>
      <c r="E122" s="1"/>
      <c r="F122" s="1"/>
      <c r="G122" s="1"/>
      <c r="H122" s="1"/>
      <c r="I122" s="1"/>
      <c r="J122" s="1"/>
    </row>
    <row r="123" spans="3:10" ht="15.75" customHeight="1" x14ac:dyDescent="0.25">
      <c r="C123" s="1"/>
      <c r="D123" s="1"/>
      <c r="E123" s="1"/>
      <c r="F123" s="1"/>
      <c r="G123" s="1"/>
      <c r="H123" s="1"/>
      <c r="I123" s="1"/>
      <c r="J123" s="1"/>
    </row>
    <row r="124" spans="3:10" ht="15.75" customHeight="1" x14ac:dyDescent="0.25">
      <c r="C124" s="1"/>
      <c r="D124" s="1"/>
      <c r="E124" s="1"/>
      <c r="F124" s="1"/>
      <c r="G124" s="1"/>
      <c r="H124" s="1"/>
      <c r="I124" s="1"/>
      <c r="J124" s="1"/>
    </row>
    <row r="125" spans="3:10" ht="15.75" customHeight="1" x14ac:dyDescent="0.25">
      <c r="C125" s="1"/>
      <c r="D125" s="1"/>
      <c r="E125" s="1"/>
      <c r="F125" s="1"/>
      <c r="G125" s="1"/>
      <c r="H125" s="1"/>
      <c r="I125" s="1"/>
      <c r="J125" s="1"/>
    </row>
    <row r="126" spans="3:10" ht="15.75" customHeight="1" x14ac:dyDescent="0.25">
      <c r="C126" s="1"/>
      <c r="D126" s="1"/>
      <c r="E126" s="1"/>
      <c r="F126" s="1"/>
      <c r="G126" s="1"/>
      <c r="H126" s="1"/>
      <c r="I126" s="1"/>
      <c r="J126" s="1"/>
    </row>
    <row r="127" spans="3:10" ht="15.75" customHeight="1" x14ac:dyDescent="0.25">
      <c r="C127" s="1"/>
      <c r="D127" s="1"/>
      <c r="E127" s="1"/>
      <c r="F127" s="1"/>
      <c r="G127" s="1"/>
      <c r="H127" s="1"/>
      <c r="I127" s="1"/>
      <c r="J127" s="1"/>
    </row>
    <row r="128" spans="3:10" ht="15.75" customHeight="1" x14ac:dyDescent="0.25">
      <c r="C128" s="1"/>
      <c r="D128" s="1"/>
      <c r="E128" s="1"/>
      <c r="F128" s="1"/>
      <c r="G128" s="1"/>
      <c r="H128" s="1"/>
      <c r="I128" s="1"/>
      <c r="J128" s="1"/>
    </row>
    <row r="129" spans="3:10" ht="15.75" customHeight="1" x14ac:dyDescent="0.25">
      <c r="C129" s="1"/>
      <c r="D129" s="1"/>
      <c r="E129" s="1"/>
      <c r="F129" s="1"/>
      <c r="G129" s="1"/>
      <c r="H129" s="1"/>
      <c r="I129" s="1"/>
      <c r="J129" s="1"/>
    </row>
    <row r="130" spans="3:10" ht="15.75" customHeight="1" x14ac:dyDescent="0.25">
      <c r="C130" s="1"/>
      <c r="D130" s="1"/>
      <c r="E130" s="1"/>
      <c r="F130" s="1"/>
      <c r="G130" s="1"/>
      <c r="H130" s="1"/>
      <c r="I130" s="1"/>
      <c r="J130" s="1"/>
    </row>
    <row r="131" spans="3:10" ht="15.75" customHeight="1" x14ac:dyDescent="0.25">
      <c r="C131" s="1"/>
      <c r="D131" s="1"/>
      <c r="E131" s="1"/>
      <c r="F131" s="1"/>
      <c r="G131" s="1"/>
      <c r="H131" s="1"/>
      <c r="I131" s="1"/>
      <c r="J131" s="1"/>
    </row>
    <row r="132" spans="3:10" ht="15.75" customHeight="1" x14ac:dyDescent="0.25">
      <c r="C132" s="1"/>
      <c r="D132" s="1"/>
      <c r="E132" s="1"/>
      <c r="F132" s="1"/>
      <c r="G132" s="1"/>
      <c r="H132" s="1"/>
      <c r="I132" s="1"/>
      <c r="J132" s="1"/>
    </row>
    <row r="133" spans="3:10" ht="15.75" customHeight="1" x14ac:dyDescent="0.25">
      <c r="C133" s="1"/>
      <c r="D133" s="1"/>
      <c r="E133" s="1"/>
      <c r="F133" s="1"/>
      <c r="G133" s="1"/>
      <c r="H133" s="1"/>
      <c r="I133" s="1"/>
      <c r="J133" s="1"/>
    </row>
    <row r="134" spans="3:10" ht="15.75" customHeight="1" x14ac:dyDescent="0.25">
      <c r="C134" s="1"/>
      <c r="D134" s="1"/>
      <c r="E134" s="1"/>
      <c r="F134" s="1"/>
      <c r="G134" s="1"/>
      <c r="H134" s="1"/>
      <c r="I134" s="1"/>
      <c r="J134" s="1"/>
    </row>
    <row r="135" spans="3:10" ht="15.75" customHeight="1" x14ac:dyDescent="0.25">
      <c r="C135" s="1"/>
      <c r="D135" s="1"/>
      <c r="E135" s="1"/>
      <c r="F135" s="1"/>
      <c r="G135" s="1"/>
      <c r="H135" s="1"/>
      <c r="I135" s="1"/>
      <c r="J135" s="1"/>
    </row>
    <row r="136" spans="3:10" ht="15.75" customHeight="1" x14ac:dyDescent="0.25">
      <c r="C136" s="1"/>
      <c r="D136" s="1"/>
      <c r="E136" s="1"/>
      <c r="F136" s="1"/>
      <c r="G136" s="1"/>
      <c r="H136" s="1"/>
      <c r="I136" s="1"/>
      <c r="J136" s="1"/>
    </row>
    <row r="137" spans="3:10" ht="15.75" customHeight="1" x14ac:dyDescent="0.25">
      <c r="C137" s="1"/>
      <c r="D137" s="1"/>
      <c r="E137" s="1"/>
      <c r="F137" s="1"/>
      <c r="G137" s="1"/>
      <c r="H137" s="1"/>
      <c r="I137" s="1"/>
      <c r="J137" s="1"/>
    </row>
    <row r="138" spans="3:10" ht="15.75" customHeight="1" x14ac:dyDescent="0.25">
      <c r="C138" s="1"/>
      <c r="D138" s="1"/>
      <c r="E138" s="1"/>
      <c r="F138" s="1"/>
      <c r="G138" s="1"/>
      <c r="H138" s="1"/>
      <c r="I138" s="1"/>
      <c r="J138" s="1"/>
    </row>
    <row r="139" spans="3:10" ht="15.75" customHeight="1" x14ac:dyDescent="0.25">
      <c r="C139" s="1"/>
      <c r="D139" s="1"/>
      <c r="E139" s="1"/>
      <c r="F139" s="1"/>
      <c r="G139" s="1"/>
      <c r="H139" s="1"/>
      <c r="I139" s="1"/>
      <c r="J139" s="1"/>
    </row>
    <row r="140" spans="3:10" ht="15.75" customHeight="1" x14ac:dyDescent="0.25">
      <c r="C140" s="1"/>
      <c r="D140" s="1"/>
      <c r="E140" s="1"/>
      <c r="F140" s="1"/>
      <c r="G140" s="1"/>
      <c r="H140" s="1"/>
      <c r="I140" s="1"/>
      <c r="J140" s="1"/>
    </row>
    <row r="141" spans="3:10" ht="15.75" customHeight="1" x14ac:dyDescent="0.25">
      <c r="C141" s="1"/>
      <c r="D141" s="1"/>
      <c r="E141" s="1"/>
      <c r="F141" s="1"/>
      <c r="G141" s="1"/>
      <c r="H141" s="1"/>
      <c r="I141" s="1"/>
      <c r="J141" s="1"/>
    </row>
    <row r="142" spans="3:10" ht="15.75" customHeight="1" x14ac:dyDescent="0.25">
      <c r="C142" s="1"/>
      <c r="D142" s="1"/>
      <c r="E142" s="1"/>
      <c r="F142" s="1"/>
      <c r="G142" s="1"/>
      <c r="H142" s="1"/>
      <c r="I142" s="1"/>
      <c r="J142" s="1"/>
    </row>
    <row r="143" spans="3:10" ht="15.75" customHeight="1" x14ac:dyDescent="0.25">
      <c r="C143" s="1"/>
      <c r="D143" s="1"/>
      <c r="E143" s="1"/>
      <c r="F143" s="1"/>
      <c r="G143" s="1"/>
      <c r="H143" s="1"/>
      <c r="I143" s="1"/>
      <c r="J143" s="1"/>
    </row>
    <row r="144" spans="3:10" ht="15.75" customHeight="1" x14ac:dyDescent="0.25">
      <c r="C144" s="1"/>
      <c r="D144" s="1"/>
      <c r="E144" s="1"/>
      <c r="F144" s="1"/>
      <c r="G144" s="1"/>
      <c r="H144" s="1"/>
      <c r="I144" s="1"/>
      <c r="J144" s="1"/>
    </row>
    <row r="145" spans="3:10" ht="15.75" customHeight="1" x14ac:dyDescent="0.25">
      <c r="C145" s="1"/>
      <c r="D145" s="1"/>
      <c r="E145" s="1"/>
      <c r="F145" s="1"/>
      <c r="G145" s="1"/>
      <c r="H145" s="1"/>
      <c r="I145" s="1"/>
      <c r="J145" s="1"/>
    </row>
    <row r="146" spans="3:10" ht="15.75" customHeight="1" x14ac:dyDescent="0.25">
      <c r="C146" s="1"/>
      <c r="D146" s="1"/>
      <c r="E146" s="1"/>
      <c r="F146" s="1"/>
      <c r="G146" s="1"/>
      <c r="H146" s="1"/>
      <c r="I146" s="1"/>
      <c r="J146" s="1"/>
    </row>
    <row r="147" spans="3:10" ht="15.75" customHeight="1" x14ac:dyDescent="0.25">
      <c r="C147" s="1"/>
      <c r="D147" s="1"/>
      <c r="E147" s="1"/>
      <c r="F147" s="1"/>
      <c r="G147" s="1"/>
      <c r="H147" s="1"/>
      <c r="I147" s="1"/>
      <c r="J147" s="1"/>
    </row>
    <row r="148" spans="3:10" ht="15.75" customHeight="1" x14ac:dyDescent="0.25">
      <c r="C148" s="1"/>
      <c r="D148" s="1"/>
      <c r="E148" s="1"/>
      <c r="F148" s="1"/>
      <c r="G148" s="1"/>
      <c r="H148" s="1"/>
      <c r="I148" s="1"/>
      <c r="J148" s="1"/>
    </row>
    <row r="149" spans="3:10" ht="15.75" customHeight="1" x14ac:dyDescent="0.25">
      <c r="C149" s="1"/>
      <c r="D149" s="1"/>
      <c r="E149" s="1"/>
      <c r="F149" s="1"/>
      <c r="G149" s="1"/>
      <c r="H149" s="1"/>
      <c r="I149" s="1"/>
      <c r="J149" s="1"/>
    </row>
    <row r="150" spans="3:10" ht="15.75" customHeight="1" x14ac:dyDescent="0.25">
      <c r="C150" s="1"/>
      <c r="D150" s="1"/>
      <c r="E150" s="1"/>
      <c r="F150" s="1"/>
      <c r="G150" s="1"/>
      <c r="H150" s="1"/>
      <c r="I150" s="1"/>
      <c r="J150" s="1"/>
    </row>
    <row r="151" spans="3:10" ht="15.75" customHeight="1" x14ac:dyDescent="0.25">
      <c r="C151" s="1"/>
      <c r="D151" s="1"/>
      <c r="E151" s="1"/>
      <c r="F151" s="1"/>
      <c r="G151" s="1"/>
      <c r="H151" s="1"/>
      <c r="I151" s="1"/>
      <c r="J151" s="1"/>
    </row>
    <row r="152" spans="3:10" ht="15.75" customHeight="1" x14ac:dyDescent="0.25">
      <c r="C152" s="1"/>
      <c r="D152" s="1"/>
      <c r="E152" s="1"/>
      <c r="F152" s="1"/>
      <c r="G152" s="1"/>
      <c r="H152" s="1"/>
      <c r="I152" s="1"/>
      <c r="J152" s="1"/>
    </row>
    <row r="153" spans="3:10" ht="15.75" customHeight="1" x14ac:dyDescent="0.25">
      <c r="C153" s="1"/>
      <c r="D153" s="1"/>
      <c r="E153" s="1"/>
      <c r="F153" s="1"/>
      <c r="G153" s="1"/>
      <c r="H153" s="1"/>
      <c r="I153" s="1"/>
      <c r="J153" s="1"/>
    </row>
    <row r="154" spans="3:10" ht="15.75" customHeight="1" x14ac:dyDescent="0.25">
      <c r="C154" s="1"/>
      <c r="D154" s="1"/>
      <c r="E154" s="1"/>
      <c r="F154" s="1"/>
      <c r="G154" s="1"/>
      <c r="H154" s="1"/>
      <c r="I154" s="1"/>
      <c r="J154" s="1"/>
    </row>
    <row r="155" spans="3:10" ht="15.75" customHeight="1" x14ac:dyDescent="0.25">
      <c r="C155" s="1"/>
      <c r="D155" s="1"/>
      <c r="E155" s="1"/>
      <c r="F155" s="1"/>
      <c r="G155" s="1"/>
      <c r="H155" s="1"/>
      <c r="I155" s="1"/>
      <c r="J155" s="1"/>
    </row>
    <row r="156" spans="3:10" ht="15.75" customHeight="1" x14ac:dyDescent="0.25">
      <c r="C156" s="1"/>
      <c r="D156" s="1"/>
      <c r="E156" s="1"/>
      <c r="F156" s="1"/>
      <c r="G156" s="1"/>
      <c r="H156" s="1"/>
      <c r="I156" s="1"/>
      <c r="J156" s="1"/>
    </row>
    <row r="157" spans="3:10" ht="15.75" customHeight="1" x14ac:dyDescent="0.25">
      <c r="C157" s="1"/>
      <c r="D157" s="1"/>
      <c r="E157" s="1"/>
      <c r="F157" s="1"/>
      <c r="G157" s="1"/>
      <c r="H157" s="1"/>
      <c r="I157" s="1"/>
      <c r="J157" s="1"/>
    </row>
    <row r="158" spans="3:10" ht="15.75" customHeight="1" x14ac:dyDescent="0.25">
      <c r="C158" s="1"/>
      <c r="D158" s="1"/>
      <c r="E158" s="1"/>
      <c r="F158" s="1"/>
      <c r="G158" s="1"/>
      <c r="H158" s="1"/>
      <c r="I158" s="1"/>
      <c r="J158" s="1"/>
    </row>
    <row r="159" spans="3:10" ht="15.75" customHeight="1" x14ac:dyDescent="0.25">
      <c r="C159" s="1"/>
      <c r="D159" s="1"/>
      <c r="E159" s="1"/>
      <c r="F159" s="1"/>
      <c r="G159" s="1"/>
      <c r="H159" s="1"/>
      <c r="I159" s="1"/>
      <c r="J159" s="1"/>
    </row>
    <row r="160" spans="3:10" ht="15.75" customHeight="1" x14ac:dyDescent="0.25">
      <c r="C160" s="1"/>
      <c r="D160" s="1"/>
      <c r="E160" s="1"/>
      <c r="F160" s="1"/>
      <c r="G160" s="1"/>
      <c r="H160" s="1"/>
      <c r="I160" s="1"/>
      <c r="J160" s="1"/>
    </row>
    <row r="161" spans="3:10" ht="15.75" customHeight="1" x14ac:dyDescent="0.25">
      <c r="C161" s="1"/>
      <c r="D161" s="1"/>
      <c r="E161" s="1"/>
      <c r="F161" s="1"/>
      <c r="G161" s="1"/>
      <c r="H161" s="1"/>
      <c r="I161" s="1"/>
      <c r="J161" s="1"/>
    </row>
    <row r="162" spans="3:10" ht="15.75" customHeight="1" x14ac:dyDescent="0.25">
      <c r="C162" s="1"/>
      <c r="D162" s="1"/>
      <c r="E162" s="1"/>
      <c r="F162" s="1"/>
      <c r="G162" s="1"/>
      <c r="H162" s="1"/>
      <c r="I162" s="1"/>
      <c r="J162" s="1"/>
    </row>
    <row r="163" spans="3:10" ht="15.75" customHeight="1" x14ac:dyDescent="0.25">
      <c r="C163" s="1"/>
      <c r="D163" s="1"/>
      <c r="E163" s="1"/>
      <c r="F163" s="1"/>
      <c r="G163" s="1"/>
      <c r="H163" s="1"/>
      <c r="I163" s="1"/>
      <c r="J163" s="1"/>
    </row>
    <row r="164" spans="3:10" ht="15.75" customHeight="1" x14ac:dyDescent="0.25">
      <c r="C164" s="1"/>
      <c r="D164" s="1"/>
      <c r="E164" s="1"/>
      <c r="F164" s="1"/>
      <c r="G164" s="1"/>
      <c r="H164" s="1"/>
      <c r="I164" s="1"/>
      <c r="J164" s="1"/>
    </row>
    <row r="165" spans="3:10" ht="15.75" customHeight="1" x14ac:dyDescent="0.25">
      <c r="C165" s="1"/>
      <c r="D165" s="1"/>
      <c r="E165" s="1"/>
      <c r="F165" s="1"/>
      <c r="G165" s="1"/>
      <c r="H165" s="1"/>
      <c r="I165" s="1"/>
      <c r="J165" s="1"/>
    </row>
    <row r="166" spans="3:10" ht="15.75" customHeight="1" x14ac:dyDescent="0.25">
      <c r="C166" s="1"/>
      <c r="D166" s="1"/>
      <c r="E166" s="1"/>
      <c r="F166" s="1"/>
      <c r="G166" s="1"/>
      <c r="H166" s="1"/>
      <c r="I166" s="1"/>
      <c r="J166" s="1"/>
    </row>
    <row r="167" spans="3:10" ht="15.75" customHeight="1" x14ac:dyDescent="0.25">
      <c r="C167" s="1"/>
      <c r="D167" s="1"/>
      <c r="E167" s="1"/>
      <c r="F167" s="1"/>
      <c r="G167" s="1"/>
      <c r="H167" s="1"/>
      <c r="I167" s="1"/>
      <c r="J167" s="1"/>
    </row>
    <row r="168" spans="3:10" ht="15.75" customHeight="1" x14ac:dyDescent="0.25">
      <c r="C168" s="1"/>
      <c r="D168" s="1"/>
      <c r="E168" s="1"/>
      <c r="F168" s="1"/>
      <c r="G168" s="1"/>
      <c r="H168" s="1"/>
      <c r="I168" s="1"/>
      <c r="J168" s="1"/>
    </row>
    <row r="169" spans="3:10" ht="15.75" customHeight="1" x14ac:dyDescent="0.25">
      <c r="C169" s="1"/>
      <c r="D169" s="1"/>
      <c r="E169" s="1"/>
      <c r="F169" s="1"/>
      <c r="G169" s="1"/>
      <c r="H169" s="1"/>
      <c r="I169" s="1"/>
      <c r="J169" s="1"/>
    </row>
    <row r="170" spans="3:10" ht="15.75" customHeight="1" x14ac:dyDescent="0.25">
      <c r="C170" s="1"/>
      <c r="D170" s="1"/>
      <c r="E170" s="1"/>
      <c r="F170" s="1"/>
      <c r="G170" s="1"/>
      <c r="H170" s="1"/>
      <c r="I170" s="1"/>
      <c r="J170" s="1"/>
    </row>
    <row r="171" spans="3:10" ht="15.75" customHeight="1" x14ac:dyDescent="0.25">
      <c r="C171" s="1"/>
      <c r="D171" s="1"/>
      <c r="E171" s="1"/>
      <c r="F171" s="1"/>
      <c r="G171" s="1"/>
      <c r="H171" s="1"/>
      <c r="I171" s="1"/>
      <c r="J171" s="1"/>
    </row>
    <row r="172" spans="3:10" ht="15.75" customHeight="1" x14ac:dyDescent="0.25">
      <c r="C172" s="1"/>
      <c r="D172" s="1"/>
      <c r="E172" s="1"/>
      <c r="F172" s="1"/>
      <c r="G172" s="1"/>
      <c r="H172" s="1"/>
      <c r="I172" s="1"/>
      <c r="J172" s="1"/>
    </row>
    <row r="173" spans="3:10" ht="15.75" customHeight="1" x14ac:dyDescent="0.25">
      <c r="C173" s="1"/>
      <c r="D173" s="1"/>
      <c r="E173" s="1"/>
      <c r="F173" s="1"/>
      <c r="G173" s="1"/>
      <c r="H173" s="1"/>
      <c r="I173" s="1"/>
      <c r="J173" s="1"/>
    </row>
    <row r="174" spans="3:10" ht="15.75" customHeight="1" x14ac:dyDescent="0.25">
      <c r="C174" s="1"/>
      <c r="D174" s="1"/>
      <c r="E174" s="1"/>
      <c r="F174" s="1"/>
      <c r="G174" s="1"/>
      <c r="H174" s="1"/>
      <c r="I174" s="1"/>
      <c r="J174" s="1"/>
    </row>
    <row r="175" spans="3:10" ht="15.75" customHeight="1" x14ac:dyDescent="0.25">
      <c r="C175" s="1"/>
      <c r="D175" s="1"/>
      <c r="E175" s="1"/>
      <c r="F175" s="1"/>
      <c r="G175" s="1"/>
      <c r="H175" s="1"/>
      <c r="I175" s="1"/>
      <c r="J175" s="1"/>
    </row>
    <row r="176" spans="3:10" ht="15.75" customHeight="1" x14ac:dyDescent="0.25">
      <c r="C176" s="1"/>
      <c r="D176" s="1"/>
      <c r="E176" s="1"/>
      <c r="F176" s="1"/>
      <c r="G176" s="1"/>
      <c r="H176" s="1"/>
      <c r="I176" s="1"/>
      <c r="J176" s="1"/>
    </row>
    <row r="177" spans="3:10" ht="15.75" customHeight="1" x14ac:dyDescent="0.25">
      <c r="C177" s="1"/>
      <c r="D177" s="1"/>
      <c r="E177" s="1"/>
      <c r="F177" s="1"/>
      <c r="G177" s="1"/>
      <c r="H177" s="1"/>
      <c r="I177" s="1"/>
      <c r="J177" s="1"/>
    </row>
    <row r="178" spans="3:10" ht="15.75" customHeight="1" x14ac:dyDescent="0.25">
      <c r="C178" s="1"/>
      <c r="D178" s="1"/>
      <c r="E178" s="1"/>
      <c r="F178" s="1"/>
      <c r="G178" s="1"/>
      <c r="H178" s="1"/>
      <c r="I178" s="1"/>
      <c r="J178" s="1"/>
    </row>
    <row r="179" spans="3:10" ht="15.75" customHeight="1" x14ac:dyDescent="0.25">
      <c r="C179" s="1"/>
      <c r="D179" s="1"/>
      <c r="E179" s="1"/>
      <c r="F179" s="1"/>
      <c r="G179" s="1"/>
      <c r="H179" s="1"/>
      <c r="I179" s="1"/>
      <c r="J179" s="1"/>
    </row>
    <row r="180" spans="3:10" ht="15.75" customHeight="1" x14ac:dyDescent="0.25">
      <c r="C180" s="1"/>
      <c r="D180" s="1"/>
      <c r="E180" s="1"/>
      <c r="F180" s="1"/>
      <c r="G180" s="1"/>
      <c r="H180" s="1"/>
      <c r="I180" s="1"/>
      <c r="J180" s="1"/>
    </row>
    <row r="181" spans="3:10" ht="15.75" customHeight="1" x14ac:dyDescent="0.25">
      <c r="C181" s="1"/>
      <c r="D181" s="1"/>
      <c r="E181" s="1"/>
      <c r="F181" s="1"/>
      <c r="G181" s="1"/>
      <c r="H181" s="1"/>
      <c r="I181" s="1"/>
      <c r="J181" s="1"/>
    </row>
    <row r="182" spans="3:10" ht="15.75" customHeight="1" x14ac:dyDescent="0.25">
      <c r="C182" s="1"/>
      <c r="D182" s="1"/>
      <c r="E182" s="1"/>
      <c r="F182" s="1"/>
      <c r="G182" s="1"/>
      <c r="H182" s="1"/>
      <c r="I182" s="1"/>
      <c r="J182" s="1"/>
    </row>
    <row r="183" spans="3:10" ht="15.75" customHeight="1" x14ac:dyDescent="0.25">
      <c r="C183" s="1"/>
      <c r="D183" s="1"/>
      <c r="E183" s="1"/>
      <c r="F183" s="1"/>
      <c r="G183" s="1"/>
      <c r="H183" s="1"/>
      <c r="I183" s="1"/>
      <c r="J183" s="1"/>
    </row>
    <row r="184" spans="3:10" ht="15.75" customHeight="1" x14ac:dyDescent="0.25">
      <c r="C184" s="1"/>
      <c r="D184" s="1"/>
      <c r="E184" s="1"/>
      <c r="F184" s="1"/>
      <c r="G184" s="1"/>
      <c r="H184" s="1"/>
      <c r="I184" s="1"/>
      <c r="J184" s="1"/>
    </row>
    <row r="185" spans="3:10" ht="15.75" customHeight="1" x14ac:dyDescent="0.25">
      <c r="C185" s="1"/>
      <c r="D185" s="1"/>
      <c r="E185" s="1"/>
      <c r="F185" s="1"/>
      <c r="G185" s="1"/>
      <c r="H185" s="1"/>
      <c r="I185" s="1"/>
      <c r="J185" s="1"/>
    </row>
    <row r="186" spans="3:10" ht="15.75" customHeight="1" x14ac:dyDescent="0.25">
      <c r="C186" s="1"/>
      <c r="D186" s="1"/>
      <c r="E186" s="1"/>
      <c r="F186" s="1"/>
      <c r="G186" s="1"/>
      <c r="H186" s="1"/>
      <c r="I186" s="1"/>
      <c r="J186" s="1"/>
    </row>
    <row r="187" spans="3:10" ht="15.75" customHeight="1" x14ac:dyDescent="0.25">
      <c r="C187" s="1"/>
      <c r="D187" s="1"/>
      <c r="E187" s="1"/>
      <c r="F187" s="1"/>
      <c r="G187" s="1"/>
      <c r="H187" s="1"/>
      <c r="I187" s="1"/>
      <c r="J187" s="1"/>
    </row>
    <row r="188" spans="3:10" ht="15.75" customHeight="1" x14ac:dyDescent="0.25">
      <c r="C188" s="1"/>
      <c r="D188" s="1"/>
      <c r="E188" s="1"/>
      <c r="F188" s="1"/>
      <c r="G188" s="1"/>
      <c r="H188" s="1"/>
      <c r="I188" s="1"/>
      <c r="J188" s="1"/>
    </row>
    <row r="189" spans="3:10" ht="15.75" customHeight="1" x14ac:dyDescent="0.25">
      <c r="C189" s="1"/>
      <c r="D189" s="1"/>
      <c r="E189" s="1"/>
      <c r="F189" s="1"/>
      <c r="G189" s="1"/>
      <c r="H189" s="1"/>
      <c r="I189" s="1"/>
      <c r="J189" s="1"/>
    </row>
    <row r="190" spans="3:10" ht="15.75" customHeight="1" x14ac:dyDescent="0.25">
      <c r="C190" s="1"/>
      <c r="D190" s="1"/>
      <c r="E190" s="1"/>
      <c r="F190" s="1"/>
      <c r="G190" s="1"/>
      <c r="H190" s="1"/>
      <c r="I190" s="1"/>
      <c r="J190" s="1"/>
    </row>
    <row r="191" spans="3:10" ht="15.75" customHeight="1" x14ac:dyDescent="0.25">
      <c r="C191" s="1"/>
      <c r="D191" s="1"/>
      <c r="E191" s="1"/>
      <c r="F191" s="1"/>
      <c r="G191" s="1"/>
      <c r="H191" s="1"/>
      <c r="I191" s="1"/>
      <c r="J191" s="1"/>
    </row>
    <row r="192" spans="3:10" ht="15.75" customHeight="1" x14ac:dyDescent="0.25">
      <c r="C192" s="1"/>
      <c r="D192" s="1"/>
      <c r="E192" s="1"/>
      <c r="F192" s="1"/>
      <c r="G192" s="1"/>
      <c r="H192" s="1"/>
      <c r="I192" s="1"/>
      <c r="J192" s="1"/>
    </row>
    <row r="193" spans="3:10" ht="15.75" customHeight="1" x14ac:dyDescent="0.25">
      <c r="C193" s="1"/>
      <c r="D193" s="1"/>
      <c r="E193" s="1"/>
      <c r="F193" s="1"/>
      <c r="G193" s="1"/>
      <c r="H193" s="1"/>
      <c r="I193" s="1"/>
      <c r="J193" s="1"/>
    </row>
    <row r="194" spans="3:10" ht="15.75" customHeight="1" x14ac:dyDescent="0.25">
      <c r="C194" s="1"/>
      <c r="D194" s="1"/>
      <c r="E194" s="1"/>
      <c r="F194" s="1"/>
      <c r="G194" s="1"/>
      <c r="H194" s="1"/>
      <c r="I194" s="1"/>
      <c r="J194" s="1"/>
    </row>
    <row r="195" spans="3:10" ht="15.75" customHeight="1" x14ac:dyDescent="0.25">
      <c r="C195" s="1"/>
      <c r="D195" s="1"/>
      <c r="E195" s="1"/>
      <c r="F195" s="1"/>
      <c r="G195" s="1"/>
      <c r="H195" s="1"/>
      <c r="I195" s="1"/>
      <c r="J195" s="1"/>
    </row>
    <row r="196" spans="3:10" ht="15.75" customHeight="1" x14ac:dyDescent="0.25">
      <c r="C196" s="1"/>
      <c r="D196" s="1"/>
      <c r="E196" s="1"/>
      <c r="F196" s="1"/>
      <c r="G196" s="1"/>
      <c r="H196" s="1"/>
      <c r="I196" s="1"/>
      <c r="J196" s="1"/>
    </row>
    <row r="197" spans="3:10" ht="15.75" customHeight="1" x14ac:dyDescent="0.25">
      <c r="C197" s="1"/>
      <c r="D197" s="1"/>
      <c r="E197" s="1"/>
      <c r="F197" s="1"/>
      <c r="G197" s="1"/>
      <c r="H197" s="1"/>
      <c r="I197" s="1"/>
      <c r="J197" s="1"/>
    </row>
    <row r="198" spans="3:10" ht="15.75" customHeight="1" x14ac:dyDescent="0.25">
      <c r="C198" s="1"/>
      <c r="D198" s="1"/>
      <c r="E198" s="1"/>
      <c r="F198" s="1"/>
      <c r="G198" s="1"/>
      <c r="H198" s="1"/>
      <c r="I198" s="1"/>
      <c r="J198" s="1"/>
    </row>
    <row r="199" spans="3:10" ht="15.75" customHeight="1" x14ac:dyDescent="0.25">
      <c r="C199" s="1"/>
      <c r="D199" s="1"/>
      <c r="E199" s="1"/>
      <c r="F199" s="1"/>
      <c r="G199" s="1"/>
      <c r="H199" s="1"/>
      <c r="I199" s="1"/>
      <c r="J199" s="1"/>
    </row>
    <row r="200" spans="3:10" ht="15.75" customHeight="1" x14ac:dyDescent="0.25">
      <c r="C200" s="1"/>
      <c r="D200" s="1"/>
      <c r="E200" s="1"/>
      <c r="F200" s="1"/>
      <c r="G200" s="1"/>
      <c r="H200" s="1"/>
      <c r="I200" s="1"/>
      <c r="J200" s="1"/>
    </row>
    <row r="201" spans="3:10" ht="15.75" customHeight="1" x14ac:dyDescent="0.25">
      <c r="C201" s="1"/>
      <c r="D201" s="1"/>
      <c r="E201" s="1"/>
      <c r="F201" s="1"/>
      <c r="G201" s="1"/>
      <c r="H201" s="1"/>
      <c r="I201" s="1"/>
      <c r="J201" s="1"/>
    </row>
    <row r="202" spans="3:10" ht="15.75" customHeight="1" x14ac:dyDescent="0.25">
      <c r="C202" s="1"/>
      <c r="D202" s="1"/>
      <c r="E202" s="1"/>
      <c r="F202" s="1"/>
      <c r="G202" s="1"/>
      <c r="H202" s="1"/>
      <c r="I202" s="1"/>
      <c r="J202" s="1"/>
    </row>
    <row r="203" spans="3:10" ht="15.75" customHeight="1" x14ac:dyDescent="0.25">
      <c r="C203" s="1"/>
      <c r="D203" s="1"/>
      <c r="E203" s="1"/>
      <c r="F203" s="1"/>
      <c r="G203" s="1"/>
      <c r="H203" s="1"/>
      <c r="I203" s="1"/>
      <c r="J203" s="1"/>
    </row>
    <row r="204" spans="3:10" ht="15.75" customHeight="1" x14ac:dyDescent="0.25">
      <c r="C204" s="1"/>
      <c r="D204" s="1"/>
      <c r="E204" s="1"/>
      <c r="F204" s="1"/>
      <c r="G204" s="1"/>
      <c r="H204" s="1"/>
      <c r="I204" s="1"/>
      <c r="J204" s="1"/>
    </row>
    <row r="205" spans="3:10" ht="15.75" customHeight="1" x14ac:dyDescent="0.25">
      <c r="C205" s="1"/>
      <c r="D205" s="1"/>
      <c r="E205" s="1"/>
      <c r="F205" s="1"/>
      <c r="G205" s="1"/>
      <c r="H205" s="1"/>
      <c r="I205" s="1"/>
      <c r="J205" s="1"/>
    </row>
    <row r="206" spans="3:10" ht="15.75" customHeight="1" x14ac:dyDescent="0.25">
      <c r="C206" s="1"/>
      <c r="D206" s="1"/>
      <c r="E206" s="1"/>
      <c r="F206" s="1"/>
      <c r="G206" s="1"/>
      <c r="H206" s="1"/>
      <c r="I206" s="1"/>
      <c r="J206" s="1"/>
    </row>
    <row r="207" spans="3:10" ht="15.75" customHeight="1" x14ac:dyDescent="0.25">
      <c r="C207" s="1"/>
      <c r="D207" s="1"/>
      <c r="E207" s="1"/>
      <c r="F207" s="1"/>
      <c r="G207" s="1"/>
      <c r="H207" s="1"/>
      <c r="I207" s="1"/>
      <c r="J207" s="1"/>
    </row>
    <row r="208" spans="3:10" ht="15.75" customHeight="1" x14ac:dyDescent="0.25">
      <c r="C208" s="1"/>
      <c r="D208" s="1"/>
      <c r="E208" s="1"/>
      <c r="F208" s="1"/>
      <c r="G208" s="1"/>
      <c r="H208" s="1"/>
      <c r="I208" s="1"/>
      <c r="J208" s="1"/>
    </row>
    <row r="209" spans="3:10" ht="15.75" customHeight="1" x14ac:dyDescent="0.25">
      <c r="C209" s="1"/>
      <c r="D209" s="1"/>
      <c r="E209" s="1"/>
      <c r="F209" s="1"/>
      <c r="G209" s="1"/>
      <c r="H209" s="1"/>
      <c r="I209" s="1"/>
      <c r="J209" s="1"/>
    </row>
    <row r="210" spans="3:10" ht="15.75" customHeight="1" x14ac:dyDescent="0.25">
      <c r="C210" s="1"/>
      <c r="D210" s="1"/>
      <c r="E210" s="1"/>
      <c r="F210" s="1"/>
      <c r="G210" s="1"/>
      <c r="H210" s="1"/>
      <c r="I210" s="1"/>
      <c r="J210" s="1"/>
    </row>
    <row r="211" spans="3:10" ht="15.75" customHeight="1" x14ac:dyDescent="0.25">
      <c r="C211" s="1"/>
      <c r="D211" s="1"/>
      <c r="E211" s="1"/>
      <c r="F211" s="1"/>
      <c r="G211" s="1"/>
      <c r="H211" s="1"/>
      <c r="I211" s="1"/>
      <c r="J211" s="1"/>
    </row>
    <row r="212" spans="3:10" ht="15.75" customHeight="1" x14ac:dyDescent="0.25">
      <c r="C212" s="1"/>
      <c r="D212" s="1"/>
      <c r="E212" s="1"/>
      <c r="F212" s="1"/>
      <c r="G212" s="1"/>
      <c r="H212" s="1"/>
      <c r="I212" s="1"/>
      <c r="J212" s="1"/>
    </row>
    <row r="213" spans="3:10" ht="15.75" customHeight="1" x14ac:dyDescent="0.25">
      <c r="C213" s="1"/>
      <c r="D213" s="1"/>
      <c r="E213" s="1"/>
      <c r="F213" s="1"/>
      <c r="G213" s="1"/>
      <c r="H213" s="1"/>
      <c r="I213" s="1"/>
      <c r="J213" s="1"/>
    </row>
    <row r="214" spans="3:10" ht="15.75" customHeight="1" x14ac:dyDescent="0.25">
      <c r="C214" s="1"/>
      <c r="D214" s="1"/>
      <c r="E214" s="1"/>
      <c r="F214" s="1"/>
      <c r="G214" s="1"/>
      <c r="H214" s="1"/>
      <c r="I214" s="1"/>
      <c r="J214" s="1"/>
    </row>
    <row r="215" spans="3:10" ht="15.75" customHeight="1" x14ac:dyDescent="0.25">
      <c r="C215" s="1"/>
      <c r="D215" s="1"/>
      <c r="E215" s="1"/>
      <c r="F215" s="1"/>
      <c r="G215" s="1"/>
      <c r="H215" s="1"/>
      <c r="I215" s="1"/>
      <c r="J215" s="1"/>
    </row>
    <row r="216" spans="3:10" ht="15.75" customHeight="1" x14ac:dyDescent="0.25">
      <c r="C216" s="1"/>
      <c r="D216" s="1"/>
      <c r="E216" s="1"/>
      <c r="F216" s="1"/>
      <c r="G216" s="1"/>
      <c r="H216" s="1"/>
      <c r="I216" s="1"/>
      <c r="J216" s="1"/>
    </row>
    <row r="217" spans="3:10" ht="15.75" customHeight="1" x14ac:dyDescent="0.25">
      <c r="C217" s="1"/>
      <c r="D217" s="1"/>
      <c r="E217" s="1"/>
      <c r="F217" s="1"/>
      <c r="G217" s="1"/>
      <c r="H217" s="1"/>
      <c r="I217" s="1"/>
      <c r="J217" s="1"/>
    </row>
    <row r="218" spans="3:10" ht="15.75" customHeight="1" x14ac:dyDescent="0.25">
      <c r="C218" s="1"/>
      <c r="D218" s="1"/>
      <c r="E218" s="1"/>
      <c r="F218" s="1"/>
      <c r="G218" s="1"/>
      <c r="H218" s="1"/>
      <c r="I218" s="1"/>
      <c r="J218" s="1"/>
    </row>
    <row r="219" spans="3:10" ht="15.75" customHeight="1" x14ac:dyDescent="0.25">
      <c r="C219" s="1"/>
      <c r="D219" s="1"/>
      <c r="E219" s="1"/>
      <c r="F219" s="1"/>
      <c r="G219" s="1"/>
      <c r="H219" s="1"/>
      <c r="I219" s="1"/>
      <c r="J219" s="1"/>
    </row>
    <row r="220" spans="3:10" ht="15.75" customHeight="1" x14ac:dyDescent="0.25">
      <c r="C220" s="1"/>
      <c r="D220" s="1"/>
      <c r="E220" s="1"/>
      <c r="F220" s="1"/>
      <c r="G220" s="1"/>
      <c r="H220" s="1"/>
      <c r="I220" s="1"/>
      <c r="J220" s="1"/>
    </row>
    <row r="221" spans="3:10" ht="15.75" customHeight="1" x14ac:dyDescent="0.25">
      <c r="C221" s="1"/>
      <c r="D221" s="1"/>
      <c r="E221" s="1"/>
      <c r="F221" s="1"/>
      <c r="G221" s="1"/>
      <c r="H221" s="1"/>
      <c r="I221" s="1"/>
      <c r="J221" s="1"/>
    </row>
    <row r="222" spans="3:10" ht="15.75" customHeight="1" x14ac:dyDescent="0.25">
      <c r="C222" s="1"/>
      <c r="D222" s="1"/>
      <c r="E222" s="1"/>
      <c r="F222" s="1"/>
      <c r="G222" s="1"/>
      <c r="H222" s="1"/>
      <c r="I222" s="1"/>
      <c r="J222" s="1"/>
    </row>
    <row r="223" spans="3:10" ht="15.75" customHeight="1" x14ac:dyDescent="0.25">
      <c r="C223" s="1"/>
      <c r="D223" s="1"/>
      <c r="E223" s="1"/>
      <c r="F223" s="1"/>
      <c r="G223" s="1"/>
      <c r="H223" s="1"/>
      <c r="I223" s="1"/>
      <c r="J223" s="1"/>
    </row>
    <row r="224" spans="3:10" ht="15.75" customHeight="1" x14ac:dyDescent="0.25">
      <c r="C224" s="1"/>
      <c r="D224" s="1"/>
      <c r="E224" s="1"/>
      <c r="F224" s="1"/>
      <c r="G224" s="1"/>
      <c r="H224" s="1"/>
      <c r="I224" s="1"/>
      <c r="J224" s="1"/>
    </row>
    <row r="225" spans="3:10" ht="15.75" customHeight="1" x14ac:dyDescent="0.25">
      <c r="C225" s="1"/>
      <c r="D225" s="1"/>
      <c r="E225" s="1"/>
      <c r="F225" s="1"/>
      <c r="G225" s="1"/>
      <c r="H225" s="1"/>
      <c r="I225" s="1"/>
      <c r="J225" s="1"/>
    </row>
    <row r="226" spans="3:10" ht="15.75" customHeight="1" x14ac:dyDescent="0.25">
      <c r="C226" s="1"/>
      <c r="D226" s="1"/>
      <c r="E226" s="1"/>
      <c r="F226" s="1"/>
      <c r="G226" s="1"/>
      <c r="H226" s="1"/>
      <c r="I226" s="1"/>
      <c r="J226" s="1"/>
    </row>
    <row r="227" spans="3:10" ht="15.75" customHeight="1" x14ac:dyDescent="0.25">
      <c r="C227" s="1"/>
      <c r="D227" s="1"/>
      <c r="E227" s="1"/>
      <c r="F227" s="1"/>
      <c r="G227" s="1"/>
      <c r="H227" s="1"/>
      <c r="I227" s="1"/>
      <c r="J227" s="1"/>
    </row>
    <row r="228" spans="3:10" ht="15.75" customHeight="1" x14ac:dyDescent="0.25">
      <c r="C228" s="1"/>
      <c r="D228" s="1"/>
      <c r="E228" s="1"/>
      <c r="F228" s="1"/>
      <c r="G228" s="1"/>
      <c r="H228" s="1"/>
      <c r="I228" s="1"/>
      <c r="J228" s="1"/>
    </row>
    <row r="229" spans="3:10" ht="15.75" customHeight="1" x14ac:dyDescent="0.25">
      <c r="C229" s="1"/>
      <c r="D229" s="1"/>
      <c r="E229" s="1"/>
      <c r="F229" s="1"/>
      <c r="G229" s="1"/>
      <c r="H229" s="1"/>
      <c r="I229" s="1"/>
      <c r="J229" s="1"/>
    </row>
    <row r="230" spans="3:10" ht="15.75" customHeight="1" x14ac:dyDescent="0.25">
      <c r="C230" s="1"/>
      <c r="D230" s="1"/>
      <c r="E230" s="1"/>
      <c r="F230" s="1"/>
      <c r="G230" s="1"/>
      <c r="H230" s="1"/>
      <c r="I230" s="1"/>
      <c r="J230" s="1"/>
    </row>
    <row r="231" spans="3:10" ht="15.75" customHeight="1" x14ac:dyDescent="0.25">
      <c r="C231" s="1"/>
      <c r="D231" s="1"/>
      <c r="E231" s="1"/>
      <c r="F231" s="1"/>
      <c r="G231" s="1"/>
      <c r="H231" s="1"/>
      <c r="I231" s="1"/>
      <c r="J231" s="1"/>
    </row>
    <row r="232" spans="3:10" ht="15.75" customHeight="1" x14ac:dyDescent="0.25">
      <c r="C232" s="1"/>
      <c r="D232" s="1"/>
      <c r="E232" s="1"/>
      <c r="F232" s="1"/>
      <c r="G232" s="1"/>
      <c r="H232" s="1"/>
      <c r="I232" s="1"/>
      <c r="J232" s="1"/>
    </row>
    <row r="233" spans="3:10" ht="15.75" customHeight="1" x14ac:dyDescent="0.25">
      <c r="C233" s="1"/>
      <c r="D233" s="1"/>
      <c r="E233" s="1"/>
      <c r="F233" s="1"/>
      <c r="G233" s="1"/>
      <c r="H233" s="1"/>
      <c r="I233" s="1"/>
      <c r="J233" s="1"/>
    </row>
    <row r="234" spans="3:10" ht="15.75" customHeight="1" x14ac:dyDescent="0.25">
      <c r="C234" s="1"/>
      <c r="D234" s="1"/>
      <c r="E234" s="1"/>
      <c r="F234" s="1"/>
      <c r="G234" s="1"/>
      <c r="H234" s="1"/>
      <c r="I234" s="1"/>
      <c r="J234" s="1"/>
    </row>
    <row r="235" spans="3:10" ht="15.75" customHeight="1" x14ac:dyDescent="0.25">
      <c r="C235" s="1"/>
      <c r="D235" s="1"/>
      <c r="E235" s="1"/>
      <c r="F235" s="1"/>
      <c r="G235" s="1"/>
      <c r="H235" s="1"/>
      <c r="I235" s="1"/>
      <c r="J235" s="1"/>
    </row>
    <row r="236" spans="3:10" ht="15.75" customHeight="1" x14ac:dyDescent="0.25">
      <c r="C236" s="1"/>
      <c r="D236" s="1"/>
      <c r="E236" s="1"/>
      <c r="F236" s="1"/>
      <c r="G236" s="1"/>
      <c r="H236" s="1"/>
      <c r="I236" s="1"/>
      <c r="J236" s="1"/>
    </row>
    <row r="237" spans="3:10" ht="15.75" customHeight="1" x14ac:dyDescent="0.25">
      <c r="C237" s="1"/>
      <c r="D237" s="1"/>
      <c r="E237" s="1"/>
      <c r="F237" s="1"/>
      <c r="G237" s="1"/>
      <c r="H237" s="1"/>
      <c r="I237" s="1"/>
      <c r="J237" s="1"/>
    </row>
    <row r="238" spans="3:10" ht="15.75" customHeight="1" x14ac:dyDescent="0.25">
      <c r="C238" s="1"/>
      <c r="D238" s="1"/>
      <c r="E238" s="1"/>
      <c r="F238" s="1"/>
      <c r="G238" s="1"/>
      <c r="H238" s="1"/>
      <c r="I238" s="1"/>
      <c r="J238" s="1"/>
    </row>
    <row r="239" spans="3:10" ht="15.75" customHeight="1" x14ac:dyDescent="0.25">
      <c r="C239" s="1"/>
      <c r="D239" s="1"/>
      <c r="E239" s="1"/>
      <c r="F239" s="1"/>
      <c r="G239" s="1"/>
      <c r="H239" s="1"/>
      <c r="I239" s="1"/>
      <c r="J239" s="1"/>
    </row>
    <row r="240" spans="3:10" ht="15.75" customHeight="1" x14ac:dyDescent="0.25">
      <c r="C240" s="1"/>
      <c r="D240" s="1"/>
      <c r="E240" s="1"/>
      <c r="F240" s="1"/>
      <c r="G240" s="1"/>
      <c r="H240" s="1"/>
      <c r="I240" s="1"/>
      <c r="J240" s="1"/>
    </row>
    <row r="241" spans="3:10" ht="15.75" customHeight="1" x14ac:dyDescent="0.25">
      <c r="C241" s="1"/>
      <c r="D241" s="1"/>
      <c r="E241" s="1"/>
      <c r="F241" s="1"/>
      <c r="G241" s="1"/>
      <c r="H241" s="1"/>
      <c r="I241" s="1"/>
      <c r="J241" s="1"/>
    </row>
    <row r="242" spans="3:10" ht="15.75" customHeight="1" x14ac:dyDescent="0.25">
      <c r="C242" s="1"/>
      <c r="D242" s="1"/>
      <c r="E242" s="1"/>
      <c r="F242" s="1"/>
      <c r="G242" s="1"/>
      <c r="H242" s="1"/>
      <c r="I242" s="1"/>
      <c r="J242" s="1"/>
    </row>
    <row r="243" spans="3:10" ht="15.75" customHeight="1" x14ac:dyDescent="0.25">
      <c r="C243" s="1"/>
      <c r="D243" s="1"/>
      <c r="E243" s="1"/>
      <c r="F243" s="1"/>
      <c r="G243" s="1"/>
      <c r="H243" s="1"/>
      <c r="I243" s="1"/>
      <c r="J243" s="1"/>
    </row>
    <row r="244" spans="3:10" ht="15.75" customHeight="1" x14ac:dyDescent="0.25">
      <c r="C244" s="1"/>
      <c r="D244" s="1"/>
      <c r="E244" s="1"/>
      <c r="F244" s="1"/>
      <c r="G244" s="1"/>
      <c r="H244" s="1"/>
      <c r="I244" s="1"/>
      <c r="J244" s="1"/>
    </row>
    <row r="245" spans="3:10" ht="15.75" customHeight="1" x14ac:dyDescent="0.25">
      <c r="C245" s="1"/>
      <c r="D245" s="1"/>
      <c r="E245" s="1"/>
      <c r="F245" s="1"/>
      <c r="G245" s="1"/>
      <c r="H245" s="1"/>
      <c r="I245" s="1"/>
      <c r="J245" s="1"/>
    </row>
    <row r="246" spans="3:10" ht="15.75" customHeight="1" x14ac:dyDescent="0.25">
      <c r="C246" s="1"/>
      <c r="D246" s="1"/>
      <c r="E246" s="1"/>
      <c r="F246" s="1"/>
      <c r="G246" s="1"/>
      <c r="H246" s="1"/>
      <c r="I246" s="1"/>
      <c r="J246" s="1"/>
    </row>
    <row r="247" spans="3:10" ht="15.75" customHeight="1" x14ac:dyDescent="0.25">
      <c r="C247" s="1"/>
      <c r="D247" s="1"/>
      <c r="E247" s="1"/>
      <c r="F247" s="1"/>
      <c r="G247" s="1"/>
      <c r="H247" s="1"/>
      <c r="I247" s="1"/>
      <c r="J247" s="1"/>
    </row>
    <row r="248" spans="3:10" ht="15.75" customHeight="1" x14ac:dyDescent="0.25">
      <c r="C248" s="1"/>
      <c r="D248" s="1"/>
      <c r="E248" s="1"/>
      <c r="F248" s="1"/>
      <c r="G248" s="1"/>
      <c r="H248" s="1"/>
      <c r="I248" s="1"/>
      <c r="J248" s="1"/>
    </row>
    <row r="249" spans="3:10" ht="15.75" customHeight="1" x14ac:dyDescent="0.25">
      <c r="C249" s="1"/>
      <c r="D249" s="1"/>
      <c r="E249" s="1"/>
      <c r="F249" s="1"/>
      <c r="G249" s="1"/>
      <c r="H249" s="1"/>
      <c r="I249" s="1"/>
      <c r="J249" s="1"/>
    </row>
    <row r="250" spans="3:10" ht="15.75" customHeight="1" x14ac:dyDescent="0.25">
      <c r="C250" s="1"/>
      <c r="D250" s="1"/>
      <c r="E250" s="1"/>
      <c r="F250" s="1"/>
      <c r="G250" s="1"/>
      <c r="H250" s="1"/>
      <c r="I250" s="1"/>
      <c r="J250" s="1"/>
    </row>
    <row r="251" spans="3:10" ht="15.75" customHeight="1" x14ac:dyDescent="0.25">
      <c r="C251" s="1"/>
      <c r="D251" s="1"/>
      <c r="E251" s="1"/>
      <c r="F251" s="1"/>
      <c r="G251" s="1"/>
      <c r="H251" s="1"/>
      <c r="I251" s="1"/>
      <c r="J251" s="1"/>
    </row>
    <row r="252" spans="3:10" ht="15.75" customHeight="1" x14ac:dyDescent="0.25">
      <c r="C252" s="1"/>
      <c r="D252" s="1"/>
      <c r="E252" s="1"/>
      <c r="F252" s="1"/>
      <c r="G252" s="1"/>
      <c r="H252" s="1"/>
      <c r="I252" s="1"/>
      <c r="J252" s="1"/>
    </row>
    <row r="253" spans="3:10" ht="15.75" customHeight="1" x14ac:dyDescent="0.25">
      <c r="C253" s="1"/>
      <c r="D253" s="1"/>
      <c r="E253" s="1"/>
      <c r="F253" s="1"/>
      <c r="G253" s="1"/>
      <c r="H253" s="1"/>
      <c r="I253" s="1"/>
      <c r="J253" s="1"/>
    </row>
    <row r="254" spans="3:10" ht="15.75" customHeight="1" x14ac:dyDescent="0.25">
      <c r="C254" s="1"/>
      <c r="D254" s="1"/>
      <c r="E254" s="1"/>
      <c r="F254" s="1"/>
      <c r="G254" s="1"/>
      <c r="H254" s="1"/>
      <c r="I254" s="1"/>
      <c r="J254" s="1"/>
    </row>
    <row r="255" spans="3:10" ht="15.75" customHeight="1" x14ac:dyDescent="0.25">
      <c r="C255" s="1"/>
      <c r="D255" s="1"/>
      <c r="E255" s="1"/>
      <c r="F255" s="1"/>
      <c r="G255" s="1"/>
      <c r="H255" s="1"/>
      <c r="I255" s="1"/>
      <c r="J255" s="1"/>
    </row>
    <row r="256" spans="3:10" ht="15.75" customHeight="1" x14ac:dyDescent="0.25">
      <c r="C256" s="1"/>
      <c r="D256" s="1"/>
      <c r="E256" s="1"/>
      <c r="F256" s="1"/>
      <c r="G256" s="1"/>
      <c r="H256" s="1"/>
      <c r="I256" s="1"/>
      <c r="J256" s="1"/>
    </row>
    <row r="257" spans="3:10" ht="15.75" customHeight="1" x14ac:dyDescent="0.25">
      <c r="C257" s="1"/>
      <c r="D257" s="1"/>
      <c r="E257" s="1"/>
      <c r="F257" s="1"/>
      <c r="G257" s="1"/>
      <c r="H257" s="1"/>
      <c r="I257" s="1"/>
      <c r="J257" s="1"/>
    </row>
    <row r="258" spans="3:10" ht="15.75" customHeight="1" x14ac:dyDescent="0.25">
      <c r="C258" s="1"/>
      <c r="D258" s="1"/>
      <c r="E258" s="1"/>
      <c r="F258" s="1"/>
      <c r="G258" s="1"/>
      <c r="H258" s="1"/>
      <c r="I258" s="1"/>
      <c r="J258" s="1"/>
    </row>
    <row r="259" spans="3:10" ht="15.75" customHeight="1" x14ac:dyDescent="0.25">
      <c r="C259" s="1"/>
      <c r="D259" s="1"/>
      <c r="E259" s="1"/>
      <c r="F259" s="1"/>
      <c r="G259" s="1"/>
      <c r="H259" s="1"/>
      <c r="I259" s="1"/>
      <c r="J259" s="1"/>
    </row>
    <row r="260" spans="3:10" ht="15.75" customHeight="1" x14ac:dyDescent="0.25">
      <c r="C260" s="1"/>
      <c r="D260" s="1"/>
      <c r="E260" s="1"/>
      <c r="F260" s="1"/>
      <c r="G260" s="1"/>
      <c r="H260" s="1"/>
      <c r="I260" s="1"/>
      <c r="J260" s="1"/>
    </row>
    <row r="261" spans="3:10" ht="15.75" customHeight="1" x14ac:dyDescent="0.25">
      <c r="C261" s="1"/>
      <c r="D261" s="1"/>
      <c r="E261" s="1"/>
      <c r="F261" s="1"/>
      <c r="G261" s="1"/>
      <c r="H261" s="1"/>
      <c r="I261" s="1"/>
      <c r="J261" s="1"/>
    </row>
    <row r="262" spans="3:10" ht="15.75" customHeight="1" x14ac:dyDescent="0.25">
      <c r="C262" s="1"/>
      <c r="D262" s="1"/>
      <c r="E262" s="1"/>
      <c r="F262" s="1"/>
      <c r="G262" s="1"/>
      <c r="H262" s="1"/>
      <c r="I262" s="1"/>
      <c r="J262" s="1"/>
    </row>
    <row r="263" spans="3:10" ht="15.75" customHeight="1" x14ac:dyDescent="0.25">
      <c r="C263" s="1"/>
      <c r="D263" s="1"/>
      <c r="E263" s="1"/>
      <c r="F263" s="1"/>
      <c r="G263" s="1"/>
      <c r="H263" s="1"/>
      <c r="I263" s="1"/>
      <c r="J263" s="1"/>
    </row>
    <row r="264" spans="3:10" ht="15.75" customHeight="1" x14ac:dyDescent="0.25">
      <c r="C264" s="1"/>
      <c r="D264" s="1"/>
      <c r="E264" s="1"/>
      <c r="F264" s="1"/>
      <c r="G264" s="1"/>
      <c r="H264" s="1"/>
      <c r="I264" s="1"/>
      <c r="J264" s="1"/>
    </row>
    <row r="265" spans="3:10" ht="15.75" customHeight="1" x14ac:dyDescent="0.25">
      <c r="C265" s="1"/>
      <c r="D265" s="1"/>
      <c r="E265" s="1"/>
      <c r="F265" s="1"/>
      <c r="G265" s="1"/>
      <c r="H265" s="1"/>
      <c r="I265" s="1"/>
      <c r="J265" s="1"/>
    </row>
    <row r="266" spans="3:10" ht="15.75" customHeight="1" x14ac:dyDescent="0.25">
      <c r="C266" s="1"/>
      <c r="D266" s="1"/>
      <c r="E266" s="1"/>
      <c r="F266" s="1"/>
      <c r="G266" s="1"/>
      <c r="H266" s="1"/>
      <c r="I266" s="1"/>
      <c r="J266" s="1"/>
    </row>
    <row r="267" spans="3:10" ht="15.75" customHeight="1" x14ac:dyDescent="0.25">
      <c r="C267" s="1"/>
      <c r="D267" s="1"/>
      <c r="E267" s="1"/>
      <c r="F267" s="1"/>
      <c r="G267" s="1"/>
      <c r="H267" s="1"/>
      <c r="I267" s="1"/>
      <c r="J267" s="1"/>
    </row>
    <row r="268" spans="3:10" ht="15.75" customHeight="1" x14ac:dyDescent="0.25">
      <c r="C268" s="1"/>
      <c r="D268" s="1"/>
      <c r="E268" s="1"/>
      <c r="F268" s="1"/>
      <c r="G268" s="1"/>
      <c r="H268" s="1"/>
      <c r="I268" s="1"/>
      <c r="J268" s="1"/>
    </row>
    <row r="269" spans="3:10" ht="15.75" customHeight="1" x14ac:dyDescent="0.25">
      <c r="C269" s="1"/>
      <c r="D269" s="1"/>
      <c r="E269" s="1"/>
      <c r="F269" s="1"/>
      <c r="G269" s="1"/>
      <c r="H269" s="1"/>
      <c r="I269" s="1"/>
      <c r="J269" s="1"/>
    </row>
    <row r="270" spans="3:10" ht="15.75" customHeight="1" x14ac:dyDescent="0.25">
      <c r="C270" s="1"/>
      <c r="D270" s="1"/>
      <c r="E270" s="1"/>
      <c r="F270" s="1"/>
      <c r="G270" s="1"/>
      <c r="H270" s="1"/>
      <c r="I270" s="1"/>
      <c r="J270" s="1"/>
    </row>
    <row r="271" spans="3:10" ht="15.75" customHeight="1" x14ac:dyDescent="0.25">
      <c r="C271" s="1"/>
      <c r="D271" s="1"/>
      <c r="E271" s="1"/>
      <c r="F271" s="1"/>
      <c r="G271" s="1"/>
      <c r="H271" s="1"/>
      <c r="I271" s="1"/>
      <c r="J271" s="1"/>
    </row>
    <row r="272" spans="3:10" ht="15.75" customHeight="1" x14ac:dyDescent="0.25">
      <c r="C272" s="1"/>
      <c r="D272" s="1"/>
      <c r="E272" s="1"/>
      <c r="F272" s="1"/>
      <c r="G272" s="1"/>
      <c r="H272" s="1"/>
      <c r="I272" s="1"/>
      <c r="J272" s="1"/>
    </row>
    <row r="273" spans="3:10" ht="15.75" customHeight="1" x14ac:dyDescent="0.25">
      <c r="C273" s="1"/>
      <c r="D273" s="1"/>
      <c r="E273" s="1"/>
      <c r="F273" s="1"/>
      <c r="G273" s="1"/>
      <c r="H273" s="1"/>
      <c r="I273" s="1"/>
      <c r="J273" s="1"/>
    </row>
    <row r="274" spans="3:10" ht="15.75" customHeight="1" x14ac:dyDescent="0.25">
      <c r="C274" s="1"/>
      <c r="D274" s="1"/>
      <c r="E274" s="1"/>
      <c r="F274" s="1"/>
      <c r="G274" s="1"/>
      <c r="H274" s="1"/>
      <c r="I274" s="1"/>
      <c r="J274" s="1"/>
    </row>
    <row r="275" spans="3:10" ht="15.75" customHeight="1" x14ac:dyDescent="0.25">
      <c r="C275" s="1"/>
      <c r="D275" s="1"/>
      <c r="E275" s="1"/>
      <c r="F275" s="1"/>
      <c r="G275" s="1"/>
      <c r="H275" s="1"/>
      <c r="I275" s="1"/>
      <c r="J275" s="1"/>
    </row>
    <row r="276" spans="3:10" ht="15.75" customHeight="1" x14ac:dyDescent="0.25">
      <c r="C276" s="1"/>
      <c r="D276" s="1"/>
      <c r="E276" s="1"/>
      <c r="F276" s="1"/>
      <c r="G276" s="1"/>
      <c r="H276" s="1"/>
      <c r="I276" s="1"/>
      <c r="J276" s="1"/>
    </row>
    <row r="277" spans="3:10" ht="15.75" customHeight="1" x14ac:dyDescent="0.25">
      <c r="C277" s="1"/>
      <c r="D277" s="1"/>
      <c r="E277" s="1"/>
      <c r="F277" s="1"/>
      <c r="G277" s="1"/>
      <c r="H277" s="1"/>
      <c r="I277" s="1"/>
      <c r="J277" s="1"/>
    </row>
    <row r="278" spans="3:10" ht="15.75" customHeight="1" x14ac:dyDescent="0.25">
      <c r="C278" s="1"/>
      <c r="D278" s="1"/>
      <c r="E278" s="1"/>
      <c r="F278" s="1"/>
      <c r="G278" s="1"/>
      <c r="H278" s="1"/>
      <c r="I278" s="1"/>
      <c r="J278" s="1"/>
    </row>
    <row r="279" spans="3:10" ht="15.75" customHeight="1" x14ac:dyDescent="0.25">
      <c r="C279" s="1"/>
      <c r="D279" s="1"/>
      <c r="E279" s="1"/>
      <c r="F279" s="1"/>
      <c r="G279" s="1"/>
      <c r="H279" s="1"/>
      <c r="I279" s="1"/>
      <c r="J279" s="1"/>
    </row>
    <row r="280" spans="3:10" ht="15.75" customHeight="1" x14ac:dyDescent="0.25">
      <c r="C280" s="1"/>
      <c r="D280" s="1"/>
      <c r="E280" s="1"/>
      <c r="F280" s="1"/>
      <c r="G280" s="1"/>
      <c r="H280" s="1"/>
      <c r="I280" s="1"/>
      <c r="J280" s="1"/>
    </row>
    <row r="281" spans="3:10" ht="15.75" customHeight="1" x14ac:dyDescent="0.25">
      <c r="C281" s="1"/>
      <c r="D281" s="1"/>
      <c r="E281" s="1"/>
      <c r="F281" s="1"/>
      <c r="G281" s="1"/>
      <c r="H281" s="1"/>
      <c r="I281" s="1"/>
      <c r="J281" s="1"/>
    </row>
    <row r="282" spans="3:10" ht="15.75" customHeight="1" x14ac:dyDescent="0.25">
      <c r="C282" s="1"/>
      <c r="D282" s="1"/>
      <c r="E282" s="1"/>
      <c r="F282" s="1"/>
      <c r="G282" s="1"/>
      <c r="H282" s="1"/>
      <c r="I282" s="1"/>
      <c r="J282" s="1"/>
    </row>
    <row r="283" spans="3:10" ht="15.75" customHeight="1" x14ac:dyDescent="0.25">
      <c r="C283" s="1"/>
      <c r="D283" s="1"/>
      <c r="E283" s="1"/>
      <c r="F283" s="1"/>
      <c r="G283" s="1"/>
      <c r="H283" s="1"/>
      <c r="I283" s="1"/>
      <c r="J283" s="1"/>
    </row>
    <row r="284" spans="3:10" ht="15.75" customHeight="1" x14ac:dyDescent="0.25">
      <c r="C284" s="1"/>
      <c r="D284" s="1"/>
      <c r="E284" s="1"/>
      <c r="F284" s="1"/>
      <c r="G284" s="1"/>
      <c r="H284" s="1"/>
      <c r="I284" s="1"/>
      <c r="J284" s="1"/>
    </row>
    <row r="285" spans="3:10" ht="15.75" customHeight="1" x14ac:dyDescent="0.25">
      <c r="C285" s="1"/>
      <c r="D285" s="1"/>
      <c r="E285" s="1"/>
      <c r="F285" s="1"/>
      <c r="G285" s="1"/>
      <c r="H285" s="1"/>
      <c r="I285" s="1"/>
      <c r="J285" s="1"/>
    </row>
    <row r="286" spans="3:10" ht="15.75" customHeight="1" x14ac:dyDescent="0.25">
      <c r="C286" s="1"/>
      <c r="D286" s="1"/>
      <c r="E286" s="1"/>
      <c r="F286" s="1"/>
      <c r="G286" s="1"/>
      <c r="H286" s="1"/>
      <c r="I286" s="1"/>
      <c r="J286" s="1"/>
    </row>
    <row r="287" spans="3:10" ht="15.75" customHeight="1" x14ac:dyDescent="0.25">
      <c r="C287" s="1"/>
      <c r="D287" s="1"/>
      <c r="E287" s="1"/>
      <c r="F287" s="1"/>
      <c r="G287" s="1"/>
      <c r="H287" s="1"/>
      <c r="I287" s="1"/>
      <c r="J287" s="1"/>
    </row>
    <row r="288" spans="3:10" ht="15.75" customHeight="1" x14ac:dyDescent="0.25">
      <c r="C288" s="1"/>
      <c r="D288" s="1"/>
      <c r="E288" s="1"/>
      <c r="F288" s="1"/>
      <c r="G288" s="1"/>
      <c r="H288" s="1"/>
      <c r="I288" s="1"/>
      <c r="J288" s="1"/>
    </row>
    <row r="289" spans="3:10" ht="15.75" customHeight="1" x14ac:dyDescent="0.25">
      <c r="C289" s="1"/>
      <c r="D289" s="1"/>
      <c r="E289" s="1"/>
      <c r="F289" s="1"/>
      <c r="G289" s="1"/>
      <c r="H289" s="1"/>
      <c r="I289" s="1"/>
      <c r="J289" s="1"/>
    </row>
    <row r="290" spans="3:10" ht="15.75" customHeight="1" x14ac:dyDescent="0.25">
      <c r="C290" s="1"/>
      <c r="D290" s="1"/>
      <c r="E290" s="1"/>
      <c r="F290" s="1"/>
      <c r="G290" s="1"/>
      <c r="H290" s="1"/>
      <c r="I290" s="1"/>
      <c r="J290" s="1"/>
    </row>
    <row r="291" spans="3:10" ht="15.75" customHeight="1" x14ac:dyDescent="0.25">
      <c r="C291" s="1"/>
      <c r="D291" s="1"/>
      <c r="E291" s="1"/>
      <c r="F291" s="1"/>
      <c r="G291" s="1"/>
      <c r="H291" s="1"/>
      <c r="I291" s="1"/>
      <c r="J291" s="1"/>
    </row>
    <row r="292" spans="3:10" ht="15.75" customHeight="1" x14ac:dyDescent="0.25">
      <c r="C292" s="1"/>
      <c r="D292" s="1"/>
      <c r="E292" s="1"/>
      <c r="F292" s="1"/>
      <c r="G292" s="1"/>
      <c r="H292" s="1"/>
      <c r="I292" s="1"/>
      <c r="J292" s="1"/>
    </row>
    <row r="293" spans="3:10" ht="15.75" customHeight="1" x14ac:dyDescent="0.25">
      <c r="C293" s="1"/>
      <c r="D293" s="1"/>
      <c r="E293" s="1"/>
      <c r="F293" s="1"/>
      <c r="G293" s="1"/>
      <c r="H293" s="1"/>
      <c r="I293" s="1"/>
      <c r="J293" s="1"/>
    </row>
    <row r="294" spans="3:10" ht="15.75" customHeight="1" x14ac:dyDescent="0.25">
      <c r="C294" s="1"/>
      <c r="D294" s="1"/>
      <c r="E294" s="1"/>
      <c r="F294" s="1"/>
      <c r="G294" s="1"/>
      <c r="H294" s="1"/>
      <c r="I294" s="1"/>
      <c r="J294" s="1"/>
    </row>
    <row r="295" spans="3:10" ht="15.75" customHeight="1" x14ac:dyDescent="0.25">
      <c r="C295" s="1"/>
      <c r="D295" s="1"/>
      <c r="E295" s="1"/>
      <c r="F295" s="1"/>
      <c r="G295" s="1"/>
      <c r="H295" s="1"/>
      <c r="I295" s="1"/>
      <c r="J295" s="1"/>
    </row>
    <row r="296" spans="3:10" ht="15.75" customHeight="1" x14ac:dyDescent="0.25">
      <c r="C296" s="1"/>
      <c r="D296" s="1"/>
      <c r="E296" s="1"/>
      <c r="F296" s="1"/>
      <c r="G296" s="1"/>
      <c r="H296" s="1"/>
      <c r="I296" s="1"/>
      <c r="J296" s="1"/>
    </row>
    <row r="297" spans="3:10" ht="15.75" customHeight="1" x14ac:dyDescent="0.25">
      <c r="C297" s="1"/>
      <c r="D297" s="1"/>
      <c r="E297" s="1"/>
      <c r="F297" s="1"/>
      <c r="G297" s="1"/>
      <c r="H297" s="1"/>
      <c r="I297" s="1"/>
      <c r="J297" s="1"/>
    </row>
    <row r="298" spans="3:10" ht="15.75" customHeight="1" x14ac:dyDescent="0.25">
      <c r="C298" s="1"/>
      <c r="D298" s="1"/>
      <c r="E298" s="1"/>
      <c r="F298" s="1"/>
      <c r="G298" s="1"/>
      <c r="H298" s="1"/>
      <c r="I298" s="1"/>
      <c r="J298" s="1"/>
    </row>
    <row r="299" spans="3:10" ht="15.75" customHeight="1" x14ac:dyDescent="0.25">
      <c r="C299" s="1"/>
      <c r="D299" s="1"/>
      <c r="E299" s="1"/>
      <c r="F299" s="1"/>
      <c r="G299" s="1"/>
      <c r="H299" s="1"/>
      <c r="I299" s="1"/>
      <c r="J299" s="1"/>
    </row>
    <row r="300" spans="3:10" ht="15.75" customHeight="1" x14ac:dyDescent="0.25">
      <c r="C300" s="1"/>
      <c r="D300" s="1"/>
      <c r="E300" s="1"/>
      <c r="F300" s="1"/>
      <c r="G300" s="1"/>
      <c r="H300" s="1"/>
      <c r="I300" s="1"/>
      <c r="J300" s="1"/>
    </row>
    <row r="301" spans="3:10" ht="15.75" customHeight="1" x14ac:dyDescent="0.25">
      <c r="C301" s="1"/>
      <c r="D301" s="1"/>
      <c r="E301" s="1"/>
      <c r="F301" s="1"/>
      <c r="G301" s="1"/>
      <c r="H301" s="1"/>
      <c r="I301" s="1"/>
      <c r="J301" s="1"/>
    </row>
    <row r="302" spans="3:10" ht="15.75" customHeight="1" x14ac:dyDescent="0.25">
      <c r="C302" s="1"/>
      <c r="D302" s="1"/>
      <c r="E302" s="1"/>
      <c r="F302" s="1"/>
      <c r="G302" s="1"/>
      <c r="H302" s="1"/>
      <c r="I302" s="1"/>
      <c r="J302" s="1"/>
    </row>
    <row r="303" spans="3:10" ht="15.75" customHeight="1" x14ac:dyDescent="0.25">
      <c r="C303" s="1"/>
      <c r="D303" s="1"/>
      <c r="E303" s="1"/>
      <c r="F303" s="1"/>
      <c r="G303" s="1"/>
      <c r="H303" s="1"/>
      <c r="I303" s="1"/>
      <c r="J303" s="1"/>
    </row>
    <row r="304" spans="3:10" ht="15.75" customHeight="1" x14ac:dyDescent="0.25">
      <c r="C304" s="1"/>
      <c r="D304" s="1"/>
      <c r="E304" s="1"/>
      <c r="F304" s="1"/>
      <c r="G304" s="1"/>
      <c r="H304" s="1"/>
      <c r="I304" s="1"/>
      <c r="J304" s="1"/>
    </row>
    <row r="305" spans="3:10" ht="15.75" customHeight="1" x14ac:dyDescent="0.25">
      <c r="C305" s="1"/>
      <c r="D305" s="1"/>
      <c r="E305" s="1"/>
      <c r="F305" s="1"/>
      <c r="G305" s="1"/>
      <c r="H305" s="1"/>
      <c r="I305" s="1"/>
      <c r="J305" s="1"/>
    </row>
    <row r="306" spans="3:10" ht="15.75" customHeight="1" x14ac:dyDescent="0.25">
      <c r="C306" s="1"/>
      <c r="D306" s="1"/>
      <c r="E306" s="1"/>
      <c r="F306" s="1"/>
      <c r="G306" s="1"/>
      <c r="H306" s="1"/>
      <c r="I306" s="1"/>
      <c r="J306" s="1"/>
    </row>
    <row r="307" spans="3:10" ht="15.75" customHeight="1" x14ac:dyDescent="0.25">
      <c r="C307" s="1"/>
      <c r="D307" s="1"/>
      <c r="E307" s="1"/>
      <c r="F307" s="1"/>
      <c r="G307" s="1"/>
      <c r="H307" s="1"/>
      <c r="I307" s="1"/>
      <c r="J307" s="1"/>
    </row>
    <row r="308" spans="3:10" ht="15.75" customHeight="1" x14ac:dyDescent="0.25">
      <c r="C308" s="1"/>
      <c r="D308" s="1"/>
      <c r="E308" s="1"/>
      <c r="F308" s="1"/>
      <c r="G308" s="1"/>
      <c r="H308" s="1"/>
      <c r="I308" s="1"/>
      <c r="J308" s="1"/>
    </row>
    <row r="309" spans="3:10" ht="15.75" customHeight="1" x14ac:dyDescent="0.25">
      <c r="C309" s="1"/>
      <c r="D309" s="1"/>
      <c r="E309" s="1"/>
      <c r="F309" s="1"/>
      <c r="G309" s="1"/>
      <c r="H309" s="1"/>
      <c r="I309" s="1"/>
      <c r="J309" s="1"/>
    </row>
    <row r="310" spans="3:10" ht="15.75" customHeight="1" x14ac:dyDescent="0.25">
      <c r="C310" s="1"/>
      <c r="D310" s="1"/>
      <c r="E310" s="1"/>
      <c r="F310" s="1"/>
      <c r="G310" s="1"/>
      <c r="H310" s="1"/>
      <c r="I310" s="1"/>
      <c r="J310" s="1"/>
    </row>
    <row r="311" spans="3:10" ht="15.75" customHeight="1" x14ac:dyDescent="0.25">
      <c r="C311" s="1"/>
      <c r="D311" s="1"/>
      <c r="E311" s="1"/>
      <c r="F311" s="1"/>
      <c r="G311" s="1"/>
      <c r="H311" s="1"/>
      <c r="I311" s="1"/>
      <c r="J311" s="1"/>
    </row>
    <row r="312" spans="3:10" ht="15.75" customHeight="1" x14ac:dyDescent="0.25">
      <c r="C312" s="1"/>
      <c r="D312" s="1"/>
      <c r="E312" s="1"/>
      <c r="F312" s="1"/>
      <c r="G312" s="1"/>
      <c r="H312" s="1"/>
      <c r="I312" s="1"/>
      <c r="J312" s="1"/>
    </row>
    <row r="313" spans="3:10" ht="15.75" customHeight="1" x14ac:dyDescent="0.25">
      <c r="C313" s="1"/>
      <c r="D313" s="1"/>
      <c r="E313" s="1"/>
      <c r="F313" s="1"/>
      <c r="G313" s="1"/>
      <c r="H313" s="1"/>
      <c r="I313" s="1"/>
      <c r="J313" s="1"/>
    </row>
    <row r="314" spans="3:10" ht="15.75" customHeight="1" x14ac:dyDescent="0.25">
      <c r="C314" s="1"/>
      <c r="D314" s="1"/>
      <c r="E314" s="1"/>
      <c r="F314" s="1"/>
      <c r="G314" s="1"/>
      <c r="H314" s="1"/>
      <c r="I314" s="1"/>
      <c r="J314" s="1"/>
    </row>
    <row r="315" spans="3:10" ht="15.75" customHeight="1" x14ac:dyDescent="0.25">
      <c r="C315" s="1"/>
      <c r="D315" s="1"/>
      <c r="E315" s="1"/>
      <c r="F315" s="1"/>
      <c r="G315" s="1"/>
      <c r="H315" s="1"/>
      <c r="I315" s="1"/>
      <c r="J315" s="1"/>
    </row>
    <row r="316" spans="3:10" ht="15.75" customHeight="1" x14ac:dyDescent="0.25">
      <c r="C316" s="1"/>
      <c r="D316" s="1"/>
      <c r="E316" s="1"/>
      <c r="F316" s="1"/>
      <c r="G316" s="1"/>
      <c r="H316" s="1"/>
      <c r="I316" s="1"/>
      <c r="J316" s="1"/>
    </row>
    <row r="317" spans="3:10" ht="15.75" customHeight="1" x14ac:dyDescent="0.25">
      <c r="C317" s="1"/>
      <c r="D317" s="1"/>
      <c r="E317" s="1"/>
      <c r="F317" s="1"/>
      <c r="G317" s="1"/>
      <c r="H317" s="1"/>
      <c r="I317" s="1"/>
      <c r="J317" s="1"/>
    </row>
    <row r="318" spans="3:10" ht="15.75" customHeight="1" x14ac:dyDescent="0.25">
      <c r="C318" s="1"/>
      <c r="D318" s="1"/>
      <c r="E318" s="1"/>
      <c r="F318" s="1"/>
      <c r="G318" s="1"/>
      <c r="H318" s="1"/>
      <c r="I318" s="1"/>
      <c r="J318" s="1"/>
    </row>
    <row r="319" spans="3:10" ht="15.75" customHeight="1" x14ac:dyDescent="0.25">
      <c r="C319" s="1"/>
      <c r="D319" s="1"/>
      <c r="E319" s="1"/>
      <c r="F319" s="1"/>
      <c r="G319" s="1"/>
      <c r="H319" s="1"/>
      <c r="I319" s="1"/>
      <c r="J319" s="1"/>
    </row>
    <row r="320" spans="3:10" ht="15.75" customHeight="1" x14ac:dyDescent="0.25">
      <c r="C320" s="1"/>
      <c r="D320" s="1"/>
      <c r="E320" s="1"/>
      <c r="F320" s="1"/>
      <c r="G320" s="1"/>
      <c r="H320" s="1"/>
      <c r="I320" s="1"/>
      <c r="J320" s="1"/>
    </row>
    <row r="321" spans="3:10" ht="15.75" customHeight="1" x14ac:dyDescent="0.25">
      <c r="C321" s="1"/>
      <c r="D321" s="1"/>
      <c r="E321" s="1"/>
      <c r="F321" s="1"/>
      <c r="G321" s="1"/>
      <c r="H321" s="1"/>
      <c r="I321" s="1"/>
      <c r="J321" s="1"/>
    </row>
    <row r="322" spans="3:10" ht="15.75" customHeight="1" x14ac:dyDescent="0.25">
      <c r="C322" s="1"/>
      <c r="D322" s="1"/>
      <c r="E322" s="1"/>
      <c r="F322" s="1"/>
      <c r="G322" s="1"/>
      <c r="H322" s="1"/>
      <c r="I322" s="1"/>
      <c r="J322" s="1"/>
    </row>
    <row r="323" spans="3:10" ht="15.75" customHeight="1" x14ac:dyDescent="0.25">
      <c r="C323" s="1"/>
      <c r="D323" s="1"/>
      <c r="E323" s="1"/>
      <c r="F323" s="1"/>
      <c r="G323" s="1"/>
      <c r="H323" s="1"/>
      <c r="I323" s="1"/>
      <c r="J323" s="1"/>
    </row>
    <row r="324" spans="3:10" ht="15.75" customHeight="1" x14ac:dyDescent="0.25">
      <c r="C324" s="1"/>
      <c r="D324" s="1"/>
      <c r="E324" s="1"/>
      <c r="F324" s="1"/>
      <c r="G324" s="1"/>
      <c r="H324" s="1"/>
      <c r="I324" s="1"/>
      <c r="J324" s="1"/>
    </row>
    <row r="325" spans="3:10" ht="15.75" customHeight="1" x14ac:dyDescent="0.25">
      <c r="C325" s="1"/>
      <c r="D325" s="1"/>
      <c r="E325" s="1"/>
      <c r="F325" s="1"/>
      <c r="G325" s="1"/>
      <c r="H325" s="1"/>
      <c r="I325" s="1"/>
      <c r="J325" s="1"/>
    </row>
    <row r="326" spans="3:10" ht="15.75" customHeight="1" x14ac:dyDescent="0.25">
      <c r="C326" s="1"/>
      <c r="D326" s="1"/>
      <c r="E326" s="1"/>
      <c r="F326" s="1"/>
      <c r="G326" s="1"/>
      <c r="H326" s="1"/>
      <c r="I326" s="1"/>
      <c r="J326" s="1"/>
    </row>
    <row r="327" spans="3:10" ht="15.75" customHeight="1" x14ac:dyDescent="0.25">
      <c r="C327" s="1"/>
      <c r="D327" s="1"/>
      <c r="E327" s="1"/>
      <c r="F327" s="1"/>
      <c r="G327" s="1"/>
      <c r="H327" s="1"/>
      <c r="I327" s="1"/>
      <c r="J327" s="1"/>
    </row>
    <row r="328" spans="3:10" ht="15.75" customHeight="1" x14ac:dyDescent="0.25">
      <c r="C328" s="1"/>
      <c r="D328" s="1"/>
      <c r="E328" s="1"/>
      <c r="F328" s="1"/>
      <c r="G328" s="1"/>
      <c r="H328" s="1"/>
      <c r="I328" s="1"/>
      <c r="J328" s="1"/>
    </row>
    <row r="329" spans="3:10" ht="15.75" customHeight="1" x14ac:dyDescent="0.25">
      <c r="C329" s="1"/>
      <c r="D329" s="1"/>
      <c r="E329" s="1"/>
      <c r="F329" s="1"/>
      <c r="G329" s="1"/>
      <c r="H329" s="1"/>
      <c r="I329" s="1"/>
      <c r="J329" s="1"/>
    </row>
    <row r="330" spans="3:10" ht="15.75" customHeight="1" x14ac:dyDescent="0.25">
      <c r="C330" s="1"/>
      <c r="D330" s="1"/>
      <c r="E330" s="1"/>
      <c r="F330" s="1"/>
      <c r="G330" s="1"/>
      <c r="H330" s="1"/>
      <c r="I330" s="1"/>
      <c r="J330" s="1"/>
    </row>
    <row r="331" spans="3:10" ht="15.75" customHeight="1" x14ac:dyDescent="0.25">
      <c r="C331" s="1"/>
      <c r="D331" s="1"/>
      <c r="E331" s="1"/>
      <c r="F331" s="1"/>
      <c r="G331" s="1"/>
      <c r="H331" s="1"/>
      <c r="I331" s="1"/>
      <c r="J331" s="1"/>
    </row>
    <row r="332" spans="3:10" ht="15.75" customHeight="1" x14ac:dyDescent="0.25">
      <c r="C332" s="1"/>
      <c r="D332" s="1"/>
      <c r="E332" s="1"/>
      <c r="F332" s="1"/>
      <c r="G332" s="1"/>
      <c r="H332" s="1"/>
      <c r="I332" s="1"/>
      <c r="J332" s="1"/>
    </row>
    <row r="333" spans="3:10" ht="15.75" customHeight="1" x14ac:dyDescent="0.25">
      <c r="C333" s="1"/>
      <c r="D333" s="1"/>
      <c r="E333" s="1"/>
      <c r="F333" s="1"/>
      <c r="G333" s="1"/>
      <c r="H333" s="1"/>
      <c r="I333" s="1"/>
      <c r="J333" s="1"/>
    </row>
    <row r="334" spans="3:10" ht="15.75" customHeight="1" x14ac:dyDescent="0.25">
      <c r="C334" s="1"/>
      <c r="D334" s="1"/>
      <c r="E334" s="1"/>
      <c r="F334" s="1"/>
      <c r="G334" s="1"/>
      <c r="H334" s="1"/>
      <c r="I334" s="1"/>
      <c r="J334" s="1"/>
    </row>
    <row r="335" spans="3:10" ht="15.75" customHeight="1" x14ac:dyDescent="0.25">
      <c r="C335" s="1"/>
      <c r="D335" s="1"/>
      <c r="E335" s="1"/>
      <c r="F335" s="1"/>
      <c r="G335" s="1"/>
      <c r="H335" s="1"/>
      <c r="I335" s="1"/>
      <c r="J335" s="1"/>
    </row>
    <row r="336" spans="3:10" ht="15.75" customHeight="1" x14ac:dyDescent="0.25">
      <c r="C336" s="1"/>
      <c r="D336" s="1"/>
      <c r="E336" s="1"/>
      <c r="F336" s="1"/>
      <c r="G336" s="1"/>
      <c r="H336" s="1"/>
      <c r="I336" s="1"/>
      <c r="J336" s="1"/>
    </row>
    <row r="337" spans="3:10" ht="15.75" customHeight="1" x14ac:dyDescent="0.25">
      <c r="C337" s="1"/>
      <c r="D337" s="1"/>
      <c r="E337" s="1"/>
      <c r="F337" s="1"/>
      <c r="G337" s="1"/>
      <c r="H337" s="1"/>
      <c r="I337" s="1"/>
      <c r="J337" s="1"/>
    </row>
    <row r="338" spans="3:10" ht="15.75" customHeight="1" x14ac:dyDescent="0.25">
      <c r="C338" s="1"/>
      <c r="D338" s="1"/>
      <c r="E338" s="1"/>
      <c r="F338" s="1"/>
      <c r="G338" s="1"/>
      <c r="H338" s="1"/>
      <c r="I338" s="1"/>
      <c r="J338" s="1"/>
    </row>
    <row r="339" spans="3:10" ht="15.75" customHeight="1" x14ac:dyDescent="0.25">
      <c r="C339" s="1"/>
      <c r="D339" s="1"/>
      <c r="E339" s="1"/>
      <c r="F339" s="1"/>
      <c r="G339" s="1"/>
      <c r="H339" s="1"/>
      <c r="I339" s="1"/>
      <c r="J339" s="1"/>
    </row>
    <row r="340" spans="3:10" ht="15.75" customHeight="1" x14ac:dyDescent="0.25">
      <c r="C340" s="1"/>
      <c r="D340" s="1"/>
      <c r="E340" s="1"/>
      <c r="F340" s="1"/>
      <c r="G340" s="1"/>
      <c r="H340" s="1"/>
      <c r="I340" s="1"/>
      <c r="J340" s="1"/>
    </row>
    <row r="341" spans="3:10" ht="15.75" customHeight="1" x14ac:dyDescent="0.25">
      <c r="C341" s="1"/>
      <c r="D341" s="1"/>
      <c r="E341" s="1"/>
      <c r="F341" s="1"/>
      <c r="G341" s="1"/>
      <c r="H341" s="1"/>
      <c r="I341" s="1"/>
      <c r="J341" s="1"/>
    </row>
    <row r="342" spans="3:10" ht="15.75" customHeight="1" x14ac:dyDescent="0.25">
      <c r="C342" s="1"/>
      <c r="D342" s="1"/>
      <c r="E342" s="1"/>
      <c r="F342" s="1"/>
      <c r="G342" s="1"/>
      <c r="H342" s="1"/>
      <c r="I342" s="1"/>
      <c r="J342" s="1"/>
    </row>
    <row r="343" spans="3:10" ht="15.75" customHeight="1" x14ac:dyDescent="0.25">
      <c r="C343" s="1"/>
      <c r="D343" s="1"/>
      <c r="E343" s="1"/>
      <c r="F343" s="1"/>
      <c r="G343" s="1"/>
      <c r="H343" s="1"/>
      <c r="I343" s="1"/>
      <c r="J343" s="1"/>
    </row>
    <row r="344" spans="3:10" ht="15.75" customHeight="1" x14ac:dyDescent="0.25">
      <c r="C344" s="1"/>
      <c r="D344" s="1"/>
      <c r="E344" s="1"/>
      <c r="F344" s="1"/>
      <c r="G344" s="1"/>
      <c r="H344" s="1"/>
      <c r="I344" s="1"/>
      <c r="J344" s="1"/>
    </row>
    <row r="345" spans="3:10" ht="15.75" customHeight="1" x14ac:dyDescent="0.25">
      <c r="C345" s="1"/>
      <c r="D345" s="1"/>
      <c r="E345" s="1"/>
      <c r="F345" s="1"/>
      <c r="G345" s="1"/>
      <c r="H345" s="1"/>
      <c r="I345" s="1"/>
      <c r="J345" s="1"/>
    </row>
    <row r="346" spans="3:10" ht="15.75" customHeight="1" x14ac:dyDescent="0.25">
      <c r="C346" s="1"/>
      <c r="D346" s="1"/>
      <c r="E346" s="1"/>
      <c r="F346" s="1"/>
      <c r="G346" s="1"/>
      <c r="H346" s="1"/>
      <c r="I346" s="1"/>
      <c r="J346" s="1"/>
    </row>
    <row r="347" spans="3:10" ht="15.75" customHeight="1" x14ac:dyDescent="0.25">
      <c r="C347" s="1"/>
      <c r="D347" s="1"/>
      <c r="E347" s="1"/>
      <c r="F347" s="1"/>
      <c r="G347" s="1"/>
      <c r="H347" s="1"/>
      <c r="I347" s="1"/>
      <c r="J347" s="1"/>
    </row>
    <row r="348" spans="3:10" ht="15.75" customHeight="1" x14ac:dyDescent="0.25">
      <c r="C348" s="1"/>
      <c r="D348" s="1"/>
      <c r="E348" s="1"/>
      <c r="F348" s="1"/>
      <c r="G348" s="1"/>
      <c r="H348" s="1"/>
      <c r="I348" s="1"/>
      <c r="J348" s="1"/>
    </row>
    <row r="349" spans="3:10" ht="15.75" customHeight="1" x14ac:dyDescent="0.25">
      <c r="C349" s="1"/>
      <c r="D349" s="1"/>
      <c r="E349" s="1"/>
      <c r="F349" s="1"/>
      <c r="G349" s="1"/>
      <c r="H349" s="1"/>
      <c r="I349" s="1"/>
      <c r="J349" s="1"/>
    </row>
    <row r="350" spans="3:10" ht="15.75" customHeight="1" x14ac:dyDescent="0.25">
      <c r="C350" s="1"/>
      <c r="D350" s="1"/>
      <c r="E350" s="1"/>
      <c r="F350" s="1"/>
      <c r="G350" s="1"/>
      <c r="H350" s="1"/>
      <c r="I350" s="1"/>
      <c r="J350" s="1"/>
    </row>
    <row r="351" spans="3:10" ht="15.75" customHeight="1" x14ac:dyDescent="0.25">
      <c r="C351" s="1"/>
      <c r="D351" s="1"/>
      <c r="E351" s="1"/>
      <c r="F351" s="1"/>
      <c r="G351" s="1"/>
      <c r="H351" s="1"/>
      <c r="I351" s="1"/>
      <c r="J351" s="1"/>
    </row>
    <row r="352" spans="3:10" ht="15.75" customHeight="1" x14ac:dyDescent="0.25">
      <c r="C352" s="1"/>
      <c r="D352" s="1"/>
      <c r="E352" s="1"/>
      <c r="F352" s="1"/>
      <c r="G352" s="1"/>
      <c r="H352" s="1"/>
      <c r="I352" s="1"/>
      <c r="J352" s="1"/>
    </row>
    <row r="353" spans="3:10" ht="15.75" customHeight="1" x14ac:dyDescent="0.25">
      <c r="C353" s="1"/>
      <c r="D353" s="1"/>
      <c r="E353" s="1"/>
      <c r="F353" s="1"/>
      <c r="G353" s="1"/>
      <c r="H353" s="1"/>
      <c r="I353" s="1"/>
      <c r="J353" s="1"/>
    </row>
    <row r="354" spans="3:10" ht="15.75" customHeight="1" x14ac:dyDescent="0.25">
      <c r="C354" s="1"/>
      <c r="D354" s="1"/>
      <c r="E354" s="1"/>
      <c r="F354" s="1"/>
      <c r="G354" s="1"/>
      <c r="H354" s="1"/>
      <c r="I354" s="1"/>
      <c r="J354" s="1"/>
    </row>
    <row r="355" spans="3:10" ht="15.75" customHeight="1" x14ac:dyDescent="0.25">
      <c r="C355" s="1"/>
      <c r="D355" s="1"/>
      <c r="E355" s="1"/>
      <c r="F355" s="1"/>
      <c r="G355" s="1"/>
      <c r="H355" s="1"/>
      <c r="I355" s="1"/>
      <c r="J355" s="1"/>
    </row>
    <row r="356" spans="3:10" ht="15.75" customHeight="1" x14ac:dyDescent="0.25">
      <c r="C356" s="1"/>
      <c r="D356" s="1"/>
      <c r="E356" s="1"/>
      <c r="F356" s="1"/>
      <c r="G356" s="1"/>
      <c r="H356" s="1"/>
      <c r="I356" s="1"/>
      <c r="J356" s="1"/>
    </row>
    <row r="357" spans="3:10" ht="15.75" customHeight="1" x14ac:dyDescent="0.25">
      <c r="C357" s="1"/>
      <c r="D357" s="1"/>
      <c r="E357" s="1"/>
      <c r="F357" s="1"/>
      <c r="G357" s="1"/>
      <c r="H357" s="1"/>
      <c r="I357" s="1"/>
      <c r="J357" s="1"/>
    </row>
    <row r="358" spans="3:10" ht="15.75" customHeight="1" x14ac:dyDescent="0.25">
      <c r="C358" s="1"/>
      <c r="D358" s="1"/>
      <c r="E358" s="1"/>
      <c r="F358" s="1"/>
      <c r="G358" s="1"/>
      <c r="H358" s="1"/>
      <c r="I358" s="1"/>
      <c r="J358" s="1"/>
    </row>
    <row r="359" spans="3:10" ht="15.75" customHeight="1" x14ac:dyDescent="0.25">
      <c r="C359" s="1"/>
      <c r="D359" s="1"/>
      <c r="E359" s="1"/>
      <c r="F359" s="1"/>
      <c r="G359" s="1"/>
      <c r="H359" s="1"/>
      <c r="I359" s="1"/>
      <c r="J359" s="1"/>
    </row>
    <row r="360" spans="3:10" ht="15.75" customHeight="1" x14ac:dyDescent="0.25">
      <c r="C360" s="1"/>
      <c r="D360" s="1"/>
      <c r="E360" s="1"/>
      <c r="F360" s="1"/>
      <c r="G360" s="1"/>
      <c r="H360" s="1"/>
      <c r="I360" s="1"/>
      <c r="J360" s="1"/>
    </row>
    <row r="361" spans="3:10" ht="15.75" customHeight="1" x14ac:dyDescent="0.25">
      <c r="C361" s="1"/>
      <c r="D361" s="1"/>
      <c r="E361" s="1"/>
      <c r="F361" s="1"/>
      <c r="G361" s="1"/>
      <c r="H361" s="1"/>
      <c r="I361" s="1"/>
      <c r="J361" s="1"/>
    </row>
    <row r="362" spans="3:10" ht="15.75" customHeight="1" x14ac:dyDescent="0.25">
      <c r="C362" s="1"/>
      <c r="D362" s="1"/>
      <c r="E362" s="1"/>
      <c r="F362" s="1"/>
      <c r="G362" s="1"/>
      <c r="H362" s="1"/>
      <c r="I362" s="1"/>
      <c r="J362" s="1"/>
    </row>
    <row r="363" spans="3:10" ht="15.75" customHeight="1" x14ac:dyDescent="0.25">
      <c r="C363" s="1"/>
      <c r="D363" s="1"/>
      <c r="E363" s="1"/>
      <c r="F363" s="1"/>
      <c r="G363" s="1"/>
      <c r="H363" s="1"/>
      <c r="I363" s="1"/>
      <c r="J363" s="1"/>
    </row>
    <row r="364" spans="3:10" ht="15.75" customHeight="1" x14ac:dyDescent="0.25">
      <c r="C364" s="1"/>
      <c r="D364" s="1"/>
      <c r="E364" s="1"/>
      <c r="F364" s="1"/>
      <c r="G364" s="1"/>
      <c r="H364" s="1"/>
      <c r="I364" s="1"/>
      <c r="J364" s="1"/>
    </row>
    <row r="365" spans="3:10" ht="15.75" customHeight="1" x14ac:dyDescent="0.25">
      <c r="C365" s="1"/>
      <c r="D365" s="1"/>
      <c r="E365" s="1"/>
      <c r="F365" s="1"/>
      <c r="G365" s="1"/>
      <c r="H365" s="1"/>
      <c r="I365" s="1"/>
      <c r="J365" s="1"/>
    </row>
    <row r="366" spans="3:10" ht="15.75" customHeight="1" x14ac:dyDescent="0.25">
      <c r="C366" s="1"/>
      <c r="D366" s="1"/>
      <c r="E366" s="1"/>
      <c r="F366" s="1"/>
      <c r="G366" s="1"/>
      <c r="H366" s="1"/>
      <c r="I366" s="1"/>
      <c r="J366" s="1"/>
    </row>
    <row r="367" spans="3:10" ht="15.75" customHeight="1" x14ac:dyDescent="0.25">
      <c r="C367" s="1"/>
      <c r="D367" s="1"/>
      <c r="E367" s="1"/>
      <c r="F367" s="1"/>
      <c r="G367" s="1"/>
      <c r="H367" s="1"/>
      <c r="I367" s="1"/>
      <c r="J367" s="1"/>
    </row>
    <row r="368" spans="3:10" ht="15.75" customHeight="1" x14ac:dyDescent="0.25">
      <c r="C368" s="1"/>
      <c r="D368" s="1"/>
      <c r="E368" s="1"/>
      <c r="F368" s="1"/>
      <c r="G368" s="1"/>
      <c r="H368" s="1"/>
      <c r="I368" s="1"/>
      <c r="J368" s="1"/>
    </row>
    <row r="369" spans="3:10" ht="15.75" customHeight="1" x14ac:dyDescent="0.25">
      <c r="C369" s="1"/>
      <c r="D369" s="1"/>
      <c r="E369" s="1"/>
      <c r="F369" s="1"/>
      <c r="G369" s="1"/>
      <c r="H369" s="1"/>
      <c r="I369" s="1"/>
      <c r="J369" s="1"/>
    </row>
    <row r="370" spans="3:10" ht="15.75" customHeight="1" x14ac:dyDescent="0.25">
      <c r="C370" s="1"/>
      <c r="D370" s="1"/>
      <c r="E370" s="1"/>
      <c r="F370" s="1"/>
      <c r="G370" s="1"/>
      <c r="H370" s="1"/>
      <c r="I370" s="1"/>
      <c r="J370" s="1"/>
    </row>
    <row r="371" spans="3:10" ht="15.75" customHeight="1" x14ac:dyDescent="0.25">
      <c r="C371" s="1"/>
      <c r="D371" s="1"/>
      <c r="E371" s="1"/>
      <c r="F371" s="1"/>
      <c r="G371" s="1"/>
      <c r="H371" s="1"/>
      <c r="I371" s="1"/>
      <c r="J371" s="1"/>
    </row>
    <row r="372" spans="3:10" ht="15.75" customHeight="1" x14ac:dyDescent="0.25">
      <c r="C372" s="1"/>
      <c r="D372" s="1"/>
      <c r="E372" s="1"/>
      <c r="F372" s="1"/>
      <c r="G372" s="1"/>
      <c r="H372" s="1"/>
      <c r="I372" s="1"/>
      <c r="J372" s="1"/>
    </row>
    <row r="373" spans="3:10" ht="15.75" customHeight="1" x14ac:dyDescent="0.25">
      <c r="C373" s="1"/>
      <c r="D373" s="1"/>
      <c r="E373" s="1"/>
      <c r="F373" s="1"/>
      <c r="G373" s="1"/>
      <c r="H373" s="1"/>
      <c r="I373" s="1"/>
      <c r="J373" s="1"/>
    </row>
    <row r="374" spans="3:10" ht="15.75" customHeight="1" x14ac:dyDescent="0.25">
      <c r="C374" s="1"/>
      <c r="D374" s="1"/>
      <c r="E374" s="1"/>
      <c r="F374" s="1"/>
      <c r="G374" s="1"/>
      <c r="H374" s="1"/>
      <c r="I374" s="1"/>
      <c r="J374" s="1"/>
    </row>
    <row r="375" spans="3:10" ht="15.75" customHeight="1" x14ac:dyDescent="0.25">
      <c r="C375" s="1"/>
      <c r="D375" s="1"/>
      <c r="E375" s="1"/>
      <c r="F375" s="1"/>
      <c r="G375" s="1"/>
      <c r="H375" s="1"/>
      <c r="I375" s="1"/>
      <c r="J375" s="1"/>
    </row>
    <row r="376" spans="3:10" ht="15.75" customHeight="1" x14ac:dyDescent="0.25">
      <c r="C376" s="1"/>
      <c r="D376" s="1"/>
      <c r="E376" s="1"/>
      <c r="F376" s="1"/>
      <c r="G376" s="1"/>
      <c r="H376" s="1"/>
      <c r="I376" s="1"/>
      <c r="J376" s="1"/>
    </row>
    <row r="377" spans="3:10" ht="15.75" customHeight="1" x14ac:dyDescent="0.25">
      <c r="C377" s="1"/>
      <c r="D377" s="1"/>
      <c r="E377" s="1"/>
      <c r="F377" s="1"/>
      <c r="G377" s="1"/>
      <c r="H377" s="1"/>
      <c r="I377" s="1"/>
      <c r="J377" s="1"/>
    </row>
    <row r="378" spans="3:10" ht="15.75" customHeight="1" x14ac:dyDescent="0.25">
      <c r="C378" s="1"/>
      <c r="D378" s="1"/>
      <c r="E378" s="1"/>
      <c r="F378" s="1"/>
      <c r="G378" s="1"/>
      <c r="H378" s="1"/>
      <c r="I378" s="1"/>
      <c r="J378" s="1"/>
    </row>
    <row r="379" spans="3:10" ht="15.75" customHeight="1" x14ac:dyDescent="0.25">
      <c r="C379" s="1"/>
      <c r="D379" s="1"/>
      <c r="E379" s="1"/>
      <c r="F379" s="1"/>
      <c r="G379" s="1"/>
      <c r="H379" s="1"/>
      <c r="I379" s="1"/>
      <c r="J379" s="1"/>
    </row>
    <row r="380" spans="3:10" ht="15.75" customHeight="1" x14ac:dyDescent="0.25">
      <c r="C380" s="1"/>
      <c r="D380" s="1"/>
      <c r="E380" s="1"/>
      <c r="F380" s="1"/>
      <c r="G380" s="1"/>
      <c r="H380" s="1"/>
      <c r="I380" s="1"/>
      <c r="J380" s="1"/>
    </row>
    <row r="381" spans="3:10" ht="15.75" customHeight="1" x14ac:dyDescent="0.25">
      <c r="C381" s="1"/>
      <c r="D381" s="1"/>
      <c r="E381" s="1"/>
      <c r="F381" s="1"/>
      <c r="G381" s="1"/>
      <c r="H381" s="1"/>
      <c r="I381" s="1"/>
      <c r="J381" s="1"/>
    </row>
    <row r="382" spans="3:10" ht="15.75" customHeight="1" x14ac:dyDescent="0.25">
      <c r="C382" s="1"/>
      <c r="D382" s="1"/>
      <c r="E382" s="1"/>
      <c r="F382" s="1"/>
      <c r="G382" s="1"/>
      <c r="H382" s="1"/>
      <c r="I382" s="1"/>
      <c r="J382" s="1"/>
    </row>
    <row r="383" spans="3:10" ht="15.75" customHeight="1" x14ac:dyDescent="0.25">
      <c r="C383" s="1"/>
      <c r="D383" s="1"/>
      <c r="E383" s="1"/>
      <c r="F383" s="1"/>
      <c r="G383" s="1"/>
      <c r="H383" s="1"/>
      <c r="I383" s="1"/>
      <c r="J383" s="1"/>
    </row>
    <row r="384" spans="3:10" ht="15.75" customHeight="1" x14ac:dyDescent="0.25">
      <c r="C384" s="1"/>
      <c r="D384" s="1"/>
      <c r="E384" s="1"/>
      <c r="F384" s="1"/>
      <c r="G384" s="1"/>
      <c r="H384" s="1"/>
      <c r="I384" s="1"/>
      <c r="J384" s="1"/>
    </row>
    <row r="385" spans="3:10" ht="15.75" customHeight="1" x14ac:dyDescent="0.25">
      <c r="C385" s="1"/>
      <c r="D385" s="1"/>
      <c r="E385" s="1"/>
      <c r="F385" s="1"/>
      <c r="G385" s="1"/>
      <c r="H385" s="1"/>
      <c r="I385" s="1"/>
      <c r="J385" s="1"/>
    </row>
    <row r="386" spans="3:10" ht="15.75" customHeight="1" x14ac:dyDescent="0.25">
      <c r="C386" s="1"/>
      <c r="D386" s="1"/>
      <c r="E386" s="1"/>
      <c r="F386" s="1"/>
      <c r="G386" s="1"/>
      <c r="H386" s="1"/>
      <c r="I386" s="1"/>
      <c r="J386" s="1"/>
    </row>
    <row r="387" spans="3:10" ht="15.75" customHeight="1" x14ac:dyDescent="0.25">
      <c r="C387" s="1"/>
      <c r="D387" s="1"/>
      <c r="E387" s="1"/>
      <c r="F387" s="1"/>
      <c r="G387" s="1"/>
      <c r="H387" s="1"/>
      <c r="I387" s="1"/>
      <c r="J387" s="1"/>
    </row>
    <row r="388" spans="3:10" ht="15.75" customHeight="1" x14ac:dyDescent="0.25">
      <c r="C388" s="1"/>
      <c r="D388" s="1"/>
      <c r="E388" s="1"/>
      <c r="F388" s="1"/>
      <c r="G388" s="1"/>
      <c r="H388" s="1"/>
      <c r="I388" s="1"/>
      <c r="J388" s="1"/>
    </row>
    <row r="389" spans="3:10" ht="15.75" customHeight="1" x14ac:dyDescent="0.25">
      <c r="C389" s="1"/>
      <c r="D389" s="1"/>
      <c r="E389" s="1"/>
      <c r="F389" s="1"/>
      <c r="G389" s="1"/>
      <c r="H389" s="1"/>
      <c r="I389" s="1"/>
      <c r="J389" s="1"/>
    </row>
    <row r="390" spans="3:10" ht="15.75" customHeight="1" x14ac:dyDescent="0.25">
      <c r="C390" s="1"/>
      <c r="D390" s="1"/>
      <c r="E390" s="1"/>
      <c r="F390" s="1"/>
      <c r="G390" s="1"/>
      <c r="H390" s="1"/>
      <c r="I390" s="1"/>
      <c r="J390" s="1"/>
    </row>
    <row r="391" spans="3:10" ht="15.75" customHeight="1" x14ac:dyDescent="0.25">
      <c r="C391" s="1"/>
      <c r="D391" s="1"/>
      <c r="E391" s="1"/>
      <c r="F391" s="1"/>
      <c r="G391" s="1"/>
      <c r="H391" s="1"/>
      <c r="I391" s="1"/>
      <c r="J391" s="1"/>
    </row>
    <row r="392" spans="3:10" ht="15.75" customHeight="1" x14ac:dyDescent="0.25">
      <c r="C392" s="1"/>
      <c r="D392" s="1"/>
      <c r="E392" s="1"/>
      <c r="F392" s="1"/>
      <c r="G392" s="1"/>
      <c r="H392" s="1"/>
      <c r="I392" s="1"/>
      <c r="J392" s="1"/>
    </row>
    <row r="393" spans="3:10" ht="15.75" customHeight="1" x14ac:dyDescent="0.25">
      <c r="C393" s="1"/>
      <c r="D393" s="1"/>
      <c r="E393" s="1"/>
      <c r="F393" s="1"/>
      <c r="G393" s="1"/>
      <c r="H393" s="1"/>
      <c r="I393" s="1"/>
      <c r="J393" s="1"/>
    </row>
    <row r="394" spans="3:10" ht="15.75" customHeight="1" x14ac:dyDescent="0.25">
      <c r="C394" s="1"/>
      <c r="D394" s="1"/>
      <c r="E394" s="1"/>
      <c r="F394" s="1"/>
      <c r="G394" s="1"/>
      <c r="H394" s="1"/>
      <c r="I394" s="1"/>
      <c r="J394" s="1"/>
    </row>
    <row r="395" spans="3:10" ht="15.75" customHeight="1" x14ac:dyDescent="0.25">
      <c r="C395" s="1"/>
      <c r="D395" s="1"/>
      <c r="E395" s="1"/>
      <c r="F395" s="1"/>
      <c r="G395" s="1"/>
      <c r="H395" s="1"/>
      <c r="I395" s="1"/>
      <c r="J395" s="1"/>
    </row>
    <row r="396" spans="3:10" ht="15.75" customHeight="1" x14ac:dyDescent="0.25">
      <c r="C396" s="1"/>
      <c r="D396" s="1"/>
      <c r="E396" s="1"/>
      <c r="F396" s="1"/>
      <c r="G396" s="1"/>
      <c r="H396" s="1"/>
      <c r="I396" s="1"/>
      <c r="J396" s="1"/>
    </row>
    <row r="397" spans="3:10" ht="15.75" customHeight="1" x14ac:dyDescent="0.25">
      <c r="C397" s="1"/>
      <c r="D397" s="1"/>
      <c r="E397" s="1"/>
      <c r="F397" s="1"/>
      <c r="G397" s="1"/>
      <c r="H397" s="1"/>
      <c r="I397" s="1"/>
      <c r="J397" s="1"/>
    </row>
    <row r="398" spans="3:10" ht="15.75" customHeight="1" x14ac:dyDescent="0.25">
      <c r="C398" s="1"/>
      <c r="D398" s="1"/>
      <c r="E398" s="1"/>
      <c r="F398" s="1"/>
      <c r="G398" s="1"/>
      <c r="H398" s="1"/>
      <c r="I398" s="1"/>
      <c r="J398" s="1"/>
    </row>
    <row r="399" spans="3:10" ht="15.75" customHeight="1" x14ac:dyDescent="0.25">
      <c r="C399" s="1"/>
      <c r="D399" s="1"/>
      <c r="E399" s="1"/>
      <c r="F399" s="1"/>
      <c r="G399" s="1"/>
      <c r="H399" s="1"/>
      <c r="I399" s="1"/>
      <c r="J399" s="1"/>
    </row>
    <row r="400" spans="3:10" ht="15.75" customHeight="1" x14ac:dyDescent="0.25">
      <c r="C400" s="1"/>
      <c r="D400" s="1"/>
      <c r="E400" s="1"/>
      <c r="F400" s="1"/>
      <c r="G400" s="1"/>
      <c r="H400" s="1"/>
      <c r="I400" s="1"/>
      <c r="J400" s="1"/>
    </row>
    <row r="401" spans="3:10" ht="15.75" customHeight="1" x14ac:dyDescent="0.25">
      <c r="C401" s="1"/>
      <c r="D401" s="1"/>
      <c r="E401" s="1"/>
      <c r="F401" s="1"/>
      <c r="G401" s="1"/>
      <c r="H401" s="1"/>
      <c r="I401" s="1"/>
      <c r="J401" s="1"/>
    </row>
    <row r="402" spans="3:10" ht="15.75" customHeight="1" x14ac:dyDescent="0.25">
      <c r="C402" s="1"/>
      <c r="D402" s="1"/>
      <c r="E402" s="1"/>
      <c r="F402" s="1"/>
      <c r="G402" s="1"/>
      <c r="H402" s="1"/>
      <c r="I402" s="1"/>
      <c r="J402" s="1"/>
    </row>
    <row r="403" spans="3:10" ht="15.75" customHeight="1" x14ac:dyDescent="0.25">
      <c r="C403" s="1"/>
      <c r="D403" s="1"/>
      <c r="E403" s="1"/>
      <c r="F403" s="1"/>
      <c r="G403" s="1"/>
      <c r="H403" s="1"/>
      <c r="I403" s="1"/>
      <c r="J403" s="1"/>
    </row>
    <row r="404" spans="3:10" ht="15.75" customHeight="1" x14ac:dyDescent="0.25">
      <c r="C404" s="1"/>
      <c r="D404" s="1"/>
      <c r="E404" s="1"/>
      <c r="F404" s="1"/>
      <c r="G404" s="1"/>
      <c r="H404" s="1"/>
      <c r="I404" s="1"/>
      <c r="J404" s="1"/>
    </row>
    <row r="405" spans="3:10" ht="15.75" customHeight="1" x14ac:dyDescent="0.25">
      <c r="C405" s="1"/>
      <c r="D405" s="1"/>
      <c r="E405" s="1"/>
      <c r="F405" s="1"/>
      <c r="G405" s="1"/>
      <c r="H405" s="1"/>
      <c r="I405" s="1"/>
      <c r="J405" s="1"/>
    </row>
    <row r="406" spans="3:10" ht="15.75" customHeight="1" x14ac:dyDescent="0.25">
      <c r="C406" s="1"/>
      <c r="D406" s="1"/>
      <c r="E406" s="1"/>
      <c r="F406" s="1"/>
      <c r="G406" s="1"/>
      <c r="H406" s="1"/>
      <c r="I406" s="1"/>
      <c r="J406" s="1"/>
    </row>
    <row r="407" spans="3:10" ht="15.75" customHeight="1" x14ac:dyDescent="0.25">
      <c r="C407" s="1"/>
      <c r="D407" s="1"/>
      <c r="E407" s="1"/>
      <c r="F407" s="1"/>
      <c r="G407" s="1"/>
      <c r="H407" s="1"/>
      <c r="I407" s="1"/>
      <c r="J407" s="1"/>
    </row>
    <row r="408" spans="3:10" ht="15.75" customHeight="1" x14ac:dyDescent="0.25">
      <c r="C408" s="1"/>
      <c r="D408" s="1"/>
      <c r="E408" s="1"/>
      <c r="F408" s="1"/>
      <c r="G408" s="1"/>
      <c r="H408" s="1"/>
      <c r="I408" s="1"/>
      <c r="J408" s="1"/>
    </row>
    <row r="409" spans="3:10" ht="15.75" customHeight="1" x14ac:dyDescent="0.25">
      <c r="C409" s="1"/>
      <c r="D409" s="1"/>
      <c r="E409" s="1"/>
      <c r="F409" s="1"/>
      <c r="G409" s="1"/>
      <c r="H409" s="1"/>
      <c r="I409" s="1"/>
      <c r="J409" s="1"/>
    </row>
    <row r="410" spans="3:10" ht="15.75" customHeight="1" x14ac:dyDescent="0.25">
      <c r="C410" s="1"/>
      <c r="D410" s="1"/>
      <c r="E410" s="1"/>
      <c r="F410" s="1"/>
      <c r="G410" s="1"/>
      <c r="H410" s="1"/>
      <c r="I410" s="1"/>
      <c r="J410" s="1"/>
    </row>
    <row r="411" spans="3:10" ht="15.75" customHeight="1" x14ac:dyDescent="0.25">
      <c r="C411" s="1"/>
      <c r="D411" s="1"/>
      <c r="E411" s="1"/>
      <c r="F411" s="1"/>
      <c r="G411" s="1"/>
      <c r="H411" s="1"/>
      <c r="I411" s="1"/>
      <c r="J411" s="1"/>
    </row>
    <row r="412" spans="3:10" ht="15.75" customHeight="1" x14ac:dyDescent="0.25">
      <c r="C412" s="1"/>
      <c r="D412" s="1"/>
      <c r="E412" s="1"/>
      <c r="F412" s="1"/>
      <c r="G412" s="1"/>
      <c r="H412" s="1"/>
      <c r="I412" s="1"/>
      <c r="J412" s="1"/>
    </row>
    <row r="413" spans="3:10" ht="15.75" customHeight="1" x14ac:dyDescent="0.25">
      <c r="C413" s="1"/>
      <c r="D413" s="1"/>
      <c r="E413" s="1"/>
      <c r="F413" s="1"/>
      <c r="G413" s="1"/>
      <c r="H413" s="1"/>
      <c r="I413" s="1"/>
      <c r="J413" s="1"/>
    </row>
    <row r="414" spans="3:10" ht="15.75" customHeight="1" x14ac:dyDescent="0.25">
      <c r="C414" s="1"/>
      <c r="D414" s="1"/>
      <c r="E414" s="1"/>
      <c r="F414" s="1"/>
      <c r="G414" s="1"/>
      <c r="H414" s="1"/>
      <c r="I414" s="1"/>
      <c r="J414" s="1"/>
    </row>
    <row r="415" spans="3:10" ht="15.75" customHeight="1" x14ac:dyDescent="0.25">
      <c r="C415" s="1"/>
      <c r="D415" s="1"/>
      <c r="E415" s="1"/>
      <c r="F415" s="1"/>
      <c r="G415" s="1"/>
      <c r="H415" s="1"/>
      <c r="I415" s="1"/>
      <c r="J415" s="1"/>
    </row>
    <row r="416" spans="3:10" ht="15.75" customHeight="1" x14ac:dyDescent="0.25">
      <c r="C416" s="1"/>
      <c r="D416" s="1"/>
      <c r="E416" s="1"/>
      <c r="F416" s="1"/>
      <c r="G416" s="1"/>
      <c r="H416" s="1"/>
      <c r="I416" s="1"/>
      <c r="J416" s="1"/>
    </row>
    <row r="417" spans="3:10" ht="15.75" customHeight="1" x14ac:dyDescent="0.25">
      <c r="C417" s="1"/>
      <c r="D417" s="1"/>
      <c r="E417" s="1"/>
      <c r="F417" s="1"/>
      <c r="G417" s="1"/>
      <c r="H417" s="1"/>
      <c r="I417" s="1"/>
      <c r="J417" s="1"/>
    </row>
    <row r="418" spans="3:10" ht="15.75" customHeight="1" x14ac:dyDescent="0.25">
      <c r="C418" s="1"/>
      <c r="D418" s="1"/>
      <c r="E418" s="1"/>
      <c r="F418" s="1"/>
      <c r="G418" s="1"/>
      <c r="H418" s="1"/>
      <c r="I418" s="1"/>
      <c r="J418" s="1"/>
    </row>
    <row r="419" spans="3:10" ht="15.75" customHeight="1" x14ac:dyDescent="0.25">
      <c r="C419" s="1"/>
      <c r="D419" s="1"/>
      <c r="E419" s="1"/>
      <c r="F419" s="1"/>
      <c r="G419" s="1"/>
      <c r="H419" s="1"/>
      <c r="I419" s="1"/>
      <c r="J419" s="1"/>
    </row>
    <row r="420" spans="3:10" ht="15.75" customHeight="1" x14ac:dyDescent="0.25">
      <c r="C420" s="1"/>
      <c r="D420" s="1"/>
      <c r="E420" s="1"/>
      <c r="F420" s="1"/>
      <c r="G420" s="1"/>
      <c r="H420" s="1"/>
      <c r="I420" s="1"/>
      <c r="J420" s="1"/>
    </row>
    <row r="421" spans="3:10" ht="15.75" customHeight="1" x14ac:dyDescent="0.25">
      <c r="C421" s="1"/>
      <c r="D421" s="1"/>
      <c r="E421" s="1"/>
      <c r="F421" s="1"/>
      <c r="G421" s="1"/>
      <c r="H421" s="1"/>
      <c r="I421" s="1"/>
      <c r="J421" s="1"/>
    </row>
    <row r="422" spans="3:10" ht="15.75" customHeight="1" x14ac:dyDescent="0.25">
      <c r="C422" s="1"/>
      <c r="D422" s="1"/>
      <c r="E422" s="1"/>
      <c r="F422" s="1"/>
      <c r="G422" s="1"/>
      <c r="H422" s="1"/>
      <c r="I422" s="1"/>
      <c r="J422" s="1"/>
    </row>
    <row r="423" spans="3:10" ht="15.75" customHeight="1" x14ac:dyDescent="0.25">
      <c r="C423" s="1"/>
      <c r="D423" s="1"/>
      <c r="E423" s="1"/>
      <c r="F423" s="1"/>
      <c r="G423" s="1"/>
      <c r="H423" s="1"/>
      <c r="I423" s="1"/>
      <c r="J423" s="1"/>
    </row>
    <row r="424" spans="3:10" ht="15.75" customHeight="1" x14ac:dyDescent="0.25">
      <c r="C424" s="1"/>
      <c r="D424" s="1"/>
      <c r="E424" s="1"/>
      <c r="F424" s="1"/>
      <c r="G424" s="1"/>
      <c r="H424" s="1"/>
      <c r="I424" s="1"/>
      <c r="J424" s="1"/>
    </row>
    <row r="425" spans="3:10" ht="15.75" customHeight="1" x14ac:dyDescent="0.25">
      <c r="C425" s="1"/>
      <c r="D425" s="1"/>
      <c r="E425" s="1"/>
      <c r="F425" s="1"/>
      <c r="G425" s="1"/>
      <c r="H425" s="1"/>
      <c r="I425" s="1"/>
      <c r="J425" s="1"/>
    </row>
    <row r="426" spans="3:10" ht="15.75" customHeight="1" x14ac:dyDescent="0.25">
      <c r="C426" s="1"/>
      <c r="D426" s="1"/>
      <c r="E426" s="1"/>
      <c r="F426" s="1"/>
      <c r="G426" s="1"/>
      <c r="H426" s="1"/>
      <c r="I426" s="1"/>
      <c r="J426" s="1"/>
    </row>
    <row r="427" spans="3:10" ht="15.75" customHeight="1" x14ac:dyDescent="0.25">
      <c r="C427" s="1"/>
      <c r="D427" s="1"/>
      <c r="E427" s="1"/>
      <c r="F427" s="1"/>
      <c r="G427" s="1"/>
      <c r="H427" s="1"/>
      <c r="I427" s="1"/>
      <c r="J427" s="1"/>
    </row>
    <row r="428" spans="3:10" ht="15.75" customHeight="1" x14ac:dyDescent="0.25">
      <c r="C428" s="1"/>
      <c r="D428" s="1"/>
      <c r="E428" s="1"/>
      <c r="F428" s="1"/>
      <c r="G428" s="1"/>
      <c r="H428" s="1"/>
      <c r="I428" s="1"/>
      <c r="J428" s="1"/>
    </row>
    <row r="429" spans="3:10" ht="15.75" customHeight="1" x14ac:dyDescent="0.25">
      <c r="C429" s="1"/>
      <c r="D429" s="1"/>
      <c r="E429" s="1"/>
      <c r="F429" s="1"/>
      <c r="G429" s="1"/>
      <c r="H429" s="1"/>
      <c r="I429" s="1"/>
      <c r="J429" s="1"/>
    </row>
    <row r="430" spans="3:10" ht="15.75" customHeight="1" x14ac:dyDescent="0.25">
      <c r="C430" s="1"/>
      <c r="D430" s="1"/>
      <c r="E430" s="1"/>
      <c r="F430" s="1"/>
      <c r="G430" s="1"/>
      <c r="H430" s="1"/>
      <c r="I430" s="1"/>
      <c r="J430" s="1"/>
    </row>
    <row r="431" spans="3:10" ht="15.75" customHeight="1" x14ac:dyDescent="0.25">
      <c r="C431" s="1"/>
      <c r="D431" s="1"/>
      <c r="E431" s="1"/>
      <c r="F431" s="1"/>
      <c r="G431" s="1"/>
      <c r="H431" s="1"/>
      <c r="I431" s="1"/>
      <c r="J431" s="1"/>
    </row>
    <row r="432" spans="3:10" ht="15.75" customHeight="1" x14ac:dyDescent="0.25">
      <c r="C432" s="1"/>
      <c r="D432" s="1"/>
      <c r="E432" s="1"/>
      <c r="F432" s="1"/>
      <c r="G432" s="1"/>
      <c r="H432" s="1"/>
      <c r="I432" s="1"/>
      <c r="J432" s="1"/>
    </row>
    <row r="433" spans="3:10" ht="15.75" customHeight="1" x14ac:dyDescent="0.25">
      <c r="C433" s="1"/>
      <c r="D433" s="1"/>
      <c r="E433" s="1"/>
      <c r="F433" s="1"/>
      <c r="G433" s="1"/>
      <c r="H433" s="1"/>
      <c r="I433" s="1"/>
      <c r="J433" s="1"/>
    </row>
    <row r="434" spans="3:10" ht="15.75" customHeight="1" x14ac:dyDescent="0.25">
      <c r="C434" s="1"/>
      <c r="D434" s="1"/>
      <c r="E434" s="1"/>
      <c r="F434" s="1"/>
      <c r="G434" s="1"/>
      <c r="H434" s="1"/>
      <c r="I434" s="1"/>
      <c r="J434" s="1"/>
    </row>
    <row r="435" spans="3:10" ht="15.75" customHeight="1" x14ac:dyDescent="0.25">
      <c r="C435" s="1"/>
      <c r="D435" s="1"/>
      <c r="E435" s="1"/>
      <c r="F435" s="1"/>
      <c r="G435" s="1"/>
      <c r="H435" s="1"/>
      <c r="I435" s="1"/>
      <c r="J435" s="1"/>
    </row>
    <row r="436" spans="3:10" ht="15.75" customHeight="1" x14ac:dyDescent="0.25">
      <c r="C436" s="1"/>
      <c r="D436" s="1"/>
      <c r="E436" s="1"/>
      <c r="F436" s="1"/>
      <c r="G436" s="1"/>
      <c r="H436" s="1"/>
      <c r="I436" s="1"/>
      <c r="J436" s="1"/>
    </row>
    <row r="437" spans="3:10" ht="15.75" customHeight="1" x14ac:dyDescent="0.25">
      <c r="C437" s="1"/>
      <c r="D437" s="1"/>
      <c r="E437" s="1"/>
      <c r="F437" s="1"/>
      <c r="G437" s="1"/>
      <c r="H437" s="1"/>
      <c r="I437" s="1"/>
      <c r="J437" s="1"/>
    </row>
    <row r="438" spans="3:10" ht="15.75" customHeight="1" x14ac:dyDescent="0.25">
      <c r="C438" s="1"/>
      <c r="D438" s="1"/>
      <c r="E438" s="1"/>
      <c r="F438" s="1"/>
      <c r="G438" s="1"/>
      <c r="H438" s="1"/>
      <c r="I438" s="1"/>
      <c r="J438" s="1"/>
    </row>
    <row r="439" spans="3:10" ht="15.75" customHeight="1" x14ac:dyDescent="0.25">
      <c r="C439" s="1"/>
      <c r="D439" s="1"/>
      <c r="E439" s="1"/>
      <c r="F439" s="1"/>
      <c r="G439" s="1"/>
      <c r="H439" s="1"/>
      <c r="I439" s="1"/>
      <c r="J439" s="1"/>
    </row>
    <row r="440" spans="3:10" ht="15.75" customHeight="1" x14ac:dyDescent="0.25">
      <c r="C440" s="1"/>
      <c r="D440" s="1"/>
      <c r="E440" s="1"/>
      <c r="F440" s="1"/>
      <c r="G440" s="1"/>
      <c r="H440" s="1"/>
      <c r="I440" s="1"/>
      <c r="J440" s="1"/>
    </row>
    <row r="441" spans="3:10" ht="15.75" customHeight="1" x14ac:dyDescent="0.25">
      <c r="C441" s="1"/>
      <c r="D441" s="1"/>
      <c r="E441" s="1"/>
      <c r="F441" s="1"/>
      <c r="G441" s="1"/>
      <c r="H441" s="1"/>
      <c r="I441" s="1"/>
      <c r="J441" s="1"/>
    </row>
    <row r="442" spans="3:10" ht="15.75" customHeight="1" x14ac:dyDescent="0.25">
      <c r="C442" s="1"/>
      <c r="D442" s="1"/>
      <c r="E442" s="1"/>
      <c r="F442" s="1"/>
      <c r="G442" s="1"/>
      <c r="H442" s="1"/>
      <c r="I442" s="1"/>
      <c r="J442" s="1"/>
    </row>
    <row r="443" spans="3:10" ht="15.75" customHeight="1" x14ac:dyDescent="0.25">
      <c r="C443" s="1"/>
      <c r="D443" s="1"/>
      <c r="E443" s="1"/>
      <c r="F443" s="1"/>
      <c r="G443" s="1"/>
      <c r="H443" s="1"/>
      <c r="I443" s="1"/>
      <c r="J443" s="1"/>
    </row>
    <row r="444" spans="3:10" ht="15.75" customHeight="1" x14ac:dyDescent="0.25">
      <c r="C444" s="1"/>
      <c r="D444" s="1"/>
      <c r="E444" s="1"/>
      <c r="F444" s="1"/>
      <c r="G444" s="1"/>
      <c r="H444" s="1"/>
      <c r="I444" s="1"/>
      <c r="J444" s="1"/>
    </row>
    <row r="445" spans="3:10" ht="15.75" customHeight="1" x14ac:dyDescent="0.25">
      <c r="C445" s="1"/>
      <c r="D445" s="1"/>
      <c r="E445" s="1"/>
      <c r="F445" s="1"/>
      <c r="G445" s="1"/>
      <c r="H445" s="1"/>
      <c r="I445" s="1"/>
      <c r="J445" s="1"/>
    </row>
    <row r="446" spans="3:10" ht="15.75" customHeight="1" x14ac:dyDescent="0.25">
      <c r="C446" s="1"/>
      <c r="D446" s="1"/>
      <c r="E446" s="1"/>
      <c r="F446" s="1"/>
      <c r="G446" s="1"/>
      <c r="H446" s="1"/>
      <c r="I446" s="1"/>
      <c r="J446" s="1"/>
    </row>
    <row r="447" spans="3:10" ht="15.75" customHeight="1" x14ac:dyDescent="0.25">
      <c r="C447" s="1"/>
      <c r="D447" s="1"/>
      <c r="E447" s="1"/>
      <c r="F447" s="1"/>
      <c r="G447" s="1"/>
      <c r="H447" s="1"/>
      <c r="I447" s="1"/>
      <c r="J447" s="1"/>
    </row>
    <row r="448" spans="3:10" ht="15.75" customHeight="1" x14ac:dyDescent="0.25">
      <c r="C448" s="1"/>
      <c r="D448" s="1"/>
      <c r="E448" s="1"/>
      <c r="F448" s="1"/>
      <c r="G448" s="1"/>
      <c r="H448" s="1"/>
      <c r="I448" s="1"/>
      <c r="J448" s="1"/>
    </row>
    <row r="449" spans="3:10" ht="15.75" customHeight="1" x14ac:dyDescent="0.25">
      <c r="C449" s="1"/>
      <c r="D449" s="1"/>
      <c r="E449" s="1"/>
      <c r="F449" s="1"/>
      <c r="G449" s="1"/>
      <c r="H449" s="1"/>
      <c r="I449" s="1"/>
      <c r="J449" s="1"/>
    </row>
    <row r="450" spans="3:10" ht="15.75" customHeight="1" x14ac:dyDescent="0.25">
      <c r="C450" s="1"/>
      <c r="D450" s="1"/>
      <c r="E450" s="1"/>
      <c r="F450" s="1"/>
      <c r="G450" s="1"/>
      <c r="H450" s="1"/>
      <c r="I450" s="1"/>
      <c r="J450" s="1"/>
    </row>
    <row r="451" spans="3:10" ht="15.75" customHeight="1" x14ac:dyDescent="0.25">
      <c r="C451" s="1"/>
      <c r="D451" s="1"/>
      <c r="E451" s="1"/>
      <c r="F451" s="1"/>
      <c r="G451" s="1"/>
      <c r="H451" s="1"/>
      <c r="I451" s="1"/>
      <c r="J451" s="1"/>
    </row>
    <row r="452" spans="3:10" ht="15.75" customHeight="1" x14ac:dyDescent="0.25">
      <c r="C452" s="1"/>
      <c r="D452" s="1"/>
      <c r="E452" s="1"/>
      <c r="F452" s="1"/>
      <c r="G452" s="1"/>
      <c r="H452" s="1"/>
      <c r="I452" s="1"/>
      <c r="J452" s="1"/>
    </row>
    <row r="453" spans="3:10" ht="15.75" customHeight="1" x14ac:dyDescent="0.25">
      <c r="C453" s="1"/>
      <c r="D453" s="1"/>
      <c r="E453" s="1"/>
      <c r="F453" s="1"/>
      <c r="G453" s="1"/>
      <c r="H453" s="1"/>
      <c r="I453" s="1"/>
      <c r="J453" s="1"/>
    </row>
    <row r="454" spans="3:10" ht="15.75" customHeight="1" x14ac:dyDescent="0.25">
      <c r="C454" s="1"/>
      <c r="D454" s="1"/>
      <c r="E454" s="1"/>
      <c r="F454" s="1"/>
      <c r="G454" s="1"/>
      <c r="H454" s="1"/>
      <c r="I454" s="1"/>
      <c r="J454" s="1"/>
    </row>
    <row r="455" spans="3:10" ht="15.75" customHeight="1" x14ac:dyDescent="0.25">
      <c r="C455" s="1"/>
      <c r="D455" s="1"/>
      <c r="E455" s="1"/>
      <c r="F455" s="1"/>
      <c r="G455" s="1"/>
      <c r="H455" s="1"/>
      <c r="I455" s="1"/>
      <c r="J455" s="1"/>
    </row>
    <row r="456" spans="3:10" ht="15.75" customHeight="1" x14ac:dyDescent="0.25">
      <c r="C456" s="1"/>
      <c r="D456" s="1"/>
      <c r="E456" s="1"/>
      <c r="F456" s="1"/>
      <c r="G456" s="1"/>
      <c r="H456" s="1"/>
      <c r="I456" s="1"/>
      <c r="J456" s="1"/>
    </row>
    <row r="457" spans="3:10" ht="15.75" customHeight="1" x14ac:dyDescent="0.25">
      <c r="C457" s="1"/>
      <c r="D457" s="1"/>
      <c r="E457" s="1"/>
      <c r="F457" s="1"/>
      <c r="G457" s="1"/>
      <c r="H457" s="1"/>
      <c r="I457" s="1"/>
      <c r="J457" s="1"/>
    </row>
    <row r="458" spans="3:10" ht="15.75" customHeight="1" x14ac:dyDescent="0.25">
      <c r="C458" s="1"/>
      <c r="D458" s="1"/>
      <c r="E458" s="1"/>
      <c r="F458" s="1"/>
      <c r="G458" s="1"/>
      <c r="H458" s="1"/>
      <c r="I458" s="1"/>
      <c r="J458" s="1"/>
    </row>
    <row r="459" spans="3:10" ht="15.75" customHeight="1" x14ac:dyDescent="0.25">
      <c r="C459" s="1"/>
      <c r="D459" s="1"/>
      <c r="E459" s="1"/>
      <c r="F459" s="1"/>
      <c r="G459" s="1"/>
      <c r="H459" s="1"/>
      <c r="I459" s="1"/>
      <c r="J459" s="1"/>
    </row>
    <row r="460" spans="3:10" ht="15.75" customHeight="1" x14ac:dyDescent="0.25">
      <c r="C460" s="1"/>
      <c r="D460" s="1"/>
      <c r="E460" s="1"/>
      <c r="F460" s="1"/>
      <c r="G460" s="1"/>
      <c r="H460" s="1"/>
      <c r="I460" s="1"/>
      <c r="J460" s="1"/>
    </row>
    <row r="461" spans="3:10" ht="15.75" customHeight="1" x14ac:dyDescent="0.25">
      <c r="C461" s="1"/>
      <c r="D461" s="1"/>
      <c r="E461" s="1"/>
      <c r="F461" s="1"/>
      <c r="G461" s="1"/>
      <c r="H461" s="1"/>
      <c r="I461" s="1"/>
      <c r="J461" s="1"/>
    </row>
    <row r="462" spans="3:10" ht="15.75" customHeight="1" x14ac:dyDescent="0.25">
      <c r="C462" s="1"/>
      <c r="D462" s="1"/>
      <c r="E462" s="1"/>
      <c r="F462" s="1"/>
      <c r="G462" s="1"/>
      <c r="H462" s="1"/>
      <c r="I462" s="1"/>
      <c r="J462" s="1"/>
    </row>
    <row r="463" spans="3:10" ht="15.75" customHeight="1" x14ac:dyDescent="0.25">
      <c r="C463" s="1"/>
      <c r="D463" s="1"/>
      <c r="E463" s="1"/>
      <c r="F463" s="1"/>
      <c r="G463" s="1"/>
      <c r="H463" s="1"/>
      <c r="I463" s="1"/>
      <c r="J463" s="1"/>
    </row>
    <row r="464" spans="3:10" ht="15.75" customHeight="1" x14ac:dyDescent="0.25">
      <c r="C464" s="1"/>
      <c r="D464" s="1"/>
      <c r="E464" s="1"/>
      <c r="F464" s="1"/>
      <c r="G464" s="1"/>
      <c r="H464" s="1"/>
      <c r="I464" s="1"/>
      <c r="J464" s="1"/>
    </row>
    <row r="465" spans="3:10" ht="15.75" customHeight="1" x14ac:dyDescent="0.25">
      <c r="C465" s="1"/>
      <c r="D465" s="1"/>
      <c r="E465" s="1"/>
      <c r="F465" s="1"/>
      <c r="G465" s="1"/>
      <c r="H465" s="1"/>
      <c r="I465" s="1"/>
      <c r="J465" s="1"/>
    </row>
    <row r="466" spans="3:10" ht="15.75" customHeight="1" x14ac:dyDescent="0.25">
      <c r="C466" s="1"/>
      <c r="D466" s="1"/>
      <c r="E466" s="1"/>
      <c r="F466" s="1"/>
      <c r="G466" s="1"/>
      <c r="H466" s="1"/>
      <c r="I466" s="1"/>
      <c r="J466" s="1"/>
    </row>
    <row r="467" spans="3:10" ht="15.75" customHeight="1" x14ac:dyDescent="0.25">
      <c r="C467" s="1"/>
      <c r="D467" s="1"/>
      <c r="E467" s="1"/>
      <c r="F467" s="1"/>
      <c r="G467" s="1"/>
      <c r="H467" s="1"/>
      <c r="I467" s="1"/>
      <c r="J467" s="1"/>
    </row>
    <row r="468" spans="3:10" ht="15.75" customHeight="1" x14ac:dyDescent="0.25">
      <c r="C468" s="1"/>
      <c r="D468" s="1"/>
      <c r="E468" s="1"/>
      <c r="F468" s="1"/>
      <c r="G468" s="1"/>
      <c r="H468" s="1"/>
      <c r="I468" s="1"/>
      <c r="J468" s="1"/>
    </row>
    <row r="469" spans="3:10" ht="15.75" customHeight="1" x14ac:dyDescent="0.25">
      <c r="C469" s="1"/>
      <c r="D469" s="1"/>
      <c r="E469" s="1"/>
      <c r="F469" s="1"/>
      <c r="G469" s="1"/>
      <c r="H469" s="1"/>
      <c r="I469" s="1"/>
      <c r="J469" s="1"/>
    </row>
    <row r="470" spans="3:10" ht="15.75" customHeight="1" x14ac:dyDescent="0.25">
      <c r="C470" s="1"/>
      <c r="D470" s="1"/>
      <c r="E470" s="1"/>
      <c r="F470" s="1"/>
      <c r="G470" s="1"/>
      <c r="H470" s="1"/>
      <c r="I470" s="1"/>
      <c r="J470" s="1"/>
    </row>
    <row r="471" spans="3:10" ht="15.75" customHeight="1" x14ac:dyDescent="0.25">
      <c r="C471" s="1"/>
      <c r="D471" s="1"/>
      <c r="E471" s="1"/>
      <c r="F471" s="1"/>
      <c r="G471" s="1"/>
      <c r="H471" s="1"/>
      <c r="I471" s="1"/>
      <c r="J471" s="1"/>
    </row>
    <row r="472" spans="3:10" ht="15.75" customHeight="1" x14ac:dyDescent="0.25">
      <c r="C472" s="1"/>
      <c r="D472" s="1"/>
      <c r="E472" s="1"/>
      <c r="F472" s="1"/>
      <c r="G472" s="1"/>
      <c r="H472" s="1"/>
      <c r="I472" s="1"/>
      <c r="J472" s="1"/>
    </row>
    <row r="473" spans="3:10" ht="15.75" customHeight="1" x14ac:dyDescent="0.25">
      <c r="C473" s="1"/>
      <c r="D473" s="1"/>
      <c r="E473" s="1"/>
      <c r="F473" s="1"/>
      <c r="G473" s="1"/>
      <c r="H473" s="1"/>
      <c r="I473" s="1"/>
      <c r="J473" s="1"/>
    </row>
    <row r="474" spans="3:10" ht="15.75" customHeight="1" x14ac:dyDescent="0.25">
      <c r="C474" s="1"/>
      <c r="D474" s="1"/>
      <c r="E474" s="1"/>
      <c r="F474" s="1"/>
      <c r="G474" s="1"/>
      <c r="H474" s="1"/>
      <c r="I474" s="1"/>
      <c r="J474" s="1"/>
    </row>
    <row r="475" spans="3:10" ht="15.75" customHeight="1" x14ac:dyDescent="0.25">
      <c r="C475" s="1"/>
      <c r="D475" s="1"/>
      <c r="E475" s="1"/>
      <c r="F475" s="1"/>
      <c r="G475" s="1"/>
      <c r="H475" s="1"/>
      <c r="I475" s="1"/>
      <c r="J475" s="1"/>
    </row>
    <row r="476" spans="3:10" ht="15.75" customHeight="1" x14ac:dyDescent="0.25">
      <c r="C476" s="1"/>
      <c r="D476" s="1"/>
      <c r="E476" s="1"/>
      <c r="F476" s="1"/>
      <c r="G476" s="1"/>
      <c r="H476" s="1"/>
      <c r="I476" s="1"/>
      <c r="J476" s="1"/>
    </row>
    <row r="477" spans="3:10" ht="15.75" customHeight="1" x14ac:dyDescent="0.25">
      <c r="C477" s="1"/>
      <c r="D477" s="1"/>
      <c r="E477" s="1"/>
      <c r="F477" s="1"/>
      <c r="G477" s="1"/>
      <c r="H477" s="1"/>
      <c r="I477" s="1"/>
      <c r="J477" s="1"/>
    </row>
    <row r="478" spans="3:10" ht="15.75" customHeight="1" x14ac:dyDescent="0.25">
      <c r="C478" s="1"/>
      <c r="D478" s="1"/>
      <c r="E478" s="1"/>
      <c r="F478" s="1"/>
      <c r="G478" s="1"/>
      <c r="H478" s="1"/>
      <c r="I478" s="1"/>
      <c r="J478" s="1"/>
    </row>
    <row r="479" spans="3:10" ht="15.75" customHeight="1" x14ac:dyDescent="0.25">
      <c r="C479" s="1"/>
      <c r="D479" s="1"/>
      <c r="E479" s="1"/>
      <c r="F479" s="1"/>
      <c r="G479" s="1"/>
      <c r="H479" s="1"/>
      <c r="I479" s="1"/>
      <c r="J479" s="1"/>
    </row>
    <row r="480" spans="3:10" ht="15.75" customHeight="1" x14ac:dyDescent="0.25">
      <c r="C480" s="1"/>
      <c r="D480" s="1"/>
      <c r="E480" s="1"/>
      <c r="F480" s="1"/>
      <c r="G480" s="1"/>
      <c r="H480" s="1"/>
      <c r="I480" s="1"/>
      <c r="J480" s="1"/>
    </row>
    <row r="481" spans="3:10" ht="15.75" customHeight="1" x14ac:dyDescent="0.25">
      <c r="C481" s="1"/>
      <c r="D481" s="1"/>
      <c r="E481" s="1"/>
      <c r="F481" s="1"/>
      <c r="G481" s="1"/>
      <c r="H481" s="1"/>
      <c r="I481" s="1"/>
      <c r="J481" s="1"/>
    </row>
    <row r="482" spans="3:10" ht="15.75" customHeight="1" x14ac:dyDescent="0.25">
      <c r="C482" s="1"/>
      <c r="D482" s="1"/>
      <c r="E482" s="1"/>
      <c r="F482" s="1"/>
      <c r="G482" s="1"/>
      <c r="H482" s="1"/>
      <c r="I482" s="1"/>
      <c r="J482" s="1"/>
    </row>
    <row r="483" spans="3:10" ht="15.75" customHeight="1" x14ac:dyDescent="0.25">
      <c r="C483" s="1"/>
      <c r="D483" s="1"/>
      <c r="E483" s="1"/>
      <c r="F483" s="1"/>
      <c r="G483" s="1"/>
      <c r="H483" s="1"/>
      <c r="I483" s="1"/>
      <c r="J483" s="1"/>
    </row>
    <row r="484" spans="3:10" ht="15.75" customHeight="1" x14ac:dyDescent="0.25">
      <c r="C484" s="1"/>
      <c r="D484" s="1"/>
      <c r="E484" s="1"/>
      <c r="F484" s="1"/>
      <c r="G484" s="1"/>
      <c r="H484" s="1"/>
      <c r="I484" s="1"/>
      <c r="J484" s="1"/>
    </row>
    <row r="485" spans="3:10" ht="15.75" customHeight="1" x14ac:dyDescent="0.25">
      <c r="C485" s="1"/>
      <c r="D485" s="1"/>
      <c r="E485" s="1"/>
      <c r="F485" s="1"/>
      <c r="G485" s="1"/>
      <c r="H485" s="1"/>
      <c r="I485" s="1"/>
      <c r="J485" s="1"/>
    </row>
    <row r="486" spans="3:10" ht="15.75" customHeight="1" x14ac:dyDescent="0.25">
      <c r="C486" s="1"/>
      <c r="D486" s="1"/>
      <c r="E486" s="1"/>
      <c r="F486" s="1"/>
      <c r="G486" s="1"/>
      <c r="H486" s="1"/>
      <c r="I486" s="1"/>
      <c r="J486" s="1"/>
    </row>
    <row r="487" spans="3:10" ht="15.75" customHeight="1" x14ac:dyDescent="0.25">
      <c r="C487" s="1"/>
      <c r="D487" s="1"/>
      <c r="E487" s="1"/>
      <c r="F487" s="1"/>
      <c r="G487" s="1"/>
      <c r="H487" s="1"/>
      <c r="I487" s="1"/>
      <c r="J487" s="1"/>
    </row>
    <row r="488" spans="3:10" ht="15.75" customHeight="1" x14ac:dyDescent="0.25">
      <c r="C488" s="1"/>
      <c r="D488" s="1"/>
      <c r="E488" s="1"/>
      <c r="F488" s="1"/>
      <c r="G488" s="1"/>
      <c r="H488" s="1"/>
      <c r="I488" s="1"/>
      <c r="J488" s="1"/>
    </row>
    <row r="489" spans="3:10" ht="15.75" customHeight="1" x14ac:dyDescent="0.25">
      <c r="C489" s="1"/>
      <c r="D489" s="1"/>
      <c r="E489" s="1"/>
      <c r="F489" s="1"/>
      <c r="G489" s="1"/>
      <c r="H489" s="1"/>
      <c r="I489" s="1"/>
      <c r="J489" s="1"/>
    </row>
    <row r="490" spans="3:10" ht="15.75" customHeight="1" x14ac:dyDescent="0.25">
      <c r="C490" s="1"/>
      <c r="D490" s="1"/>
      <c r="E490" s="1"/>
      <c r="F490" s="1"/>
      <c r="G490" s="1"/>
      <c r="H490" s="1"/>
      <c r="I490" s="1"/>
      <c r="J490" s="1"/>
    </row>
    <row r="491" spans="3:10" ht="15.75" customHeight="1" x14ac:dyDescent="0.25">
      <c r="C491" s="1"/>
      <c r="D491" s="1"/>
      <c r="E491" s="1"/>
      <c r="F491" s="1"/>
      <c r="G491" s="1"/>
      <c r="H491" s="1"/>
      <c r="I491" s="1"/>
      <c r="J491" s="1"/>
    </row>
    <row r="492" spans="3:10" ht="15.75" customHeight="1" x14ac:dyDescent="0.25">
      <c r="C492" s="1"/>
      <c r="D492" s="1"/>
      <c r="E492" s="1"/>
      <c r="F492" s="1"/>
      <c r="G492" s="1"/>
      <c r="H492" s="1"/>
      <c r="I492" s="1"/>
      <c r="J492" s="1"/>
    </row>
    <row r="493" spans="3:10" ht="15.75" customHeight="1" x14ac:dyDescent="0.25">
      <c r="C493" s="1"/>
      <c r="D493" s="1"/>
      <c r="E493" s="1"/>
      <c r="F493" s="1"/>
      <c r="G493" s="1"/>
      <c r="H493" s="1"/>
      <c r="I493" s="1"/>
      <c r="J493" s="1"/>
    </row>
    <row r="494" spans="3:10" ht="15.75" customHeight="1" x14ac:dyDescent="0.25">
      <c r="C494" s="1"/>
      <c r="D494" s="1"/>
      <c r="E494" s="1"/>
      <c r="F494" s="1"/>
      <c r="G494" s="1"/>
      <c r="H494" s="1"/>
      <c r="I494" s="1"/>
      <c r="J494" s="1"/>
    </row>
    <row r="495" spans="3:10" ht="15.75" customHeight="1" x14ac:dyDescent="0.25">
      <c r="C495" s="1"/>
      <c r="D495" s="1"/>
      <c r="E495" s="1"/>
      <c r="F495" s="1"/>
      <c r="G495" s="1"/>
      <c r="H495" s="1"/>
      <c r="I495" s="1"/>
      <c r="J495" s="1"/>
    </row>
    <row r="496" spans="3:10" ht="15.75" customHeight="1" x14ac:dyDescent="0.25">
      <c r="C496" s="1"/>
      <c r="D496" s="1"/>
      <c r="E496" s="1"/>
      <c r="F496" s="1"/>
      <c r="G496" s="1"/>
      <c r="H496" s="1"/>
      <c r="I496" s="1"/>
      <c r="J496" s="1"/>
    </row>
    <row r="497" spans="3:10" ht="15.75" customHeight="1" x14ac:dyDescent="0.25">
      <c r="C497" s="1"/>
      <c r="D497" s="1"/>
      <c r="E497" s="1"/>
      <c r="F497" s="1"/>
      <c r="G497" s="1"/>
      <c r="H497" s="1"/>
      <c r="I497" s="1"/>
      <c r="J497" s="1"/>
    </row>
    <row r="498" spans="3:10" ht="15.75" customHeight="1" x14ac:dyDescent="0.25">
      <c r="C498" s="1"/>
      <c r="D498" s="1"/>
      <c r="E498" s="1"/>
      <c r="F498" s="1"/>
      <c r="G498" s="1"/>
      <c r="H498" s="1"/>
      <c r="I498" s="1"/>
      <c r="J498" s="1"/>
    </row>
    <row r="499" spans="3:10" ht="15.75" customHeight="1" x14ac:dyDescent="0.25">
      <c r="C499" s="1"/>
      <c r="D499" s="1"/>
      <c r="E499" s="1"/>
      <c r="F499" s="1"/>
      <c r="G499" s="1"/>
      <c r="H499" s="1"/>
      <c r="I499" s="1"/>
      <c r="J499" s="1"/>
    </row>
    <row r="500" spans="3:10" ht="15.75" customHeight="1" x14ac:dyDescent="0.25">
      <c r="C500" s="1"/>
      <c r="D500" s="1"/>
      <c r="E500" s="1"/>
      <c r="F500" s="1"/>
      <c r="G500" s="1"/>
      <c r="H500" s="1"/>
      <c r="I500" s="1"/>
      <c r="J500" s="1"/>
    </row>
    <row r="501" spans="3:10" ht="15.75" customHeight="1" x14ac:dyDescent="0.25">
      <c r="C501" s="1"/>
      <c r="D501" s="1"/>
      <c r="E501" s="1"/>
      <c r="F501" s="1"/>
      <c r="G501" s="1"/>
      <c r="H501" s="1"/>
      <c r="I501" s="1"/>
      <c r="J501" s="1"/>
    </row>
    <row r="502" spans="3:10" ht="15.75" customHeight="1" x14ac:dyDescent="0.25">
      <c r="C502" s="1"/>
      <c r="D502" s="1"/>
      <c r="E502" s="1"/>
      <c r="F502" s="1"/>
      <c r="G502" s="1"/>
      <c r="H502" s="1"/>
      <c r="I502" s="1"/>
      <c r="J502" s="1"/>
    </row>
    <row r="503" spans="3:10" ht="15.75" customHeight="1" x14ac:dyDescent="0.25">
      <c r="C503" s="1"/>
      <c r="D503" s="1"/>
      <c r="E503" s="1"/>
      <c r="F503" s="1"/>
      <c r="G503" s="1"/>
      <c r="H503" s="1"/>
      <c r="I503" s="1"/>
      <c r="J503" s="1"/>
    </row>
    <row r="504" spans="3:10" ht="15.75" customHeight="1" x14ac:dyDescent="0.25">
      <c r="C504" s="1"/>
      <c r="D504" s="1"/>
      <c r="E504" s="1"/>
      <c r="F504" s="1"/>
      <c r="G504" s="1"/>
      <c r="H504" s="1"/>
      <c r="I504" s="1"/>
      <c r="J504" s="1"/>
    </row>
    <row r="505" spans="3:10" ht="15.75" customHeight="1" x14ac:dyDescent="0.25">
      <c r="C505" s="1"/>
      <c r="D505" s="1"/>
      <c r="E505" s="1"/>
      <c r="F505" s="1"/>
      <c r="G505" s="1"/>
      <c r="H505" s="1"/>
      <c r="I505" s="1"/>
      <c r="J505" s="1"/>
    </row>
    <row r="506" spans="3:10" ht="15.75" customHeight="1" x14ac:dyDescent="0.25">
      <c r="C506" s="1"/>
      <c r="D506" s="1"/>
      <c r="E506" s="1"/>
      <c r="F506" s="1"/>
      <c r="G506" s="1"/>
      <c r="H506" s="1"/>
      <c r="I506" s="1"/>
      <c r="J506" s="1"/>
    </row>
    <row r="507" spans="3:10" ht="15.75" customHeight="1" x14ac:dyDescent="0.25">
      <c r="C507" s="1"/>
      <c r="D507" s="1"/>
      <c r="E507" s="1"/>
      <c r="F507" s="1"/>
      <c r="G507" s="1"/>
      <c r="H507" s="1"/>
      <c r="I507" s="1"/>
      <c r="J507" s="1"/>
    </row>
    <row r="508" spans="3:10" ht="15.75" customHeight="1" x14ac:dyDescent="0.25">
      <c r="C508" s="1"/>
      <c r="D508" s="1"/>
      <c r="E508" s="1"/>
      <c r="F508" s="1"/>
      <c r="G508" s="1"/>
      <c r="H508" s="1"/>
      <c r="I508" s="1"/>
      <c r="J508" s="1"/>
    </row>
    <row r="509" spans="3:10" ht="15.75" customHeight="1" x14ac:dyDescent="0.25">
      <c r="C509" s="1"/>
      <c r="D509" s="1"/>
      <c r="E509" s="1"/>
      <c r="F509" s="1"/>
      <c r="G509" s="1"/>
      <c r="H509" s="1"/>
      <c r="I509" s="1"/>
      <c r="J509" s="1"/>
    </row>
    <row r="510" spans="3:10" ht="15.75" customHeight="1" x14ac:dyDescent="0.25">
      <c r="C510" s="1"/>
      <c r="D510" s="1"/>
      <c r="E510" s="1"/>
      <c r="F510" s="1"/>
      <c r="G510" s="1"/>
      <c r="H510" s="1"/>
      <c r="I510" s="1"/>
      <c r="J510" s="1"/>
    </row>
    <row r="511" spans="3:10" ht="15.75" customHeight="1" x14ac:dyDescent="0.25">
      <c r="C511" s="1"/>
      <c r="D511" s="1"/>
      <c r="E511" s="1"/>
      <c r="F511" s="1"/>
      <c r="G511" s="1"/>
      <c r="H511" s="1"/>
      <c r="I511" s="1"/>
      <c r="J511" s="1"/>
    </row>
    <row r="512" spans="3:10" ht="15.75" customHeight="1" x14ac:dyDescent="0.25">
      <c r="C512" s="1"/>
      <c r="D512" s="1"/>
      <c r="E512" s="1"/>
      <c r="F512" s="1"/>
      <c r="G512" s="1"/>
      <c r="H512" s="1"/>
      <c r="I512" s="1"/>
      <c r="J512" s="1"/>
    </row>
    <row r="513" spans="3:10" ht="15.75" customHeight="1" x14ac:dyDescent="0.25">
      <c r="C513" s="1"/>
      <c r="D513" s="1"/>
      <c r="E513" s="1"/>
      <c r="F513" s="1"/>
      <c r="G513" s="1"/>
      <c r="H513" s="1"/>
      <c r="I513" s="1"/>
      <c r="J513" s="1"/>
    </row>
    <row r="514" spans="3:10" ht="15.75" customHeight="1" x14ac:dyDescent="0.25">
      <c r="C514" s="1"/>
      <c r="D514" s="1"/>
      <c r="E514" s="1"/>
      <c r="F514" s="1"/>
      <c r="G514" s="1"/>
      <c r="H514" s="1"/>
      <c r="I514" s="1"/>
      <c r="J514" s="1"/>
    </row>
    <row r="515" spans="3:10" ht="15.75" customHeight="1" x14ac:dyDescent="0.25">
      <c r="C515" s="1"/>
      <c r="D515" s="1"/>
      <c r="E515" s="1"/>
      <c r="F515" s="1"/>
      <c r="G515" s="1"/>
      <c r="H515" s="1"/>
      <c r="I515" s="1"/>
      <c r="J515" s="1"/>
    </row>
    <row r="516" spans="3:10" ht="15.75" customHeight="1" x14ac:dyDescent="0.25">
      <c r="C516" s="1"/>
      <c r="D516" s="1"/>
      <c r="E516" s="1"/>
      <c r="F516" s="1"/>
      <c r="G516" s="1"/>
      <c r="H516" s="1"/>
      <c r="I516" s="1"/>
      <c r="J516" s="1"/>
    </row>
    <row r="517" spans="3:10" ht="15.75" customHeight="1" x14ac:dyDescent="0.25">
      <c r="C517" s="1"/>
      <c r="D517" s="1"/>
      <c r="E517" s="1"/>
      <c r="F517" s="1"/>
      <c r="G517" s="1"/>
      <c r="H517" s="1"/>
      <c r="I517" s="1"/>
      <c r="J517" s="1"/>
    </row>
    <row r="518" spans="3:10" ht="15.75" customHeight="1" x14ac:dyDescent="0.25">
      <c r="C518" s="1"/>
      <c r="D518" s="1"/>
      <c r="E518" s="1"/>
      <c r="F518" s="1"/>
      <c r="G518" s="1"/>
      <c r="H518" s="1"/>
      <c r="I518" s="1"/>
      <c r="J518" s="1"/>
    </row>
    <row r="519" spans="3:10" ht="15.75" customHeight="1" x14ac:dyDescent="0.25">
      <c r="C519" s="1"/>
      <c r="D519" s="1"/>
      <c r="E519" s="1"/>
      <c r="F519" s="1"/>
      <c r="G519" s="1"/>
      <c r="H519" s="1"/>
      <c r="I519" s="1"/>
      <c r="J519" s="1"/>
    </row>
    <row r="520" spans="3:10" ht="15.75" customHeight="1" x14ac:dyDescent="0.25">
      <c r="C520" s="1"/>
      <c r="D520" s="1"/>
      <c r="E520" s="1"/>
      <c r="F520" s="1"/>
      <c r="G520" s="1"/>
      <c r="H520" s="1"/>
      <c r="I520" s="1"/>
      <c r="J520" s="1"/>
    </row>
    <row r="521" spans="3:10" ht="15.75" customHeight="1" x14ac:dyDescent="0.25">
      <c r="C521" s="1"/>
      <c r="D521" s="1"/>
      <c r="E521" s="1"/>
      <c r="F521" s="1"/>
      <c r="G521" s="1"/>
      <c r="H521" s="1"/>
      <c r="I521" s="1"/>
      <c r="J521" s="1"/>
    </row>
    <row r="522" spans="3:10" ht="15.75" customHeight="1" x14ac:dyDescent="0.25">
      <c r="C522" s="1"/>
      <c r="D522" s="1"/>
      <c r="E522" s="1"/>
      <c r="F522" s="1"/>
      <c r="G522" s="1"/>
      <c r="H522" s="1"/>
      <c r="I522" s="1"/>
      <c r="J522" s="1"/>
    </row>
    <row r="523" spans="3:10" ht="15.75" customHeight="1" x14ac:dyDescent="0.25">
      <c r="C523" s="1"/>
      <c r="D523" s="1"/>
      <c r="E523" s="1"/>
      <c r="F523" s="1"/>
      <c r="G523" s="1"/>
      <c r="H523" s="1"/>
      <c r="I523" s="1"/>
      <c r="J523" s="1"/>
    </row>
    <row r="524" spans="3:10" ht="15.75" customHeight="1" x14ac:dyDescent="0.25">
      <c r="C524" s="1"/>
      <c r="D524" s="1"/>
      <c r="E524" s="1"/>
      <c r="F524" s="1"/>
      <c r="G524" s="1"/>
      <c r="H524" s="1"/>
      <c r="I524" s="1"/>
      <c r="J524" s="1"/>
    </row>
    <row r="525" spans="3:10" ht="15.75" customHeight="1" x14ac:dyDescent="0.25">
      <c r="C525" s="1"/>
      <c r="D525" s="1"/>
      <c r="E525" s="1"/>
      <c r="F525" s="1"/>
      <c r="G525" s="1"/>
      <c r="H525" s="1"/>
      <c r="I525" s="1"/>
      <c r="J525" s="1"/>
    </row>
    <row r="526" spans="3:10" ht="15.75" customHeight="1" x14ac:dyDescent="0.25">
      <c r="C526" s="1"/>
      <c r="D526" s="1"/>
      <c r="E526" s="1"/>
      <c r="F526" s="1"/>
      <c r="G526" s="1"/>
      <c r="H526" s="1"/>
      <c r="I526" s="1"/>
      <c r="J526" s="1"/>
    </row>
    <row r="527" spans="3:10" ht="15.75" customHeight="1" x14ac:dyDescent="0.25">
      <c r="C527" s="1"/>
      <c r="D527" s="1"/>
      <c r="E527" s="1"/>
      <c r="F527" s="1"/>
      <c r="G527" s="1"/>
      <c r="H527" s="1"/>
      <c r="I527" s="1"/>
      <c r="J527" s="1"/>
    </row>
    <row r="528" spans="3:10" ht="15.75" customHeight="1" x14ac:dyDescent="0.25">
      <c r="C528" s="1"/>
      <c r="D528" s="1"/>
      <c r="E528" s="1"/>
      <c r="F528" s="1"/>
      <c r="G528" s="1"/>
      <c r="H528" s="1"/>
      <c r="I528" s="1"/>
      <c r="J528" s="1"/>
    </row>
    <row r="529" spans="3:10" ht="15.75" customHeight="1" x14ac:dyDescent="0.25">
      <c r="C529" s="1"/>
      <c r="D529" s="1"/>
      <c r="E529" s="1"/>
      <c r="F529" s="1"/>
      <c r="G529" s="1"/>
      <c r="H529" s="1"/>
      <c r="I529" s="1"/>
      <c r="J529" s="1"/>
    </row>
    <row r="530" spans="3:10" ht="15.75" customHeight="1" x14ac:dyDescent="0.25">
      <c r="C530" s="1"/>
      <c r="D530" s="1"/>
      <c r="E530" s="1"/>
      <c r="F530" s="1"/>
      <c r="G530" s="1"/>
      <c r="H530" s="1"/>
      <c r="I530" s="1"/>
      <c r="J530" s="1"/>
    </row>
    <row r="531" spans="3:10" ht="15.75" customHeight="1" x14ac:dyDescent="0.25">
      <c r="C531" s="1"/>
      <c r="D531" s="1"/>
      <c r="E531" s="1"/>
      <c r="F531" s="1"/>
      <c r="G531" s="1"/>
      <c r="H531" s="1"/>
      <c r="I531" s="1"/>
      <c r="J531" s="1"/>
    </row>
    <row r="532" spans="3:10" ht="15.75" customHeight="1" x14ac:dyDescent="0.25">
      <c r="C532" s="1"/>
      <c r="D532" s="1"/>
      <c r="E532" s="1"/>
      <c r="F532" s="1"/>
      <c r="G532" s="1"/>
      <c r="H532" s="1"/>
      <c r="I532" s="1"/>
      <c r="J532" s="1"/>
    </row>
    <row r="533" spans="3:10" ht="15.75" customHeight="1" x14ac:dyDescent="0.25">
      <c r="C533" s="1"/>
      <c r="D533" s="1"/>
      <c r="E533" s="1"/>
      <c r="F533" s="1"/>
      <c r="G533" s="1"/>
      <c r="H533" s="1"/>
      <c r="I533" s="1"/>
      <c r="J533" s="1"/>
    </row>
    <row r="534" spans="3:10" ht="15.75" customHeight="1" x14ac:dyDescent="0.25">
      <c r="C534" s="1"/>
      <c r="D534" s="1"/>
      <c r="E534" s="1"/>
      <c r="F534" s="1"/>
      <c r="G534" s="1"/>
      <c r="H534" s="1"/>
      <c r="I534" s="1"/>
      <c r="J534" s="1"/>
    </row>
    <row r="535" spans="3:10" ht="15.75" customHeight="1" x14ac:dyDescent="0.25">
      <c r="C535" s="1"/>
      <c r="D535" s="1"/>
      <c r="E535" s="1"/>
      <c r="F535" s="1"/>
      <c r="G535" s="1"/>
      <c r="H535" s="1"/>
      <c r="I535" s="1"/>
      <c r="J535" s="1"/>
    </row>
    <row r="536" spans="3:10" ht="15.75" customHeight="1" x14ac:dyDescent="0.25">
      <c r="C536" s="1"/>
      <c r="D536" s="1"/>
      <c r="E536" s="1"/>
      <c r="F536" s="1"/>
      <c r="G536" s="1"/>
      <c r="H536" s="1"/>
      <c r="I536" s="1"/>
      <c r="J536" s="1"/>
    </row>
    <row r="537" spans="3:10" ht="15.75" customHeight="1" x14ac:dyDescent="0.25">
      <c r="C537" s="1"/>
      <c r="D537" s="1"/>
      <c r="E537" s="1"/>
      <c r="F537" s="1"/>
      <c r="G537" s="1"/>
      <c r="H537" s="1"/>
      <c r="I537" s="1"/>
      <c r="J537" s="1"/>
    </row>
    <row r="538" spans="3:10" ht="15.75" customHeight="1" x14ac:dyDescent="0.25">
      <c r="C538" s="1"/>
      <c r="D538" s="1"/>
      <c r="E538" s="1"/>
      <c r="F538" s="1"/>
      <c r="G538" s="1"/>
      <c r="H538" s="1"/>
      <c r="I538" s="1"/>
      <c r="J538" s="1"/>
    </row>
    <row r="539" spans="3:10" ht="15.75" customHeight="1" x14ac:dyDescent="0.25">
      <c r="C539" s="1"/>
      <c r="D539" s="1"/>
      <c r="E539" s="1"/>
      <c r="F539" s="1"/>
      <c r="G539" s="1"/>
      <c r="H539" s="1"/>
      <c r="I539" s="1"/>
      <c r="J539" s="1"/>
    </row>
    <row r="540" spans="3:10" ht="15.75" customHeight="1" x14ac:dyDescent="0.25">
      <c r="C540" s="1"/>
      <c r="D540" s="1"/>
      <c r="E540" s="1"/>
      <c r="F540" s="1"/>
      <c r="G540" s="1"/>
      <c r="H540" s="1"/>
      <c r="I540" s="1"/>
      <c r="J540" s="1"/>
    </row>
    <row r="541" spans="3:10" ht="15.75" customHeight="1" x14ac:dyDescent="0.25">
      <c r="C541" s="1"/>
      <c r="D541" s="1"/>
      <c r="E541" s="1"/>
      <c r="F541" s="1"/>
      <c r="G541" s="1"/>
      <c r="H541" s="1"/>
      <c r="I541" s="1"/>
      <c r="J541" s="1"/>
    </row>
    <row r="542" spans="3:10" ht="15.75" customHeight="1" x14ac:dyDescent="0.25">
      <c r="C542" s="1"/>
      <c r="D542" s="1"/>
      <c r="E542" s="1"/>
      <c r="F542" s="1"/>
      <c r="G542" s="1"/>
      <c r="H542" s="1"/>
      <c r="I542" s="1"/>
      <c r="J542" s="1"/>
    </row>
    <row r="543" spans="3:10" ht="15.75" customHeight="1" x14ac:dyDescent="0.25">
      <c r="C543" s="1"/>
      <c r="D543" s="1"/>
      <c r="E543" s="1"/>
      <c r="F543" s="1"/>
      <c r="G543" s="1"/>
      <c r="H543" s="1"/>
      <c r="I543" s="1"/>
      <c r="J543" s="1"/>
    </row>
    <row r="544" spans="3:10" ht="15.75" customHeight="1" x14ac:dyDescent="0.25">
      <c r="C544" s="1"/>
      <c r="D544" s="1"/>
      <c r="E544" s="1"/>
      <c r="F544" s="1"/>
      <c r="G544" s="1"/>
      <c r="H544" s="1"/>
      <c r="I544" s="1"/>
      <c r="J544" s="1"/>
    </row>
    <row r="545" spans="3:10" ht="15.75" customHeight="1" x14ac:dyDescent="0.25">
      <c r="C545" s="1"/>
      <c r="D545" s="1"/>
      <c r="E545" s="1"/>
      <c r="F545" s="1"/>
      <c r="G545" s="1"/>
      <c r="H545" s="1"/>
      <c r="I545" s="1"/>
      <c r="J545" s="1"/>
    </row>
    <row r="546" spans="3:10" ht="15.75" customHeight="1" x14ac:dyDescent="0.25">
      <c r="C546" s="1"/>
      <c r="D546" s="1"/>
      <c r="E546" s="1"/>
      <c r="F546" s="1"/>
      <c r="G546" s="1"/>
      <c r="H546" s="1"/>
      <c r="I546" s="1"/>
      <c r="J546" s="1"/>
    </row>
    <row r="547" spans="3:10" ht="15.75" customHeight="1" x14ac:dyDescent="0.25">
      <c r="C547" s="1"/>
      <c r="D547" s="1"/>
      <c r="E547" s="1"/>
      <c r="F547" s="1"/>
      <c r="G547" s="1"/>
      <c r="H547" s="1"/>
      <c r="I547" s="1"/>
      <c r="J547" s="1"/>
    </row>
    <row r="548" spans="3:10" ht="15.75" customHeight="1" x14ac:dyDescent="0.25">
      <c r="C548" s="1"/>
      <c r="D548" s="1"/>
      <c r="E548" s="1"/>
      <c r="F548" s="1"/>
      <c r="G548" s="1"/>
      <c r="H548" s="1"/>
      <c r="I548" s="1"/>
      <c r="J548" s="1"/>
    </row>
    <row r="549" spans="3:10" ht="15.75" customHeight="1" x14ac:dyDescent="0.25">
      <c r="C549" s="1"/>
      <c r="D549" s="1"/>
      <c r="E549" s="1"/>
      <c r="F549" s="1"/>
      <c r="G549" s="1"/>
      <c r="H549" s="1"/>
      <c r="I549" s="1"/>
      <c r="J549" s="1"/>
    </row>
    <row r="550" spans="3:10" ht="15.75" customHeight="1" x14ac:dyDescent="0.25">
      <c r="C550" s="1"/>
      <c r="D550" s="1"/>
      <c r="E550" s="1"/>
      <c r="F550" s="1"/>
      <c r="G550" s="1"/>
      <c r="H550" s="1"/>
      <c r="I550" s="1"/>
      <c r="J550" s="1"/>
    </row>
    <row r="551" spans="3:10" ht="15.75" customHeight="1" x14ac:dyDescent="0.25">
      <c r="C551" s="1"/>
      <c r="D551" s="1"/>
      <c r="E551" s="1"/>
      <c r="F551" s="1"/>
      <c r="G551" s="1"/>
      <c r="H551" s="1"/>
      <c r="I551" s="1"/>
      <c r="J551" s="1"/>
    </row>
    <row r="552" spans="3:10" ht="15.75" customHeight="1" x14ac:dyDescent="0.25">
      <c r="C552" s="1"/>
      <c r="D552" s="1"/>
      <c r="E552" s="1"/>
      <c r="F552" s="1"/>
      <c r="G552" s="1"/>
      <c r="H552" s="1"/>
      <c r="I552" s="1"/>
      <c r="J552" s="1"/>
    </row>
    <row r="553" spans="3:10" ht="15.75" customHeight="1" x14ac:dyDescent="0.25">
      <c r="C553" s="1"/>
      <c r="D553" s="1"/>
      <c r="E553" s="1"/>
      <c r="F553" s="1"/>
      <c r="G553" s="1"/>
      <c r="H553" s="1"/>
      <c r="I553" s="1"/>
      <c r="J553" s="1"/>
    </row>
    <row r="554" spans="3:10" ht="15.75" customHeight="1" x14ac:dyDescent="0.25">
      <c r="C554" s="1"/>
      <c r="D554" s="1"/>
      <c r="E554" s="1"/>
      <c r="F554" s="1"/>
      <c r="G554" s="1"/>
      <c r="H554" s="1"/>
      <c r="I554" s="1"/>
      <c r="J554" s="1"/>
    </row>
    <row r="555" spans="3:10" ht="15.75" customHeight="1" x14ac:dyDescent="0.25">
      <c r="C555" s="1"/>
      <c r="D555" s="1"/>
      <c r="E555" s="1"/>
      <c r="F555" s="1"/>
      <c r="G555" s="1"/>
      <c r="H555" s="1"/>
      <c r="I555" s="1"/>
      <c r="J555" s="1"/>
    </row>
    <row r="556" spans="3:10" ht="15.75" customHeight="1" x14ac:dyDescent="0.25">
      <c r="C556" s="1"/>
      <c r="D556" s="1"/>
      <c r="E556" s="1"/>
      <c r="F556" s="1"/>
      <c r="G556" s="1"/>
      <c r="H556" s="1"/>
      <c r="I556" s="1"/>
      <c r="J556" s="1"/>
    </row>
    <row r="557" spans="3:10" ht="15.75" customHeight="1" x14ac:dyDescent="0.25">
      <c r="C557" s="1"/>
      <c r="D557" s="1"/>
      <c r="E557" s="1"/>
      <c r="F557" s="1"/>
      <c r="G557" s="1"/>
      <c r="H557" s="1"/>
      <c r="I557" s="1"/>
      <c r="J557" s="1"/>
    </row>
    <row r="558" spans="3:10" ht="15.75" customHeight="1" x14ac:dyDescent="0.25">
      <c r="C558" s="1"/>
      <c r="D558" s="1"/>
      <c r="E558" s="1"/>
      <c r="F558" s="1"/>
      <c r="G558" s="1"/>
      <c r="H558" s="1"/>
      <c r="I558" s="1"/>
      <c r="J558" s="1"/>
    </row>
    <row r="559" spans="3:10" ht="15.75" customHeight="1" x14ac:dyDescent="0.25">
      <c r="C559" s="1"/>
      <c r="D559" s="1"/>
      <c r="E559" s="1"/>
      <c r="F559" s="1"/>
      <c r="G559" s="1"/>
      <c r="H559" s="1"/>
      <c r="I559" s="1"/>
      <c r="J559" s="1"/>
    </row>
    <row r="560" spans="3:10" ht="15.75" customHeight="1" x14ac:dyDescent="0.25">
      <c r="C560" s="1"/>
      <c r="D560" s="1"/>
      <c r="E560" s="1"/>
      <c r="F560" s="1"/>
      <c r="G560" s="1"/>
      <c r="H560" s="1"/>
      <c r="I560" s="1"/>
      <c r="J560" s="1"/>
    </row>
    <row r="561" spans="3:10" ht="15.75" customHeight="1" x14ac:dyDescent="0.25">
      <c r="C561" s="1"/>
      <c r="D561" s="1"/>
      <c r="E561" s="1"/>
      <c r="F561" s="1"/>
      <c r="G561" s="1"/>
      <c r="H561" s="1"/>
      <c r="I561" s="1"/>
      <c r="J561" s="1"/>
    </row>
    <row r="562" spans="3:10" ht="15.75" customHeight="1" x14ac:dyDescent="0.25">
      <c r="C562" s="1"/>
      <c r="D562" s="1"/>
      <c r="E562" s="1"/>
      <c r="F562" s="1"/>
      <c r="G562" s="1"/>
      <c r="H562" s="1"/>
      <c r="I562" s="1"/>
      <c r="J562" s="1"/>
    </row>
    <row r="563" spans="3:10" ht="15.75" customHeight="1" x14ac:dyDescent="0.25">
      <c r="C563" s="1"/>
      <c r="D563" s="1"/>
      <c r="E563" s="1"/>
      <c r="F563" s="1"/>
      <c r="G563" s="1"/>
      <c r="H563" s="1"/>
      <c r="I563" s="1"/>
      <c r="J563" s="1"/>
    </row>
    <row r="564" spans="3:10" ht="15.75" customHeight="1" x14ac:dyDescent="0.25">
      <c r="C564" s="1"/>
      <c r="D564" s="1"/>
      <c r="E564" s="1"/>
      <c r="F564" s="1"/>
      <c r="G564" s="1"/>
      <c r="H564" s="1"/>
      <c r="I564" s="1"/>
      <c r="J564" s="1"/>
    </row>
    <row r="565" spans="3:10" ht="15.75" customHeight="1" x14ac:dyDescent="0.25">
      <c r="C565" s="1"/>
      <c r="D565" s="1"/>
      <c r="E565" s="1"/>
      <c r="F565" s="1"/>
      <c r="G565" s="1"/>
      <c r="H565" s="1"/>
      <c r="I565" s="1"/>
      <c r="J565" s="1"/>
    </row>
    <row r="566" spans="3:10" ht="15.75" customHeight="1" x14ac:dyDescent="0.25">
      <c r="C566" s="1"/>
      <c r="D566" s="1"/>
      <c r="E566" s="1"/>
      <c r="F566" s="1"/>
      <c r="G566" s="1"/>
      <c r="H566" s="1"/>
      <c r="I566" s="1"/>
      <c r="J566" s="1"/>
    </row>
    <row r="567" spans="3:10" ht="15.75" customHeight="1" x14ac:dyDescent="0.25">
      <c r="C567" s="1"/>
      <c r="D567" s="1"/>
      <c r="E567" s="1"/>
      <c r="F567" s="1"/>
      <c r="G567" s="1"/>
      <c r="H567" s="1"/>
      <c r="I567" s="1"/>
      <c r="J567" s="1"/>
    </row>
    <row r="568" spans="3:10" ht="15.75" customHeight="1" x14ac:dyDescent="0.25">
      <c r="C568" s="1"/>
      <c r="D568" s="1"/>
      <c r="E568" s="1"/>
      <c r="F568" s="1"/>
      <c r="G568" s="1"/>
      <c r="H568" s="1"/>
      <c r="I568" s="1"/>
      <c r="J568" s="1"/>
    </row>
    <row r="569" spans="3:10" ht="15.75" customHeight="1" x14ac:dyDescent="0.25">
      <c r="C569" s="1"/>
      <c r="D569" s="1"/>
      <c r="E569" s="1"/>
      <c r="F569" s="1"/>
      <c r="G569" s="1"/>
      <c r="H569" s="1"/>
      <c r="I569" s="1"/>
      <c r="J569" s="1"/>
    </row>
    <row r="570" spans="3:10" ht="15.75" customHeight="1" x14ac:dyDescent="0.25">
      <c r="C570" s="1"/>
      <c r="D570" s="1"/>
      <c r="E570" s="1"/>
      <c r="F570" s="1"/>
      <c r="G570" s="1"/>
      <c r="H570" s="1"/>
      <c r="I570" s="1"/>
      <c r="J570" s="1"/>
    </row>
    <row r="571" spans="3:10" ht="15.75" customHeight="1" x14ac:dyDescent="0.25">
      <c r="C571" s="1"/>
      <c r="D571" s="1"/>
      <c r="E571" s="1"/>
      <c r="F571" s="1"/>
      <c r="G571" s="1"/>
      <c r="H571" s="1"/>
      <c r="I571" s="1"/>
      <c r="J571" s="1"/>
    </row>
    <row r="572" spans="3:10" ht="15.75" customHeight="1" x14ac:dyDescent="0.25">
      <c r="C572" s="1"/>
      <c r="D572" s="1"/>
      <c r="E572" s="1"/>
      <c r="F572" s="1"/>
      <c r="G572" s="1"/>
      <c r="H572" s="1"/>
      <c r="I572" s="1"/>
      <c r="J572" s="1"/>
    </row>
    <row r="573" spans="3:10" ht="15.75" customHeight="1" x14ac:dyDescent="0.25">
      <c r="C573" s="1"/>
      <c r="D573" s="1"/>
      <c r="E573" s="1"/>
      <c r="F573" s="1"/>
      <c r="G573" s="1"/>
      <c r="H573" s="1"/>
      <c r="I573" s="1"/>
      <c r="J573" s="1"/>
    </row>
    <row r="574" spans="3:10" ht="15.75" customHeight="1" x14ac:dyDescent="0.25">
      <c r="C574" s="1"/>
      <c r="D574" s="1"/>
      <c r="E574" s="1"/>
      <c r="F574" s="1"/>
      <c r="G574" s="1"/>
      <c r="H574" s="1"/>
      <c r="I574" s="1"/>
      <c r="J574" s="1"/>
    </row>
    <row r="575" spans="3:10" ht="15.75" customHeight="1" x14ac:dyDescent="0.25">
      <c r="C575" s="1"/>
      <c r="D575" s="1"/>
      <c r="E575" s="1"/>
      <c r="F575" s="1"/>
      <c r="G575" s="1"/>
      <c r="H575" s="1"/>
      <c r="I575" s="1"/>
      <c r="J575" s="1"/>
    </row>
    <row r="576" spans="3:10" ht="15.75" customHeight="1" x14ac:dyDescent="0.25">
      <c r="C576" s="1"/>
      <c r="D576" s="1"/>
      <c r="E576" s="1"/>
      <c r="F576" s="1"/>
      <c r="G576" s="1"/>
      <c r="H576" s="1"/>
      <c r="I576" s="1"/>
      <c r="J576" s="1"/>
    </row>
    <row r="577" spans="3:10" ht="15.75" customHeight="1" x14ac:dyDescent="0.25">
      <c r="C577" s="1"/>
      <c r="D577" s="1"/>
      <c r="E577" s="1"/>
      <c r="F577" s="1"/>
      <c r="G577" s="1"/>
      <c r="H577" s="1"/>
      <c r="I577" s="1"/>
      <c r="J577" s="1"/>
    </row>
    <row r="578" spans="3:10" ht="15.75" customHeight="1" x14ac:dyDescent="0.25">
      <c r="C578" s="1"/>
      <c r="D578" s="1"/>
      <c r="E578" s="1"/>
      <c r="F578" s="1"/>
      <c r="G578" s="1"/>
      <c r="H578" s="1"/>
      <c r="I578" s="1"/>
      <c r="J578" s="1"/>
    </row>
    <row r="579" spans="3:10" ht="15.75" customHeight="1" x14ac:dyDescent="0.25">
      <c r="C579" s="1"/>
      <c r="D579" s="1"/>
      <c r="E579" s="1"/>
      <c r="F579" s="1"/>
      <c r="G579" s="1"/>
      <c r="H579" s="1"/>
      <c r="I579" s="1"/>
      <c r="J579" s="1"/>
    </row>
    <row r="580" spans="3:10" ht="15.75" customHeight="1" x14ac:dyDescent="0.25">
      <c r="C580" s="1"/>
      <c r="D580" s="1"/>
      <c r="E580" s="1"/>
      <c r="F580" s="1"/>
      <c r="G580" s="1"/>
      <c r="H580" s="1"/>
      <c r="I580" s="1"/>
      <c r="J580" s="1"/>
    </row>
    <row r="581" spans="3:10" ht="15.75" customHeight="1" x14ac:dyDescent="0.25">
      <c r="C581" s="1"/>
      <c r="D581" s="1"/>
      <c r="E581" s="1"/>
      <c r="F581" s="1"/>
      <c r="G581" s="1"/>
      <c r="H581" s="1"/>
      <c r="I581" s="1"/>
      <c r="J581" s="1"/>
    </row>
    <row r="582" spans="3:10" ht="15.75" customHeight="1" x14ac:dyDescent="0.25">
      <c r="C582" s="1"/>
      <c r="D582" s="1"/>
      <c r="E582" s="1"/>
      <c r="F582" s="1"/>
      <c r="G582" s="1"/>
      <c r="H582" s="1"/>
      <c r="I582" s="1"/>
      <c r="J582" s="1"/>
    </row>
    <row r="583" spans="3:10" ht="15.75" customHeight="1" x14ac:dyDescent="0.25">
      <c r="C583" s="1"/>
      <c r="D583" s="1"/>
      <c r="E583" s="1"/>
      <c r="F583" s="1"/>
      <c r="G583" s="1"/>
      <c r="H583" s="1"/>
      <c r="I583" s="1"/>
      <c r="J583" s="1"/>
    </row>
    <row r="584" spans="3:10" ht="15.75" customHeight="1" x14ac:dyDescent="0.25">
      <c r="C584" s="1"/>
      <c r="D584" s="1"/>
      <c r="E584" s="1"/>
      <c r="F584" s="1"/>
      <c r="G584" s="1"/>
      <c r="H584" s="1"/>
      <c r="I584" s="1"/>
      <c r="J584" s="1"/>
    </row>
    <row r="585" spans="3:10" ht="15.75" customHeight="1" x14ac:dyDescent="0.25">
      <c r="C585" s="1"/>
      <c r="D585" s="1"/>
      <c r="E585" s="1"/>
      <c r="F585" s="1"/>
      <c r="G585" s="1"/>
      <c r="H585" s="1"/>
      <c r="I585" s="1"/>
      <c r="J585" s="1"/>
    </row>
    <row r="586" spans="3:10" ht="15.75" customHeight="1" x14ac:dyDescent="0.25">
      <c r="C586" s="1"/>
      <c r="D586" s="1"/>
      <c r="E586" s="1"/>
      <c r="F586" s="1"/>
      <c r="G586" s="1"/>
      <c r="H586" s="1"/>
      <c r="I586" s="1"/>
      <c r="J586" s="1"/>
    </row>
    <row r="587" spans="3:10" ht="15.75" customHeight="1" x14ac:dyDescent="0.25">
      <c r="C587" s="1"/>
      <c r="D587" s="1"/>
      <c r="E587" s="1"/>
      <c r="F587" s="1"/>
      <c r="G587" s="1"/>
      <c r="H587" s="1"/>
      <c r="I587" s="1"/>
      <c r="J587" s="1"/>
    </row>
    <row r="588" spans="3:10" ht="15.75" customHeight="1" x14ac:dyDescent="0.25">
      <c r="C588" s="1"/>
      <c r="D588" s="1"/>
      <c r="E588" s="1"/>
      <c r="F588" s="1"/>
      <c r="G588" s="1"/>
      <c r="H588" s="1"/>
      <c r="I588" s="1"/>
      <c r="J588" s="1"/>
    </row>
    <row r="589" spans="3:10" ht="15.75" customHeight="1" x14ac:dyDescent="0.25">
      <c r="C589" s="1"/>
      <c r="D589" s="1"/>
      <c r="E589" s="1"/>
      <c r="F589" s="1"/>
      <c r="G589" s="1"/>
      <c r="H589" s="1"/>
      <c r="I589" s="1"/>
      <c r="J589" s="1"/>
    </row>
    <row r="590" spans="3:10" ht="15.75" customHeight="1" x14ac:dyDescent="0.25">
      <c r="C590" s="1"/>
      <c r="D590" s="1"/>
      <c r="E590" s="1"/>
      <c r="F590" s="1"/>
      <c r="G590" s="1"/>
      <c r="H590" s="1"/>
      <c r="I590" s="1"/>
      <c r="J590" s="1"/>
    </row>
    <row r="591" spans="3:10" ht="15.75" customHeight="1" x14ac:dyDescent="0.25">
      <c r="C591" s="1"/>
      <c r="D591" s="1"/>
      <c r="E591" s="1"/>
      <c r="F591" s="1"/>
      <c r="G591" s="1"/>
      <c r="H591" s="1"/>
      <c r="I591" s="1"/>
      <c r="J591" s="1"/>
    </row>
    <row r="592" spans="3:10" ht="15.75" customHeight="1" x14ac:dyDescent="0.25">
      <c r="C592" s="1"/>
      <c r="D592" s="1"/>
      <c r="E592" s="1"/>
      <c r="F592" s="1"/>
      <c r="G592" s="1"/>
      <c r="H592" s="1"/>
      <c r="I592" s="1"/>
      <c r="J592" s="1"/>
    </row>
    <row r="593" spans="3:10" ht="15.75" customHeight="1" x14ac:dyDescent="0.25">
      <c r="C593" s="1"/>
      <c r="D593" s="1"/>
      <c r="E593" s="1"/>
      <c r="F593" s="1"/>
      <c r="G593" s="1"/>
      <c r="H593" s="1"/>
      <c r="I593" s="1"/>
      <c r="J593" s="1"/>
    </row>
    <row r="594" spans="3:10" ht="15.75" customHeight="1" x14ac:dyDescent="0.25">
      <c r="C594" s="1"/>
      <c r="D594" s="1"/>
      <c r="E594" s="1"/>
      <c r="F594" s="1"/>
      <c r="G594" s="1"/>
      <c r="H594" s="1"/>
      <c r="I594" s="1"/>
      <c r="J594" s="1"/>
    </row>
    <row r="595" spans="3:10" ht="15.75" customHeight="1" x14ac:dyDescent="0.25">
      <c r="C595" s="1"/>
      <c r="D595" s="1"/>
      <c r="E595" s="1"/>
      <c r="F595" s="1"/>
      <c r="G595" s="1"/>
      <c r="H595" s="1"/>
      <c r="I595" s="1"/>
      <c r="J595" s="1"/>
    </row>
    <row r="596" spans="3:10" ht="15.75" customHeight="1" x14ac:dyDescent="0.25">
      <c r="C596" s="1"/>
      <c r="D596" s="1"/>
      <c r="E596" s="1"/>
      <c r="F596" s="1"/>
      <c r="G596" s="1"/>
      <c r="H596" s="1"/>
      <c r="I596" s="1"/>
      <c r="J596" s="1"/>
    </row>
    <row r="597" spans="3:10" ht="15.75" customHeight="1" x14ac:dyDescent="0.25">
      <c r="C597" s="1"/>
      <c r="D597" s="1"/>
      <c r="E597" s="1"/>
      <c r="F597" s="1"/>
      <c r="G597" s="1"/>
      <c r="H597" s="1"/>
      <c r="I597" s="1"/>
      <c r="J597" s="1"/>
    </row>
    <row r="598" spans="3:10" ht="15.75" customHeight="1" x14ac:dyDescent="0.25">
      <c r="C598" s="1"/>
      <c r="D598" s="1"/>
      <c r="E598" s="1"/>
      <c r="F598" s="1"/>
      <c r="G598" s="1"/>
      <c r="H598" s="1"/>
      <c r="I598" s="1"/>
      <c r="J598" s="1"/>
    </row>
    <row r="599" spans="3:10" ht="15.75" customHeight="1" x14ac:dyDescent="0.25">
      <c r="C599" s="1"/>
      <c r="D599" s="1"/>
      <c r="E599" s="1"/>
      <c r="F599" s="1"/>
      <c r="G599" s="1"/>
      <c r="H599" s="1"/>
      <c r="I599" s="1"/>
      <c r="J599" s="1"/>
    </row>
    <row r="600" spans="3:10" ht="15.75" customHeight="1" x14ac:dyDescent="0.25">
      <c r="C600" s="1"/>
      <c r="D600" s="1"/>
      <c r="E600" s="1"/>
      <c r="F600" s="1"/>
      <c r="G600" s="1"/>
      <c r="H600" s="1"/>
      <c r="I600" s="1"/>
      <c r="J600" s="1"/>
    </row>
    <row r="601" spans="3:10" ht="15.75" customHeight="1" x14ac:dyDescent="0.25">
      <c r="C601" s="1"/>
      <c r="D601" s="1"/>
      <c r="E601" s="1"/>
      <c r="F601" s="1"/>
      <c r="G601" s="1"/>
      <c r="H601" s="1"/>
      <c r="I601" s="1"/>
      <c r="J601" s="1"/>
    </row>
    <row r="602" spans="3:10" ht="15.75" customHeight="1" x14ac:dyDescent="0.25">
      <c r="C602" s="1"/>
      <c r="D602" s="1"/>
      <c r="E602" s="1"/>
      <c r="F602" s="1"/>
      <c r="G602" s="1"/>
      <c r="H602" s="1"/>
      <c r="I602" s="1"/>
      <c r="J602" s="1"/>
    </row>
    <row r="603" spans="3:10" ht="15.75" customHeight="1" x14ac:dyDescent="0.25">
      <c r="C603" s="1"/>
      <c r="D603" s="1"/>
      <c r="E603" s="1"/>
      <c r="F603" s="1"/>
      <c r="G603" s="1"/>
      <c r="H603" s="1"/>
      <c r="I603" s="1"/>
      <c r="J603" s="1"/>
    </row>
    <row r="604" spans="3:10" ht="15.75" customHeight="1" x14ac:dyDescent="0.25">
      <c r="C604" s="1"/>
      <c r="D604" s="1"/>
      <c r="E604" s="1"/>
      <c r="F604" s="1"/>
      <c r="G604" s="1"/>
      <c r="H604" s="1"/>
      <c r="I604" s="1"/>
      <c r="J604" s="1"/>
    </row>
    <row r="605" spans="3:10" ht="15.75" customHeight="1" x14ac:dyDescent="0.25">
      <c r="C605" s="1"/>
      <c r="D605" s="1"/>
      <c r="E605" s="1"/>
      <c r="F605" s="1"/>
      <c r="G605" s="1"/>
      <c r="H605" s="1"/>
      <c r="I605" s="1"/>
      <c r="J605" s="1"/>
    </row>
    <row r="606" spans="3:10" ht="15.75" customHeight="1" x14ac:dyDescent="0.25">
      <c r="C606" s="1"/>
      <c r="D606" s="1"/>
      <c r="E606" s="1"/>
      <c r="F606" s="1"/>
      <c r="G606" s="1"/>
      <c r="H606" s="1"/>
      <c r="I606" s="1"/>
      <c r="J606" s="1"/>
    </row>
    <row r="607" spans="3:10" ht="15.75" customHeight="1" x14ac:dyDescent="0.25">
      <c r="C607" s="1"/>
      <c r="D607" s="1"/>
      <c r="E607" s="1"/>
      <c r="F607" s="1"/>
      <c r="G607" s="1"/>
      <c r="H607" s="1"/>
      <c r="I607" s="1"/>
      <c r="J607" s="1"/>
    </row>
    <row r="608" spans="3:10" ht="15.75" customHeight="1" x14ac:dyDescent="0.25">
      <c r="C608" s="1"/>
      <c r="D608" s="1"/>
      <c r="E608" s="1"/>
      <c r="F608" s="1"/>
      <c r="G608" s="1"/>
      <c r="H608" s="1"/>
      <c r="I608" s="1"/>
      <c r="J608" s="1"/>
    </row>
    <row r="609" spans="3:10" ht="15.75" customHeight="1" x14ac:dyDescent="0.25">
      <c r="C609" s="1"/>
      <c r="D609" s="1"/>
      <c r="E609" s="1"/>
      <c r="F609" s="1"/>
      <c r="G609" s="1"/>
      <c r="H609" s="1"/>
      <c r="I609" s="1"/>
      <c r="J609" s="1"/>
    </row>
    <row r="610" spans="3:10" ht="15.75" customHeight="1" x14ac:dyDescent="0.25">
      <c r="C610" s="1"/>
      <c r="D610" s="1"/>
      <c r="E610" s="1"/>
      <c r="F610" s="1"/>
      <c r="G610" s="1"/>
      <c r="H610" s="1"/>
      <c r="I610" s="1"/>
      <c r="J610" s="1"/>
    </row>
    <row r="611" spans="3:10" ht="15.75" customHeight="1" x14ac:dyDescent="0.25">
      <c r="C611" s="1"/>
      <c r="D611" s="1"/>
      <c r="E611" s="1"/>
      <c r="F611" s="1"/>
      <c r="G611" s="1"/>
      <c r="H611" s="1"/>
      <c r="I611" s="1"/>
      <c r="J611" s="1"/>
    </row>
    <row r="612" spans="3:10" ht="15.75" customHeight="1" x14ac:dyDescent="0.25">
      <c r="C612" s="1"/>
      <c r="D612" s="1"/>
      <c r="E612" s="1"/>
      <c r="F612" s="1"/>
      <c r="G612" s="1"/>
      <c r="H612" s="1"/>
      <c r="I612" s="1"/>
      <c r="J612" s="1"/>
    </row>
    <row r="613" spans="3:10" ht="15.75" customHeight="1" x14ac:dyDescent="0.25">
      <c r="C613" s="1"/>
      <c r="D613" s="1"/>
      <c r="E613" s="1"/>
      <c r="F613" s="1"/>
      <c r="G613" s="1"/>
      <c r="H613" s="1"/>
      <c r="I613" s="1"/>
      <c r="J613" s="1"/>
    </row>
    <row r="614" spans="3:10" ht="15.75" customHeight="1" x14ac:dyDescent="0.25">
      <c r="C614" s="1"/>
      <c r="D614" s="1"/>
      <c r="E614" s="1"/>
      <c r="F614" s="1"/>
      <c r="G614" s="1"/>
      <c r="H614" s="1"/>
      <c r="I614" s="1"/>
      <c r="J614" s="1"/>
    </row>
    <row r="615" spans="3:10" ht="15.75" customHeight="1" x14ac:dyDescent="0.25">
      <c r="C615" s="1"/>
      <c r="D615" s="1"/>
      <c r="E615" s="1"/>
      <c r="F615" s="1"/>
      <c r="G615" s="1"/>
      <c r="H615" s="1"/>
      <c r="I615" s="1"/>
      <c r="J615" s="1"/>
    </row>
    <row r="616" spans="3:10" ht="15.75" customHeight="1" x14ac:dyDescent="0.25">
      <c r="C616" s="1"/>
      <c r="D616" s="1"/>
      <c r="E616" s="1"/>
      <c r="F616" s="1"/>
      <c r="G616" s="1"/>
      <c r="H616" s="1"/>
      <c r="I616" s="1"/>
      <c r="J616" s="1"/>
    </row>
    <row r="617" spans="3:10" ht="15.75" customHeight="1" x14ac:dyDescent="0.25">
      <c r="C617" s="1"/>
      <c r="D617" s="1"/>
      <c r="E617" s="1"/>
      <c r="F617" s="1"/>
      <c r="G617" s="1"/>
      <c r="H617" s="1"/>
      <c r="I617" s="1"/>
      <c r="J617" s="1"/>
    </row>
    <row r="618" spans="3:10" ht="15.75" customHeight="1" x14ac:dyDescent="0.25">
      <c r="C618" s="1"/>
      <c r="D618" s="1"/>
      <c r="E618" s="1"/>
      <c r="F618" s="1"/>
      <c r="G618" s="1"/>
      <c r="H618" s="1"/>
      <c r="I618" s="1"/>
      <c r="J618" s="1"/>
    </row>
    <row r="619" spans="3:10" ht="15.75" customHeight="1" x14ac:dyDescent="0.25">
      <c r="C619" s="1"/>
      <c r="D619" s="1"/>
      <c r="E619" s="1"/>
      <c r="F619" s="1"/>
      <c r="G619" s="1"/>
      <c r="H619" s="1"/>
      <c r="I619" s="1"/>
      <c r="J619" s="1"/>
    </row>
    <row r="620" spans="3:10" ht="15.75" customHeight="1" x14ac:dyDescent="0.25">
      <c r="C620" s="1"/>
      <c r="D620" s="1"/>
      <c r="E620" s="1"/>
      <c r="F620" s="1"/>
      <c r="G620" s="1"/>
      <c r="H620" s="1"/>
      <c r="I620" s="1"/>
      <c r="J620" s="1"/>
    </row>
    <row r="621" spans="3:10" ht="15.75" customHeight="1" x14ac:dyDescent="0.25">
      <c r="C621" s="1"/>
      <c r="D621" s="1"/>
      <c r="E621" s="1"/>
      <c r="F621" s="1"/>
      <c r="G621" s="1"/>
      <c r="H621" s="1"/>
      <c r="I621" s="1"/>
      <c r="J621" s="1"/>
    </row>
    <row r="622" spans="3:10" ht="15.75" customHeight="1" x14ac:dyDescent="0.25">
      <c r="C622" s="1"/>
      <c r="D622" s="1"/>
      <c r="E622" s="1"/>
      <c r="F622" s="1"/>
      <c r="G622" s="1"/>
      <c r="H622" s="1"/>
      <c r="I622" s="1"/>
      <c r="J622" s="1"/>
    </row>
    <row r="623" spans="3:10" ht="15.75" customHeight="1" x14ac:dyDescent="0.25">
      <c r="C623" s="1"/>
      <c r="D623" s="1"/>
      <c r="E623" s="1"/>
      <c r="F623" s="1"/>
      <c r="G623" s="1"/>
      <c r="H623" s="1"/>
      <c r="I623" s="1"/>
      <c r="J623" s="1"/>
    </row>
    <row r="624" spans="3:10" ht="15.75" customHeight="1" x14ac:dyDescent="0.25">
      <c r="C624" s="1"/>
      <c r="D624" s="1"/>
      <c r="E624" s="1"/>
      <c r="F624" s="1"/>
      <c r="G624" s="1"/>
      <c r="H624" s="1"/>
      <c r="I624" s="1"/>
      <c r="J624" s="1"/>
    </row>
    <row r="625" spans="3:10" ht="15.75" customHeight="1" x14ac:dyDescent="0.25">
      <c r="C625" s="1"/>
      <c r="D625" s="1"/>
      <c r="E625" s="1"/>
      <c r="F625" s="1"/>
      <c r="G625" s="1"/>
      <c r="H625" s="1"/>
      <c r="I625" s="1"/>
      <c r="J625" s="1"/>
    </row>
    <row r="626" spans="3:10" ht="15.75" customHeight="1" x14ac:dyDescent="0.25">
      <c r="C626" s="1"/>
      <c r="D626" s="1"/>
      <c r="E626" s="1"/>
      <c r="F626" s="1"/>
      <c r="G626" s="1"/>
      <c r="H626" s="1"/>
      <c r="I626" s="1"/>
      <c r="J626" s="1"/>
    </row>
    <row r="627" spans="3:10" ht="15.75" customHeight="1" x14ac:dyDescent="0.25">
      <c r="C627" s="1"/>
      <c r="D627" s="1"/>
      <c r="E627" s="1"/>
      <c r="F627" s="1"/>
      <c r="G627" s="1"/>
      <c r="H627" s="1"/>
      <c r="I627" s="1"/>
      <c r="J627" s="1"/>
    </row>
    <row r="628" spans="3:10" ht="15.75" customHeight="1" x14ac:dyDescent="0.25">
      <c r="C628" s="1"/>
      <c r="D628" s="1"/>
      <c r="E628" s="1"/>
      <c r="F628" s="1"/>
      <c r="G628" s="1"/>
      <c r="H628" s="1"/>
      <c r="I628" s="1"/>
      <c r="J628" s="1"/>
    </row>
    <row r="629" spans="3:10" ht="15.75" customHeight="1" x14ac:dyDescent="0.25">
      <c r="C629" s="1"/>
      <c r="D629" s="1"/>
      <c r="E629" s="1"/>
      <c r="F629" s="1"/>
      <c r="G629" s="1"/>
      <c r="H629" s="1"/>
      <c r="I629" s="1"/>
      <c r="J629" s="1"/>
    </row>
    <row r="630" spans="3:10" ht="15.75" customHeight="1" x14ac:dyDescent="0.25">
      <c r="C630" s="1"/>
      <c r="D630" s="1"/>
      <c r="E630" s="1"/>
      <c r="F630" s="1"/>
      <c r="G630" s="1"/>
      <c r="H630" s="1"/>
      <c r="I630" s="1"/>
      <c r="J630" s="1"/>
    </row>
    <row r="631" spans="3:10" ht="15.75" customHeight="1" x14ac:dyDescent="0.25">
      <c r="C631" s="1"/>
      <c r="D631" s="1"/>
      <c r="E631" s="1"/>
      <c r="F631" s="1"/>
      <c r="G631" s="1"/>
      <c r="H631" s="1"/>
      <c r="I631" s="1"/>
      <c r="J631" s="1"/>
    </row>
    <row r="632" spans="3:10" ht="15.75" customHeight="1" x14ac:dyDescent="0.25">
      <c r="C632" s="1"/>
      <c r="D632" s="1"/>
      <c r="E632" s="1"/>
      <c r="F632" s="1"/>
      <c r="G632" s="1"/>
      <c r="H632" s="1"/>
      <c r="I632" s="1"/>
      <c r="J632" s="1"/>
    </row>
    <row r="633" spans="3:10" ht="15.75" customHeight="1" x14ac:dyDescent="0.25">
      <c r="C633" s="1"/>
      <c r="D633" s="1"/>
      <c r="E633" s="1"/>
      <c r="F633" s="1"/>
      <c r="G633" s="1"/>
      <c r="H633" s="1"/>
      <c r="I633" s="1"/>
      <c r="J633" s="1"/>
    </row>
    <row r="634" spans="3:10" ht="15.75" customHeight="1" x14ac:dyDescent="0.25">
      <c r="C634" s="1"/>
      <c r="D634" s="1"/>
      <c r="E634" s="1"/>
      <c r="F634" s="1"/>
      <c r="G634" s="1"/>
      <c r="H634" s="1"/>
      <c r="I634" s="1"/>
      <c r="J634" s="1"/>
    </row>
    <row r="635" spans="3:10" ht="15.75" customHeight="1" x14ac:dyDescent="0.25">
      <c r="C635" s="1"/>
      <c r="D635" s="1"/>
      <c r="E635" s="1"/>
      <c r="F635" s="1"/>
      <c r="G635" s="1"/>
      <c r="H635" s="1"/>
      <c r="I635" s="1"/>
      <c r="J635" s="1"/>
    </row>
    <row r="636" spans="3:10" ht="15.75" customHeight="1" x14ac:dyDescent="0.25">
      <c r="C636" s="1"/>
      <c r="D636" s="1"/>
      <c r="E636" s="1"/>
      <c r="F636" s="1"/>
      <c r="G636" s="1"/>
      <c r="H636" s="1"/>
      <c r="I636" s="1"/>
      <c r="J636" s="1"/>
    </row>
    <row r="637" spans="3:10" ht="15.75" customHeight="1" x14ac:dyDescent="0.25">
      <c r="C637" s="1"/>
      <c r="D637" s="1"/>
      <c r="E637" s="1"/>
      <c r="F637" s="1"/>
      <c r="G637" s="1"/>
      <c r="H637" s="1"/>
      <c r="I637" s="1"/>
      <c r="J637" s="1"/>
    </row>
    <row r="638" spans="3:10" ht="15.75" customHeight="1" x14ac:dyDescent="0.25">
      <c r="C638" s="1"/>
      <c r="D638" s="1"/>
      <c r="E638" s="1"/>
      <c r="F638" s="1"/>
      <c r="G638" s="1"/>
      <c r="H638" s="1"/>
      <c r="I638" s="1"/>
      <c r="J638" s="1"/>
    </row>
    <row r="639" spans="3:10" ht="15.75" customHeight="1" x14ac:dyDescent="0.25">
      <c r="C639" s="1"/>
      <c r="D639" s="1"/>
      <c r="E639" s="1"/>
      <c r="F639" s="1"/>
      <c r="G639" s="1"/>
      <c r="H639" s="1"/>
      <c r="I639" s="1"/>
      <c r="J639" s="1"/>
    </row>
    <row r="640" spans="3:10" ht="15.75" customHeight="1" x14ac:dyDescent="0.25">
      <c r="C640" s="1"/>
      <c r="D640" s="1"/>
      <c r="E640" s="1"/>
      <c r="F640" s="1"/>
      <c r="G640" s="1"/>
      <c r="H640" s="1"/>
      <c r="I640" s="1"/>
      <c r="J640" s="1"/>
    </row>
    <row r="641" spans="3:10" ht="15.75" customHeight="1" x14ac:dyDescent="0.25">
      <c r="C641" s="1"/>
      <c r="D641" s="1"/>
      <c r="E641" s="1"/>
      <c r="F641" s="1"/>
      <c r="G641" s="1"/>
      <c r="H641" s="1"/>
      <c r="I641" s="1"/>
      <c r="J641" s="1"/>
    </row>
    <row r="642" spans="3:10" ht="15.75" customHeight="1" x14ac:dyDescent="0.25">
      <c r="C642" s="1"/>
      <c r="D642" s="1"/>
      <c r="E642" s="1"/>
      <c r="F642" s="1"/>
      <c r="G642" s="1"/>
      <c r="H642" s="1"/>
      <c r="I642" s="1"/>
      <c r="J642" s="1"/>
    </row>
    <row r="643" spans="3:10" ht="15.75" customHeight="1" x14ac:dyDescent="0.25">
      <c r="C643" s="1"/>
      <c r="D643" s="1"/>
      <c r="E643" s="1"/>
      <c r="F643" s="1"/>
      <c r="G643" s="1"/>
      <c r="H643" s="1"/>
      <c r="I643" s="1"/>
      <c r="J643" s="1"/>
    </row>
    <row r="644" spans="3:10" ht="15.75" customHeight="1" x14ac:dyDescent="0.25">
      <c r="C644" s="1"/>
      <c r="D644" s="1"/>
      <c r="E644" s="1"/>
      <c r="F644" s="1"/>
      <c r="G644" s="1"/>
      <c r="H644" s="1"/>
      <c r="I644" s="1"/>
      <c r="J644" s="1"/>
    </row>
    <row r="645" spans="3:10" ht="15.75" customHeight="1" x14ac:dyDescent="0.25">
      <c r="C645" s="1"/>
      <c r="D645" s="1"/>
      <c r="E645" s="1"/>
      <c r="F645" s="1"/>
      <c r="G645" s="1"/>
      <c r="H645" s="1"/>
      <c r="I645" s="1"/>
      <c r="J645" s="1"/>
    </row>
    <row r="646" spans="3:10" ht="15.75" customHeight="1" x14ac:dyDescent="0.25">
      <c r="C646" s="1"/>
      <c r="D646" s="1"/>
      <c r="E646" s="1"/>
      <c r="F646" s="1"/>
      <c r="G646" s="1"/>
      <c r="H646" s="1"/>
      <c r="I646" s="1"/>
      <c r="J646" s="1"/>
    </row>
    <row r="647" spans="3:10" ht="15.75" customHeight="1" x14ac:dyDescent="0.25">
      <c r="C647" s="1"/>
      <c r="D647" s="1"/>
      <c r="E647" s="1"/>
      <c r="F647" s="1"/>
      <c r="G647" s="1"/>
      <c r="H647" s="1"/>
      <c r="I647" s="1"/>
      <c r="J647" s="1"/>
    </row>
    <row r="648" spans="3:10" ht="15.75" customHeight="1" x14ac:dyDescent="0.25">
      <c r="C648" s="1"/>
      <c r="D648" s="1"/>
      <c r="E648" s="1"/>
      <c r="F648" s="1"/>
      <c r="G648" s="1"/>
      <c r="H648" s="1"/>
      <c r="I648" s="1"/>
      <c r="J648" s="1"/>
    </row>
    <row r="649" spans="3:10" ht="15.75" customHeight="1" x14ac:dyDescent="0.25">
      <c r="C649" s="1"/>
      <c r="D649" s="1"/>
      <c r="E649" s="1"/>
      <c r="F649" s="1"/>
      <c r="G649" s="1"/>
      <c r="H649" s="1"/>
      <c r="I649" s="1"/>
      <c r="J649" s="1"/>
    </row>
    <row r="650" spans="3:10" ht="15.75" customHeight="1" x14ac:dyDescent="0.25">
      <c r="C650" s="1"/>
      <c r="D650" s="1"/>
      <c r="E650" s="1"/>
      <c r="F650" s="1"/>
      <c r="G650" s="1"/>
      <c r="H650" s="1"/>
      <c r="I650" s="1"/>
      <c r="J650" s="1"/>
    </row>
    <row r="651" spans="3:10" ht="15.75" customHeight="1" x14ac:dyDescent="0.25">
      <c r="C651" s="1"/>
      <c r="D651" s="1"/>
      <c r="E651" s="1"/>
      <c r="F651" s="1"/>
      <c r="G651" s="1"/>
      <c r="H651" s="1"/>
      <c r="I651" s="1"/>
      <c r="J651" s="1"/>
    </row>
    <row r="652" spans="3:10" ht="15.75" customHeight="1" x14ac:dyDescent="0.25">
      <c r="C652" s="1"/>
      <c r="D652" s="1"/>
      <c r="E652" s="1"/>
      <c r="F652" s="1"/>
      <c r="G652" s="1"/>
      <c r="H652" s="1"/>
      <c r="I652" s="1"/>
      <c r="J652" s="1"/>
    </row>
    <row r="653" spans="3:10" ht="15.75" customHeight="1" x14ac:dyDescent="0.25">
      <c r="C653" s="1"/>
      <c r="D653" s="1"/>
      <c r="E653" s="1"/>
      <c r="F653" s="1"/>
      <c r="G653" s="1"/>
      <c r="H653" s="1"/>
      <c r="I653" s="1"/>
      <c r="J653" s="1"/>
    </row>
    <row r="654" spans="3:10" ht="15.75" customHeight="1" x14ac:dyDescent="0.25">
      <c r="C654" s="1"/>
      <c r="D654" s="1"/>
      <c r="E654" s="1"/>
      <c r="F654" s="1"/>
      <c r="G654" s="1"/>
      <c r="H654" s="1"/>
      <c r="I654" s="1"/>
      <c r="J654" s="1"/>
    </row>
    <row r="655" spans="3:10" ht="15.75" customHeight="1" x14ac:dyDescent="0.25">
      <c r="C655" s="1"/>
      <c r="D655" s="1"/>
      <c r="E655" s="1"/>
      <c r="F655" s="1"/>
      <c r="G655" s="1"/>
      <c r="H655" s="1"/>
      <c r="I655" s="1"/>
      <c r="J655" s="1"/>
    </row>
    <row r="656" spans="3:10" ht="15.75" customHeight="1" x14ac:dyDescent="0.25">
      <c r="C656" s="1"/>
      <c r="D656" s="1"/>
      <c r="E656" s="1"/>
      <c r="F656" s="1"/>
      <c r="G656" s="1"/>
      <c r="H656" s="1"/>
      <c r="I656" s="1"/>
      <c r="J656" s="1"/>
    </row>
    <row r="657" spans="3:10" ht="15.75" customHeight="1" x14ac:dyDescent="0.25">
      <c r="C657" s="1"/>
      <c r="D657" s="1"/>
      <c r="E657" s="1"/>
      <c r="F657" s="1"/>
      <c r="G657" s="1"/>
      <c r="H657" s="1"/>
      <c r="I657" s="1"/>
      <c r="J657" s="1"/>
    </row>
    <row r="658" spans="3:10" ht="15.75" customHeight="1" x14ac:dyDescent="0.25">
      <c r="C658" s="1"/>
      <c r="D658" s="1"/>
      <c r="E658" s="1"/>
      <c r="F658" s="1"/>
      <c r="G658" s="1"/>
      <c r="H658" s="1"/>
      <c r="I658" s="1"/>
      <c r="J658" s="1"/>
    </row>
    <row r="659" spans="3:10" ht="15.75" customHeight="1" x14ac:dyDescent="0.25">
      <c r="C659" s="1"/>
      <c r="D659" s="1"/>
      <c r="E659" s="1"/>
      <c r="F659" s="1"/>
      <c r="G659" s="1"/>
      <c r="H659" s="1"/>
      <c r="I659" s="1"/>
      <c r="J659" s="1"/>
    </row>
    <row r="660" spans="3:10" ht="15.75" customHeight="1" x14ac:dyDescent="0.25">
      <c r="C660" s="1"/>
      <c r="D660" s="1"/>
      <c r="E660" s="1"/>
      <c r="F660" s="1"/>
      <c r="G660" s="1"/>
      <c r="H660" s="1"/>
      <c r="I660" s="1"/>
      <c r="J660" s="1"/>
    </row>
    <row r="661" spans="3:10" ht="15.75" customHeight="1" x14ac:dyDescent="0.25">
      <c r="C661" s="1"/>
      <c r="D661" s="1"/>
      <c r="E661" s="1"/>
      <c r="F661" s="1"/>
      <c r="G661" s="1"/>
      <c r="H661" s="1"/>
      <c r="I661" s="1"/>
      <c r="J661" s="1"/>
    </row>
    <row r="662" spans="3:10" ht="15.75" customHeight="1" x14ac:dyDescent="0.25">
      <c r="C662" s="1"/>
      <c r="D662" s="1"/>
      <c r="E662" s="1"/>
      <c r="F662" s="1"/>
      <c r="G662" s="1"/>
      <c r="H662" s="1"/>
      <c r="I662" s="1"/>
      <c r="J662" s="1"/>
    </row>
    <row r="663" spans="3:10" ht="15.75" customHeight="1" x14ac:dyDescent="0.25">
      <c r="C663" s="1"/>
      <c r="D663" s="1"/>
      <c r="E663" s="1"/>
      <c r="F663" s="1"/>
      <c r="G663" s="1"/>
      <c r="H663" s="1"/>
      <c r="I663" s="1"/>
      <c r="J663" s="1"/>
    </row>
    <row r="664" spans="3:10" ht="15.75" customHeight="1" x14ac:dyDescent="0.25">
      <c r="C664" s="1"/>
      <c r="D664" s="1"/>
      <c r="E664" s="1"/>
      <c r="F664" s="1"/>
      <c r="G664" s="1"/>
      <c r="H664" s="1"/>
      <c r="I664" s="1"/>
      <c r="J664" s="1"/>
    </row>
    <row r="665" spans="3:10" ht="15.75" customHeight="1" x14ac:dyDescent="0.25">
      <c r="C665" s="1"/>
      <c r="D665" s="1"/>
      <c r="E665" s="1"/>
      <c r="F665" s="1"/>
      <c r="G665" s="1"/>
      <c r="H665" s="1"/>
      <c r="I665" s="1"/>
      <c r="J665" s="1"/>
    </row>
    <row r="666" spans="3:10" ht="15.75" customHeight="1" x14ac:dyDescent="0.25">
      <c r="C666" s="1"/>
      <c r="D666" s="1"/>
      <c r="E666" s="1"/>
      <c r="F666" s="1"/>
      <c r="G666" s="1"/>
      <c r="H666" s="1"/>
      <c r="I666" s="1"/>
      <c r="J666" s="1"/>
    </row>
    <row r="667" spans="3:10" ht="15.75" customHeight="1" x14ac:dyDescent="0.25">
      <c r="C667" s="1"/>
      <c r="D667" s="1"/>
      <c r="E667" s="1"/>
      <c r="F667" s="1"/>
      <c r="G667" s="1"/>
      <c r="H667" s="1"/>
      <c r="I667" s="1"/>
      <c r="J667" s="1"/>
    </row>
    <row r="668" spans="3:10" ht="15.75" customHeight="1" x14ac:dyDescent="0.25">
      <c r="C668" s="1"/>
      <c r="D668" s="1"/>
      <c r="E668" s="1"/>
      <c r="F668" s="1"/>
      <c r="G668" s="1"/>
      <c r="H668" s="1"/>
      <c r="I668" s="1"/>
      <c r="J668" s="1"/>
    </row>
    <row r="669" spans="3:10" ht="15.75" customHeight="1" x14ac:dyDescent="0.25">
      <c r="C669" s="1"/>
      <c r="D669" s="1"/>
      <c r="E669" s="1"/>
      <c r="F669" s="1"/>
      <c r="G669" s="1"/>
      <c r="H669" s="1"/>
      <c r="I669" s="1"/>
      <c r="J669" s="1"/>
    </row>
    <row r="670" spans="3:10" ht="15.75" customHeight="1" x14ac:dyDescent="0.25">
      <c r="C670" s="1"/>
      <c r="D670" s="1"/>
      <c r="E670" s="1"/>
      <c r="F670" s="1"/>
      <c r="G670" s="1"/>
      <c r="H670" s="1"/>
      <c r="I670" s="1"/>
      <c r="J670" s="1"/>
    </row>
    <row r="671" spans="3:10" ht="15.75" customHeight="1" x14ac:dyDescent="0.25">
      <c r="C671" s="1"/>
      <c r="D671" s="1"/>
      <c r="E671" s="1"/>
      <c r="F671" s="1"/>
      <c r="G671" s="1"/>
      <c r="H671" s="1"/>
      <c r="I671" s="1"/>
      <c r="J671" s="1"/>
    </row>
    <row r="672" spans="3:10" ht="15.75" customHeight="1" x14ac:dyDescent="0.25">
      <c r="C672" s="1"/>
      <c r="D672" s="1"/>
      <c r="E672" s="1"/>
      <c r="F672" s="1"/>
      <c r="G672" s="1"/>
      <c r="H672" s="1"/>
      <c r="I672" s="1"/>
      <c r="J672" s="1"/>
    </row>
    <row r="673" spans="3:10" ht="15.75" customHeight="1" x14ac:dyDescent="0.25">
      <c r="C673" s="1"/>
      <c r="D673" s="1"/>
      <c r="E673" s="1"/>
      <c r="F673" s="1"/>
      <c r="G673" s="1"/>
      <c r="H673" s="1"/>
      <c r="I673" s="1"/>
      <c r="J673" s="1"/>
    </row>
    <row r="674" spans="3:10" ht="15.75" customHeight="1" x14ac:dyDescent="0.25">
      <c r="C674" s="1"/>
      <c r="D674" s="1"/>
      <c r="E674" s="1"/>
      <c r="F674" s="1"/>
      <c r="G674" s="1"/>
      <c r="H674" s="1"/>
      <c r="I674" s="1"/>
      <c r="J674" s="1"/>
    </row>
    <row r="675" spans="3:10" ht="15.75" customHeight="1" x14ac:dyDescent="0.25">
      <c r="C675" s="1"/>
      <c r="D675" s="1"/>
      <c r="E675" s="1"/>
      <c r="F675" s="1"/>
      <c r="G675" s="1"/>
      <c r="H675" s="1"/>
      <c r="I675" s="1"/>
      <c r="J675" s="1"/>
    </row>
    <row r="676" spans="3:10" ht="15.75" customHeight="1" x14ac:dyDescent="0.25">
      <c r="C676" s="1"/>
      <c r="D676" s="1"/>
      <c r="E676" s="1"/>
      <c r="F676" s="1"/>
      <c r="G676" s="1"/>
      <c r="H676" s="1"/>
      <c r="I676" s="1"/>
      <c r="J676" s="1"/>
    </row>
    <row r="677" spans="3:10" ht="15.75" customHeight="1" x14ac:dyDescent="0.25">
      <c r="C677" s="1"/>
      <c r="D677" s="1"/>
      <c r="E677" s="1"/>
      <c r="F677" s="1"/>
      <c r="G677" s="1"/>
      <c r="H677" s="1"/>
      <c r="I677" s="1"/>
      <c r="J677" s="1"/>
    </row>
    <row r="678" spans="3:10" ht="15.75" customHeight="1" x14ac:dyDescent="0.25">
      <c r="C678" s="1"/>
      <c r="D678" s="1"/>
      <c r="E678" s="1"/>
      <c r="F678" s="1"/>
      <c r="G678" s="1"/>
      <c r="H678" s="1"/>
      <c r="I678" s="1"/>
      <c r="J678" s="1"/>
    </row>
    <row r="679" spans="3:10" ht="15.75" customHeight="1" x14ac:dyDescent="0.25">
      <c r="C679" s="1"/>
      <c r="D679" s="1"/>
      <c r="E679" s="1"/>
      <c r="F679" s="1"/>
      <c r="G679" s="1"/>
      <c r="H679" s="1"/>
      <c r="I679" s="1"/>
      <c r="J679" s="1"/>
    </row>
    <row r="680" spans="3:10" ht="15.75" customHeight="1" x14ac:dyDescent="0.25">
      <c r="C680" s="1"/>
      <c r="D680" s="1"/>
      <c r="E680" s="1"/>
      <c r="F680" s="1"/>
      <c r="G680" s="1"/>
      <c r="H680" s="1"/>
      <c r="I680" s="1"/>
      <c r="J680" s="1"/>
    </row>
    <row r="681" spans="3:10" ht="15.75" customHeight="1" x14ac:dyDescent="0.25">
      <c r="C681" s="1"/>
      <c r="D681" s="1"/>
      <c r="E681" s="1"/>
      <c r="F681" s="1"/>
      <c r="G681" s="1"/>
      <c r="H681" s="1"/>
      <c r="I681" s="1"/>
      <c r="J681" s="1"/>
    </row>
    <row r="682" spans="3:10" ht="15.75" customHeight="1" x14ac:dyDescent="0.25">
      <c r="C682" s="1"/>
      <c r="D682" s="1"/>
      <c r="E682" s="1"/>
      <c r="F682" s="1"/>
      <c r="G682" s="1"/>
      <c r="H682" s="1"/>
      <c r="I682" s="1"/>
      <c r="J682" s="1"/>
    </row>
    <row r="683" spans="3:10" ht="15.75" customHeight="1" x14ac:dyDescent="0.25">
      <c r="C683" s="1"/>
      <c r="D683" s="1"/>
      <c r="E683" s="1"/>
      <c r="F683" s="1"/>
      <c r="G683" s="1"/>
      <c r="H683" s="1"/>
      <c r="I683" s="1"/>
      <c r="J683" s="1"/>
    </row>
    <row r="684" spans="3:10" ht="15.75" customHeight="1" x14ac:dyDescent="0.25">
      <c r="C684" s="1"/>
      <c r="D684" s="1"/>
      <c r="E684" s="1"/>
      <c r="F684" s="1"/>
      <c r="G684" s="1"/>
      <c r="H684" s="1"/>
      <c r="I684" s="1"/>
      <c r="J684" s="1"/>
    </row>
    <row r="685" spans="3:10" ht="15.75" customHeight="1" x14ac:dyDescent="0.25">
      <c r="C685" s="1"/>
      <c r="D685" s="1"/>
      <c r="E685" s="1"/>
      <c r="F685" s="1"/>
      <c r="G685" s="1"/>
      <c r="H685" s="1"/>
      <c r="I685" s="1"/>
      <c r="J685" s="1"/>
    </row>
    <row r="686" spans="3:10" ht="15.75" customHeight="1" x14ac:dyDescent="0.25">
      <c r="C686" s="1"/>
      <c r="D686" s="1"/>
      <c r="E686" s="1"/>
      <c r="F686" s="1"/>
      <c r="G686" s="1"/>
      <c r="H686" s="1"/>
      <c r="I686" s="1"/>
      <c r="J686" s="1"/>
    </row>
    <row r="687" spans="3:10" ht="15.75" customHeight="1" x14ac:dyDescent="0.25">
      <c r="C687" s="1"/>
      <c r="D687" s="1"/>
      <c r="E687" s="1"/>
      <c r="F687" s="1"/>
      <c r="G687" s="1"/>
      <c r="H687" s="1"/>
      <c r="I687" s="1"/>
      <c r="J687" s="1"/>
    </row>
    <row r="688" spans="3:10" ht="15.75" customHeight="1" x14ac:dyDescent="0.25">
      <c r="C688" s="1"/>
      <c r="D688" s="1"/>
      <c r="E688" s="1"/>
      <c r="F688" s="1"/>
      <c r="G688" s="1"/>
      <c r="H688" s="1"/>
      <c r="I688" s="1"/>
      <c r="J688" s="1"/>
    </row>
    <row r="689" spans="3:10" ht="15.75" customHeight="1" x14ac:dyDescent="0.25">
      <c r="C689" s="1"/>
      <c r="D689" s="1"/>
      <c r="E689" s="1"/>
      <c r="F689" s="1"/>
      <c r="G689" s="1"/>
      <c r="H689" s="1"/>
      <c r="I689" s="1"/>
      <c r="J689" s="1"/>
    </row>
    <row r="690" spans="3:10" ht="15.75" customHeight="1" x14ac:dyDescent="0.25">
      <c r="C690" s="1"/>
      <c r="D690" s="1"/>
      <c r="E690" s="1"/>
      <c r="F690" s="1"/>
      <c r="G690" s="1"/>
      <c r="H690" s="1"/>
      <c r="I690" s="1"/>
      <c r="J690" s="1"/>
    </row>
    <row r="691" spans="3:10" ht="15.75" customHeight="1" x14ac:dyDescent="0.25">
      <c r="C691" s="1"/>
      <c r="D691" s="1"/>
      <c r="E691" s="1"/>
      <c r="F691" s="1"/>
      <c r="G691" s="1"/>
      <c r="H691" s="1"/>
      <c r="I691" s="1"/>
      <c r="J691" s="1"/>
    </row>
    <row r="692" spans="3:10" ht="15.75" customHeight="1" x14ac:dyDescent="0.25">
      <c r="C692" s="1"/>
      <c r="D692" s="1"/>
      <c r="E692" s="1"/>
      <c r="F692" s="1"/>
      <c r="G692" s="1"/>
      <c r="H692" s="1"/>
      <c r="I692" s="1"/>
      <c r="J692" s="1"/>
    </row>
    <row r="693" spans="3:10" ht="15.75" customHeight="1" x14ac:dyDescent="0.25">
      <c r="C693" s="1"/>
      <c r="D693" s="1"/>
      <c r="E693" s="1"/>
      <c r="F693" s="1"/>
      <c r="G693" s="1"/>
      <c r="H693" s="1"/>
      <c r="I693" s="1"/>
      <c r="J693" s="1"/>
    </row>
    <row r="694" spans="3:10" ht="15.75" customHeight="1" x14ac:dyDescent="0.25">
      <c r="C694" s="1"/>
      <c r="D694" s="1"/>
      <c r="E694" s="1"/>
      <c r="F694" s="1"/>
      <c r="G694" s="1"/>
      <c r="H694" s="1"/>
      <c r="I694" s="1"/>
      <c r="J694" s="1"/>
    </row>
    <row r="695" spans="3:10" ht="15.75" customHeight="1" x14ac:dyDescent="0.25">
      <c r="C695" s="1"/>
      <c r="D695" s="1"/>
      <c r="E695" s="1"/>
      <c r="F695" s="1"/>
      <c r="G695" s="1"/>
      <c r="H695" s="1"/>
      <c r="I695" s="1"/>
      <c r="J695" s="1"/>
    </row>
    <row r="696" spans="3:10" ht="15.75" customHeight="1" x14ac:dyDescent="0.25">
      <c r="C696" s="1"/>
      <c r="D696" s="1"/>
      <c r="E696" s="1"/>
      <c r="F696" s="1"/>
      <c r="G696" s="1"/>
      <c r="H696" s="1"/>
      <c r="I696" s="1"/>
      <c r="J696" s="1"/>
    </row>
    <row r="697" spans="3:10" ht="15.75" customHeight="1" x14ac:dyDescent="0.25">
      <c r="C697" s="1"/>
      <c r="D697" s="1"/>
      <c r="E697" s="1"/>
      <c r="F697" s="1"/>
      <c r="G697" s="1"/>
      <c r="H697" s="1"/>
      <c r="I697" s="1"/>
      <c r="J697" s="1"/>
    </row>
    <row r="698" spans="3:10" ht="15.75" customHeight="1" x14ac:dyDescent="0.25">
      <c r="C698" s="1"/>
      <c r="D698" s="1"/>
      <c r="E698" s="1"/>
      <c r="F698" s="1"/>
      <c r="G698" s="1"/>
      <c r="H698" s="1"/>
      <c r="I698" s="1"/>
      <c r="J698" s="1"/>
    </row>
    <row r="699" spans="3:10" ht="15.75" customHeight="1" x14ac:dyDescent="0.25">
      <c r="C699" s="1"/>
      <c r="D699" s="1"/>
      <c r="E699" s="1"/>
      <c r="F699" s="1"/>
      <c r="G699" s="1"/>
      <c r="H699" s="1"/>
      <c r="I699" s="1"/>
      <c r="J699" s="1"/>
    </row>
    <row r="700" spans="3:10" ht="15.75" customHeight="1" x14ac:dyDescent="0.25">
      <c r="C700" s="1"/>
      <c r="D700" s="1"/>
      <c r="E700" s="1"/>
      <c r="F700" s="1"/>
      <c r="G700" s="1"/>
      <c r="H700" s="1"/>
      <c r="I700" s="1"/>
      <c r="J700" s="1"/>
    </row>
    <row r="701" spans="3:10" ht="15.75" customHeight="1" x14ac:dyDescent="0.25">
      <c r="C701" s="1"/>
      <c r="D701" s="1"/>
      <c r="E701" s="1"/>
      <c r="F701" s="1"/>
      <c r="G701" s="1"/>
      <c r="H701" s="1"/>
      <c r="I701" s="1"/>
      <c r="J701" s="1"/>
    </row>
    <row r="702" spans="3:10" ht="15.75" customHeight="1" x14ac:dyDescent="0.25">
      <c r="C702" s="1"/>
      <c r="D702" s="1"/>
      <c r="E702" s="1"/>
      <c r="F702" s="1"/>
      <c r="G702" s="1"/>
      <c r="H702" s="1"/>
      <c r="I702" s="1"/>
      <c r="J702" s="1"/>
    </row>
    <row r="703" spans="3:10" ht="15.75" customHeight="1" x14ac:dyDescent="0.25">
      <c r="C703" s="1"/>
      <c r="D703" s="1"/>
      <c r="E703" s="1"/>
      <c r="F703" s="1"/>
      <c r="G703" s="1"/>
      <c r="H703" s="1"/>
      <c r="I703" s="1"/>
      <c r="J703" s="1"/>
    </row>
    <row r="704" spans="3:10" ht="15.75" customHeight="1" x14ac:dyDescent="0.25">
      <c r="C704" s="1"/>
      <c r="D704" s="1"/>
      <c r="E704" s="1"/>
      <c r="F704" s="1"/>
      <c r="G704" s="1"/>
      <c r="H704" s="1"/>
      <c r="I704" s="1"/>
      <c r="J704" s="1"/>
    </row>
    <row r="705" spans="3:10" ht="15.75" customHeight="1" x14ac:dyDescent="0.25">
      <c r="C705" s="1"/>
      <c r="D705" s="1"/>
      <c r="E705" s="1"/>
      <c r="F705" s="1"/>
      <c r="G705" s="1"/>
      <c r="H705" s="1"/>
      <c r="I705" s="1"/>
      <c r="J705" s="1"/>
    </row>
    <row r="706" spans="3:10" ht="15.75" customHeight="1" x14ac:dyDescent="0.25">
      <c r="C706" s="1"/>
      <c r="D706" s="1"/>
      <c r="E706" s="1"/>
      <c r="F706" s="1"/>
      <c r="G706" s="1"/>
      <c r="H706" s="1"/>
      <c r="I706" s="1"/>
      <c r="J706" s="1"/>
    </row>
    <row r="707" spans="3:10" ht="15.75" customHeight="1" x14ac:dyDescent="0.25">
      <c r="C707" s="1"/>
      <c r="D707" s="1"/>
      <c r="E707" s="1"/>
      <c r="F707" s="1"/>
      <c r="G707" s="1"/>
      <c r="H707" s="1"/>
      <c r="I707" s="1"/>
      <c r="J707" s="1"/>
    </row>
    <row r="708" spans="3:10" ht="15.75" customHeight="1" x14ac:dyDescent="0.25">
      <c r="C708" s="1"/>
      <c r="D708" s="1"/>
      <c r="E708" s="1"/>
      <c r="F708" s="1"/>
      <c r="G708" s="1"/>
      <c r="H708" s="1"/>
      <c r="I708" s="1"/>
      <c r="J708" s="1"/>
    </row>
    <row r="709" spans="3:10" ht="15.75" customHeight="1" x14ac:dyDescent="0.25">
      <c r="C709" s="1"/>
      <c r="D709" s="1"/>
      <c r="E709" s="1"/>
      <c r="F709" s="1"/>
      <c r="G709" s="1"/>
      <c r="H709" s="1"/>
      <c r="I709" s="1"/>
      <c r="J709" s="1"/>
    </row>
    <row r="710" spans="3:10" ht="15.75" customHeight="1" x14ac:dyDescent="0.25">
      <c r="C710" s="1"/>
      <c r="D710" s="1"/>
      <c r="E710" s="1"/>
      <c r="F710" s="1"/>
      <c r="G710" s="1"/>
      <c r="H710" s="1"/>
      <c r="I710" s="1"/>
      <c r="J710" s="1"/>
    </row>
    <row r="711" spans="3:10" ht="15.75" customHeight="1" x14ac:dyDescent="0.25">
      <c r="C711" s="1"/>
      <c r="D711" s="1"/>
      <c r="E711" s="1"/>
      <c r="F711" s="1"/>
      <c r="G711" s="1"/>
      <c r="H711" s="1"/>
      <c r="I711" s="1"/>
      <c r="J711" s="1"/>
    </row>
    <row r="712" spans="3:10" ht="15.75" customHeight="1" x14ac:dyDescent="0.25">
      <c r="C712" s="1"/>
      <c r="D712" s="1"/>
      <c r="E712" s="1"/>
      <c r="F712" s="1"/>
      <c r="G712" s="1"/>
      <c r="H712" s="1"/>
      <c r="I712" s="1"/>
      <c r="J712" s="1"/>
    </row>
    <row r="713" spans="3:10" ht="15.75" customHeight="1" x14ac:dyDescent="0.25">
      <c r="C713" s="1"/>
      <c r="D713" s="1"/>
      <c r="E713" s="1"/>
      <c r="F713" s="1"/>
      <c r="G713" s="1"/>
      <c r="H713" s="1"/>
      <c r="I713" s="1"/>
      <c r="J713" s="1"/>
    </row>
    <row r="714" spans="3:10" ht="15.75" customHeight="1" x14ac:dyDescent="0.25">
      <c r="C714" s="1"/>
      <c r="D714" s="1"/>
      <c r="E714" s="1"/>
      <c r="F714" s="1"/>
      <c r="G714" s="1"/>
      <c r="H714" s="1"/>
      <c r="I714" s="1"/>
      <c r="J714" s="1"/>
    </row>
    <row r="715" spans="3:10" ht="15.75" customHeight="1" x14ac:dyDescent="0.25">
      <c r="C715" s="1"/>
      <c r="D715" s="1"/>
      <c r="E715" s="1"/>
      <c r="F715" s="1"/>
      <c r="G715" s="1"/>
      <c r="H715" s="1"/>
      <c r="I715" s="1"/>
      <c r="J715" s="1"/>
    </row>
    <row r="716" spans="3:10" ht="15.75" customHeight="1" x14ac:dyDescent="0.25">
      <c r="C716" s="1"/>
      <c r="D716" s="1"/>
      <c r="E716" s="1"/>
      <c r="F716" s="1"/>
      <c r="G716" s="1"/>
      <c r="H716" s="1"/>
      <c r="I716" s="1"/>
      <c r="J716" s="1"/>
    </row>
    <row r="717" spans="3:10" ht="15.75" customHeight="1" x14ac:dyDescent="0.25">
      <c r="C717" s="1"/>
      <c r="D717" s="1"/>
      <c r="E717" s="1"/>
      <c r="F717" s="1"/>
      <c r="G717" s="1"/>
      <c r="H717" s="1"/>
      <c r="I717" s="1"/>
      <c r="J717" s="1"/>
    </row>
    <row r="718" spans="3:10" ht="15.75" customHeight="1" x14ac:dyDescent="0.25">
      <c r="C718" s="1"/>
      <c r="D718" s="1"/>
      <c r="E718" s="1"/>
      <c r="F718" s="1"/>
      <c r="G718" s="1"/>
      <c r="H718" s="1"/>
      <c r="I718" s="1"/>
      <c r="J718" s="1"/>
    </row>
    <row r="719" spans="3:10" ht="15.75" customHeight="1" x14ac:dyDescent="0.25">
      <c r="C719" s="1"/>
      <c r="D719" s="1"/>
      <c r="E719" s="1"/>
      <c r="F719" s="1"/>
      <c r="G719" s="1"/>
      <c r="H719" s="1"/>
      <c r="I719" s="1"/>
      <c r="J719" s="1"/>
    </row>
    <row r="720" spans="3:10" ht="15.75" customHeight="1" x14ac:dyDescent="0.25">
      <c r="C720" s="1"/>
      <c r="D720" s="1"/>
      <c r="E720" s="1"/>
      <c r="F720" s="1"/>
      <c r="G720" s="1"/>
      <c r="H720" s="1"/>
      <c r="I720" s="1"/>
      <c r="J720" s="1"/>
    </row>
    <row r="721" spans="3:10" ht="15.75" customHeight="1" x14ac:dyDescent="0.25">
      <c r="C721" s="1"/>
      <c r="D721" s="1"/>
      <c r="E721" s="1"/>
      <c r="F721" s="1"/>
      <c r="G721" s="1"/>
      <c r="H721" s="1"/>
      <c r="I721" s="1"/>
      <c r="J721" s="1"/>
    </row>
    <row r="722" spans="3:10" ht="15.75" customHeight="1" x14ac:dyDescent="0.25">
      <c r="C722" s="1"/>
      <c r="D722" s="1"/>
      <c r="E722" s="1"/>
      <c r="F722" s="1"/>
      <c r="G722" s="1"/>
      <c r="H722" s="1"/>
      <c r="I722" s="1"/>
      <c r="J722" s="1"/>
    </row>
    <row r="723" spans="3:10" ht="15.75" customHeight="1" x14ac:dyDescent="0.25">
      <c r="C723" s="1"/>
      <c r="D723" s="1"/>
      <c r="E723" s="1"/>
      <c r="F723" s="1"/>
      <c r="G723" s="1"/>
      <c r="H723" s="1"/>
      <c r="I723" s="1"/>
      <c r="J723" s="1"/>
    </row>
    <row r="724" spans="3:10" ht="15.75" customHeight="1" x14ac:dyDescent="0.25">
      <c r="C724" s="1"/>
      <c r="D724" s="1"/>
      <c r="E724" s="1"/>
      <c r="F724" s="1"/>
      <c r="G724" s="1"/>
      <c r="H724" s="1"/>
      <c r="I724" s="1"/>
      <c r="J724" s="1"/>
    </row>
    <row r="725" spans="3:10" ht="15.75" customHeight="1" x14ac:dyDescent="0.25">
      <c r="C725" s="1"/>
      <c r="D725" s="1"/>
      <c r="E725" s="1"/>
      <c r="F725" s="1"/>
      <c r="G725" s="1"/>
      <c r="H725" s="1"/>
      <c r="I725" s="1"/>
      <c r="J725" s="1"/>
    </row>
    <row r="726" spans="3:10" ht="15.75" customHeight="1" x14ac:dyDescent="0.25">
      <c r="C726" s="1"/>
      <c r="D726" s="1"/>
      <c r="E726" s="1"/>
      <c r="F726" s="1"/>
      <c r="G726" s="1"/>
      <c r="H726" s="1"/>
      <c r="I726" s="1"/>
      <c r="J726" s="1"/>
    </row>
    <row r="727" spans="3:10" ht="15.75" customHeight="1" x14ac:dyDescent="0.25">
      <c r="C727" s="1"/>
      <c r="D727" s="1"/>
      <c r="E727" s="1"/>
      <c r="F727" s="1"/>
      <c r="G727" s="1"/>
      <c r="H727" s="1"/>
      <c r="I727" s="1"/>
      <c r="J727" s="1"/>
    </row>
    <row r="728" spans="3:10" ht="15.75" customHeight="1" x14ac:dyDescent="0.25">
      <c r="C728" s="1"/>
      <c r="D728" s="1"/>
      <c r="E728" s="1"/>
      <c r="F728" s="1"/>
      <c r="G728" s="1"/>
      <c r="H728" s="1"/>
      <c r="I728" s="1"/>
      <c r="J728" s="1"/>
    </row>
    <row r="729" spans="3:10" ht="15.75" customHeight="1" x14ac:dyDescent="0.25">
      <c r="C729" s="1"/>
      <c r="D729" s="1"/>
      <c r="E729" s="1"/>
      <c r="F729" s="1"/>
      <c r="G729" s="1"/>
      <c r="H729" s="1"/>
      <c r="I729" s="1"/>
      <c r="J729" s="1"/>
    </row>
    <row r="730" spans="3:10" ht="15.75" customHeight="1" x14ac:dyDescent="0.25">
      <c r="C730" s="1"/>
      <c r="D730" s="1"/>
      <c r="E730" s="1"/>
      <c r="F730" s="1"/>
      <c r="G730" s="1"/>
      <c r="H730" s="1"/>
      <c r="I730" s="1"/>
      <c r="J730" s="1"/>
    </row>
    <row r="731" spans="3:10" ht="15.75" customHeight="1" x14ac:dyDescent="0.25">
      <c r="C731" s="1"/>
      <c r="D731" s="1"/>
      <c r="E731" s="1"/>
      <c r="F731" s="1"/>
      <c r="G731" s="1"/>
      <c r="H731" s="1"/>
      <c r="I731" s="1"/>
      <c r="J731" s="1"/>
    </row>
    <row r="732" spans="3:10" ht="15.75" customHeight="1" x14ac:dyDescent="0.25">
      <c r="C732" s="1"/>
      <c r="D732" s="1"/>
      <c r="E732" s="1"/>
      <c r="F732" s="1"/>
      <c r="G732" s="1"/>
      <c r="H732" s="1"/>
      <c r="I732" s="1"/>
      <c r="J732" s="1"/>
    </row>
    <row r="733" spans="3:10" ht="15.75" customHeight="1" x14ac:dyDescent="0.25">
      <c r="C733" s="1"/>
      <c r="D733" s="1"/>
      <c r="E733" s="1"/>
      <c r="F733" s="1"/>
      <c r="G733" s="1"/>
      <c r="H733" s="1"/>
      <c r="I733" s="1"/>
      <c r="J733" s="1"/>
    </row>
    <row r="734" spans="3:10" ht="15.75" customHeight="1" x14ac:dyDescent="0.25">
      <c r="C734" s="1"/>
      <c r="D734" s="1"/>
      <c r="E734" s="1"/>
      <c r="F734" s="1"/>
      <c r="G734" s="1"/>
      <c r="H734" s="1"/>
      <c r="I734" s="1"/>
      <c r="J734" s="1"/>
    </row>
    <row r="735" spans="3:10" ht="15.75" customHeight="1" x14ac:dyDescent="0.25">
      <c r="C735" s="1"/>
      <c r="D735" s="1"/>
      <c r="E735" s="1"/>
      <c r="F735" s="1"/>
      <c r="G735" s="1"/>
      <c r="H735" s="1"/>
      <c r="I735" s="1"/>
      <c r="J735" s="1"/>
    </row>
    <row r="736" spans="3:10" ht="15.75" customHeight="1" x14ac:dyDescent="0.25">
      <c r="C736" s="1"/>
      <c r="D736" s="1"/>
      <c r="E736" s="1"/>
      <c r="F736" s="1"/>
      <c r="G736" s="1"/>
      <c r="H736" s="1"/>
      <c r="I736" s="1"/>
      <c r="J736" s="1"/>
    </row>
    <row r="737" spans="3:10" ht="15.75" customHeight="1" x14ac:dyDescent="0.25">
      <c r="C737" s="1"/>
      <c r="D737" s="1"/>
      <c r="E737" s="1"/>
      <c r="F737" s="1"/>
      <c r="G737" s="1"/>
      <c r="H737" s="1"/>
      <c r="I737" s="1"/>
      <c r="J737" s="1"/>
    </row>
    <row r="738" spans="3:10" ht="15.75" customHeight="1" x14ac:dyDescent="0.25">
      <c r="C738" s="1"/>
      <c r="D738" s="1"/>
      <c r="E738" s="1"/>
      <c r="F738" s="1"/>
      <c r="G738" s="1"/>
      <c r="H738" s="1"/>
      <c r="I738" s="1"/>
      <c r="J738" s="1"/>
    </row>
    <row r="739" spans="3:10" ht="15.75" customHeight="1" x14ac:dyDescent="0.25">
      <c r="C739" s="1"/>
      <c r="D739" s="1"/>
      <c r="E739" s="1"/>
      <c r="F739" s="1"/>
      <c r="G739" s="1"/>
      <c r="H739" s="1"/>
      <c r="I739" s="1"/>
      <c r="J739" s="1"/>
    </row>
    <row r="740" spans="3:10" ht="15.75" customHeight="1" x14ac:dyDescent="0.25">
      <c r="C740" s="1"/>
      <c r="D740" s="1"/>
      <c r="E740" s="1"/>
      <c r="F740" s="1"/>
      <c r="G740" s="1"/>
      <c r="H740" s="1"/>
      <c r="I740" s="1"/>
      <c r="J740" s="1"/>
    </row>
    <row r="741" spans="3:10" ht="15.75" customHeight="1" x14ac:dyDescent="0.25">
      <c r="C741" s="1"/>
      <c r="D741" s="1"/>
      <c r="E741" s="1"/>
      <c r="F741" s="1"/>
      <c r="G741" s="1"/>
      <c r="H741" s="1"/>
      <c r="I741" s="1"/>
      <c r="J741" s="1"/>
    </row>
    <row r="742" spans="3:10" ht="15.75" customHeight="1" x14ac:dyDescent="0.25">
      <c r="C742" s="1"/>
      <c r="D742" s="1"/>
      <c r="E742" s="1"/>
      <c r="F742" s="1"/>
      <c r="G742" s="1"/>
      <c r="H742" s="1"/>
      <c r="I742" s="1"/>
      <c r="J742" s="1"/>
    </row>
    <row r="743" spans="3:10" ht="15.75" customHeight="1" x14ac:dyDescent="0.25">
      <c r="C743" s="1"/>
      <c r="D743" s="1"/>
      <c r="E743" s="1"/>
      <c r="F743" s="1"/>
      <c r="G743" s="1"/>
      <c r="H743" s="1"/>
      <c r="I743" s="1"/>
      <c r="J743" s="1"/>
    </row>
    <row r="744" spans="3:10" ht="15.75" customHeight="1" x14ac:dyDescent="0.25">
      <c r="C744" s="1"/>
      <c r="D744" s="1"/>
      <c r="E744" s="1"/>
      <c r="F744" s="1"/>
      <c r="G744" s="1"/>
      <c r="H744" s="1"/>
      <c r="I744" s="1"/>
      <c r="J744" s="1"/>
    </row>
    <row r="745" spans="3:10" ht="15.75" customHeight="1" x14ac:dyDescent="0.25">
      <c r="C745" s="1"/>
      <c r="D745" s="1"/>
      <c r="E745" s="1"/>
      <c r="F745" s="1"/>
      <c r="G745" s="1"/>
      <c r="H745" s="1"/>
      <c r="I745" s="1"/>
      <c r="J745" s="1"/>
    </row>
    <row r="746" spans="3:10" ht="15.75" customHeight="1" x14ac:dyDescent="0.25">
      <c r="C746" s="1"/>
      <c r="D746" s="1"/>
      <c r="E746" s="1"/>
      <c r="F746" s="1"/>
      <c r="G746" s="1"/>
      <c r="H746" s="1"/>
      <c r="I746" s="1"/>
      <c r="J746" s="1"/>
    </row>
    <row r="747" spans="3:10" ht="15.75" customHeight="1" x14ac:dyDescent="0.25">
      <c r="C747" s="1"/>
      <c r="D747" s="1"/>
      <c r="E747" s="1"/>
      <c r="F747" s="1"/>
      <c r="G747" s="1"/>
      <c r="H747" s="1"/>
      <c r="I747" s="1"/>
      <c r="J747" s="1"/>
    </row>
    <row r="748" spans="3:10" ht="15.75" customHeight="1" x14ac:dyDescent="0.25">
      <c r="C748" s="1"/>
      <c r="D748" s="1"/>
      <c r="E748" s="1"/>
      <c r="F748" s="1"/>
      <c r="G748" s="1"/>
      <c r="H748" s="1"/>
      <c r="I748" s="1"/>
      <c r="J748" s="1"/>
    </row>
    <row r="749" spans="3:10" ht="15.75" customHeight="1" x14ac:dyDescent="0.25">
      <c r="C749" s="1"/>
      <c r="D749" s="1"/>
      <c r="E749" s="1"/>
      <c r="F749" s="1"/>
      <c r="G749" s="1"/>
      <c r="H749" s="1"/>
      <c r="I749" s="1"/>
      <c r="J749" s="1"/>
    </row>
    <row r="750" spans="3:10" ht="15.75" customHeight="1" x14ac:dyDescent="0.25">
      <c r="C750" s="1"/>
      <c r="D750" s="1"/>
      <c r="E750" s="1"/>
      <c r="F750" s="1"/>
      <c r="G750" s="1"/>
      <c r="H750" s="1"/>
      <c r="I750" s="1"/>
      <c r="J750" s="1"/>
    </row>
    <row r="751" spans="3:10" ht="15.75" customHeight="1" x14ac:dyDescent="0.25">
      <c r="C751" s="1"/>
      <c r="D751" s="1"/>
      <c r="E751" s="1"/>
      <c r="F751" s="1"/>
      <c r="G751" s="1"/>
      <c r="H751" s="1"/>
      <c r="I751" s="1"/>
      <c r="J751" s="1"/>
    </row>
    <row r="752" spans="3:10" ht="15.75" customHeight="1" x14ac:dyDescent="0.25">
      <c r="C752" s="1"/>
      <c r="D752" s="1"/>
      <c r="E752" s="1"/>
      <c r="F752" s="1"/>
      <c r="G752" s="1"/>
      <c r="H752" s="1"/>
      <c r="I752" s="1"/>
      <c r="J752" s="1"/>
    </row>
    <row r="753" spans="3:10" ht="15.75" customHeight="1" x14ac:dyDescent="0.25">
      <c r="C753" s="1"/>
      <c r="D753" s="1"/>
      <c r="E753" s="1"/>
      <c r="F753" s="1"/>
      <c r="G753" s="1"/>
      <c r="H753" s="1"/>
      <c r="I753" s="1"/>
      <c r="J753" s="1"/>
    </row>
    <row r="754" spans="3:10" ht="15.75" customHeight="1" x14ac:dyDescent="0.25">
      <c r="C754" s="1"/>
      <c r="D754" s="1"/>
      <c r="E754" s="1"/>
      <c r="F754" s="1"/>
      <c r="G754" s="1"/>
      <c r="H754" s="1"/>
      <c r="I754" s="1"/>
      <c r="J754" s="1"/>
    </row>
    <row r="755" spans="3:10" ht="15.75" customHeight="1" x14ac:dyDescent="0.25">
      <c r="C755" s="1"/>
      <c r="D755" s="1"/>
      <c r="E755" s="1"/>
      <c r="F755" s="1"/>
      <c r="G755" s="1"/>
      <c r="H755" s="1"/>
      <c r="I755" s="1"/>
      <c r="J755" s="1"/>
    </row>
    <row r="756" spans="3:10" ht="15.75" customHeight="1" x14ac:dyDescent="0.25">
      <c r="C756" s="1"/>
      <c r="D756" s="1"/>
      <c r="E756" s="1"/>
      <c r="F756" s="1"/>
      <c r="G756" s="1"/>
      <c r="H756" s="1"/>
      <c r="I756" s="1"/>
      <c r="J756" s="1"/>
    </row>
    <row r="757" spans="3:10" ht="15.75" customHeight="1" x14ac:dyDescent="0.25">
      <c r="C757" s="1"/>
      <c r="D757" s="1"/>
      <c r="E757" s="1"/>
      <c r="F757" s="1"/>
      <c r="G757" s="1"/>
      <c r="H757" s="1"/>
      <c r="I757" s="1"/>
      <c r="J757" s="1"/>
    </row>
    <row r="758" spans="3:10" ht="15.75" customHeight="1" x14ac:dyDescent="0.25">
      <c r="C758" s="1"/>
      <c r="D758" s="1"/>
      <c r="E758" s="1"/>
      <c r="F758" s="1"/>
      <c r="G758" s="1"/>
      <c r="H758" s="1"/>
      <c r="I758" s="1"/>
      <c r="J758" s="1"/>
    </row>
    <row r="759" spans="3:10" ht="15.75" customHeight="1" x14ac:dyDescent="0.25">
      <c r="C759" s="1"/>
      <c r="D759" s="1"/>
      <c r="E759" s="1"/>
      <c r="F759" s="1"/>
      <c r="G759" s="1"/>
      <c r="H759" s="1"/>
      <c r="I759" s="1"/>
      <c r="J759" s="1"/>
    </row>
    <row r="760" spans="3:10" ht="15.75" customHeight="1" x14ac:dyDescent="0.25">
      <c r="C760" s="1"/>
      <c r="D760" s="1"/>
      <c r="E760" s="1"/>
      <c r="F760" s="1"/>
      <c r="G760" s="1"/>
      <c r="H760" s="1"/>
      <c r="I760" s="1"/>
      <c r="J760" s="1"/>
    </row>
    <row r="761" spans="3:10" ht="15.75" customHeight="1" x14ac:dyDescent="0.25">
      <c r="C761" s="1"/>
      <c r="D761" s="1"/>
      <c r="E761" s="1"/>
      <c r="F761" s="1"/>
      <c r="G761" s="1"/>
      <c r="H761" s="1"/>
      <c r="I761" s="1"/>
      <c r="J761" s="1"/>
    </row>
    <row r="762" spans="3:10" ht="15.75" customHeight="1" x14ac:dyDescent="0.25">
      <c r="C762" s="1"/>
      <c r="D762" s="1"/>
      <c r="E762" s="1"/>
      <c r="F762" s="1"/>
      <c r="G762" s="1"/>
      <c r="H762" s="1"/>
      <c r="I762" s="1"/>
      <c r="J762" s="1"/>
    </row>
    <row r="763" spans="3:10" ht="15.75" customHeight="1" x14ac:dyDescent="0.25">
      <c r="C763" s="1"/>
      <c r="D763" s="1"/>
      <c r="E763" s="1"/>
      <c r="F763" s="1"/>
      <c r="G763" s="1"/>
      <c r="H763" s="1"/>
      <c r="I763" s="1"/>
      <c r="J763" s="1"/>
    </row>
    <row r="764" spans="3:10" ht="15.75" customHeight="1" x14ac:dyDescent="0.25">
      <c r="C764" s="1"/>
      <c r="D764" s="1"/>
      <c r="E764" s="1"/>
      <c r="F764" s="1"/>
      <c r="G764" s="1"/>
      <c r="H764" s="1"/>
      <c r="I764" s="1"/>
      <c r="J764" s="1"/>
    </row>
    <row r="765" spans="3:10" ht="15.75" customHeight="1" x14ac:dyDescent="0.25">
      <c r="C765" s="1"/>
      <c r="D765" s="1"/>
      <c r="E765" s="1"/>
      <c r="F765" s="1"/>
      <c r="G765" s="1"/>
      <c r="H765" s="1"/>
      <c r="I765" s="1"/>
      <c r="J765" s="1"/>
    </row>
    <row r="766" spans="3:10" ht="15.75" customHeight="1" x14ac:dyDescent="0.25">
      <c r="C766" s="1"/>
      <c r="D766" s="1"/>
      <c r="E766" s="1"/>
      <c r="F766" s="1"/>
      <c r="G766" s="1"/>
      <c r="H766" s="1"/>
      <c r="I766" s="1"/>
      <c r="J766" s="1"/>
    </row>
    <row r="767" spans="3:10" ht="15.75" customHeight="1" x14ac:dyDescent="0.25">
      <c r="C767" s="1"/>
      <c r="D767" s="1"/>
      <c r="E767" s="1"/>
      <c r="F767" s="1"/>
      <c r="G767" s="1"/>
      <c r="H767" s="1"/>
      <c r="I767" s="1"/>
      <c r="J767" s="1"/>
    </row>
    <row r="768" spans="3:10" ht="15.75" customHeight="1" x14ac:dyDescent="0.25">
      <c r="C768" s="1"/>
      <c r="D768" s="1"/>
      <c r="E768" s="1"/>
      <c r="F768" s="1"/>
      <c r="G768" s="1"/>
      <c r="H768" s="1"/>
      <c r="I768" s="1"/>
      <c r="J768" s="1"/>
    </row>
    <row r="769" spans="3:10" ht="15.75" customHeight="1" x14ac:dyDescent="0.25">
      <c r="C769" s="1"/>
      <c r="D769" s="1"/>
      <c r="E769" s="1"/>
      <c r="F769" s="1"/>
      <c r="G769" s="1"/>
      <c r="H769" s="1"/>
      <c r="I769" s="1"/>
      <c r="J769" s="1"/>
    </row>
    <row r="770" spans="3:10" ht="15.75" customHeight="1" x14ac:dyDescent="0.25">
      <c r="C770" s="1"/>
      <c r="D770" s="1"/>
      <c r="E770" s="1"/>
      <c r="F770" s="1"/>
      <c r="G770" s="1"/>
      <c r="H770" s="1"/>
      <c r="I770" s="1"/>
      <c r="J770" s="1"/>
    </row>
    <row r="771" spans="3:10" ht="15.75" customHeight="1" x14ac:dyDescent="0.25">
      <c r="C771" s="1"/>
      <c r="D771" s="1"/>
      <c r="E771" s="1"/>
      <c r="F771" s="1"/>
      <c r="G771" s="1"/>
      <c r="H771" s="1"/>
      <c r="I771" s="1"/>
      <c r="J771" s="1"/>
    </row>
    <row r="772" spans="3:10" ht="15.75" customHeight="1" x14ac:dyDescent="0.25">
      <c r="C772" s="1"/>
      <c r="D772" s="1"/>
      <c r="E772" s="1"/>
      <c r="F772" s="1"/>
      <c r="G772" s="1"/>
      <c r="H772" s="1"/>
      <c r="I772" s="1"/>
      <c r="J772" s="1"/>
    </row>
    <row r="773" spans="3:10" ht="15.75" customHeight="1" x14ac:dyDescent="0.25">
      <c r="C773" s="1"/>
      <c r="D773" s="1"/>
      <c r="E773" s="1"/>
      <c r="F773" s="1"/>
      <c r="G773" s="1"/>
      <c r="H773" s="1"/>
      <c r="I773" s="1"/>
      <c r="J773" s="1"/>
    </row>
    <row r="774" spans="3:10" ht="15.75" customHeight="1" x14ac:dyDescent="0.25">
      <c r="C774" s="1"/>
      <c r="D774" s="1"/>
      <c r="E774" s="1"/>
      <c r="F774" s="1"/>
      <c r="G774" s="1"/>
      <c r="H774" s="1"/>
      <c r="I774" s="1"/>
      <c r="J774" s="1"/>
    </row>
    <row r="775" spans="3:10" ht="15.75" customHeight="1" x14ac:dyDescent="0.25">
      <c r="C775" s="1"/>
      <c r="D775" s="1"/>
      <c r="E775" s="1"/>
      <c r="F775" s="1"/>
      <c r="G775" s="1"/>
      <c r="H775" s="1"/>
      <c r="I775" s="1"/>
      <c r="J775" s="1"/>
    </row>
    <row r="776" spans="3:10" ht="15.75" customHeight="1" x14ac:dyDescent="0.25">
      <c r="C776" s="1"/>
      <c r="D776" s="1"/>
      <c r="E776" s="1"/>
      <c r="F776" s="1"/>
      <c r="G776" s="1"/>
      <c r="H776" s="1"/>
      <c r="I776" s="1"/>
      <c r="J776" s="1"/>
    </row>
    <row r="777" spans="3:10" ht="15.75" customHeight="1" x14ac:dyDescent="0.25">
      <c r="C777" s="1"/>
      <c r="D777" s="1"/>
      <c r="E777" s="1"/>
      <c r="F777" s="1"/>
      <c r="G777" s="1"/>
      <c r="H777" s="1"/>
      <c r="I777" s="1"/>
      <c r="J777" s="1"/>
    </row>
    <row r="778" spans="3:10" ht="15.75" customHeight="1" x14ac:dyDescent="0.25">
      <c r="C778" s="1"/>
      <c r="D778" s="1"/>
      <c r="E778" s="1"/>
      <c r="F778" s="1"/>
      <c r="G778" s="1"/>
      <c r="H778" s="1"/>
      <c r="I778" s="1"/>
      <c r="J778" s="1"/>
    </row>
    <row r="779" spans="3:10" ht="15.75" customHeight="1" x14ac:dyDescent="0.25">
      <c r="C779" s="1"/>
      <c r="D779" s="1"/>
      <c r="E779" s="1"/>
      <c r="F779" s="1"/>
      <c r="G779" s="1"/>
      <c r="H779" s="1"/>
      <c r="I779" s="1"/>
      <c r="J779" s="1"/>
    </row>
    <row r="780" spans="3:10" ht="15.75" customHeight="1" x14ac:dyDescent="0.25">
      <c r="C780" s="1"/>
      <c r="D780" s="1"/>
      <c r="E780" s="1"/>
      <c r="F780" s="1"/>
      <c r="G780" s="1"/>
      <c r="H780" s="1"/>
      <c r="I780" s="1"/>
      <c r="J780" s="1"/>
    </row>
    <row r="781" spans="3:10" ht="15.75" customHeight="1" x14ac:dyDescent="0.25">
      <c r="C781" s="1"/>
      <c r="D781" s="1"/>
      <c r="E781" s="1"/>
      <c r="F781" s="1"/>
      <c r="G781" s="1"/>
      <c r="H781" s="1"/>
      <c r="I781" s="1"/>
      <c r="J781" s="1"/>
    </row>
    <row r="782" spans="3:10" ht="15.75" customHeight="1" x14ac:dyDescent="0.25">
      <c r="C782" s="1"/>
      <c r="D782" s="1"/>
      <c r="E782" s="1"/>
      <c r="F782" s="1"/>
      <c r="G782" s="1"/>
      <c r="H782" s="1"/>
      <c r="I782" s="1"/>
      <c r="J782" s="1"/>
    </row>
    <row r="783" spans="3:10" ht="15.75" customHeight="1" x14ac:dyDescent="0.25">
      <c r="C783" s="1"/>
      <c r="D783" s="1"/>
      <c r="E783" s="1"/>
      <c r="F783" s="1"/>
      <c r="G783" s="1"/>
      <c r="H783" s="1"/>
      <c r="I783" s="1"/>
      <c r="J783" s="1"/>
    </row>
    <row r="784" spans="3:10" ht="15.75" customHeight="1" x14ac:dyDescent="0.25">
      <c r="C784" s="1"/>
      <c r="D784" s="1"/>
      <c r="E784" s="1"/>
      <c r="F784" s="1"/>
      <c r="G784" s="1"/>
      <c r="H784" s="1"/>
      <c r="I784" s="1"/>
      <c r="J784" s="1"/>
    </row>
    <row r="785" spans="3:10" ht="15.75" customHeight="1" x14ac:dyDescent="0.25">
      <c r="C785" s="1"/>
      <c r="D785" s="1"/>
      <c r="E785" s="1"/>
      <c r="F785" s="1"/>
      <c r="G785" s="1"/>
      <c r="H785" s="1"/>
      <c r="I785" s="1"/>
      <c r="J785" s="1"/>
    </row>
    <row r="786" spans="3:10" ht="15.75" customHeight="1" x14ac:dyDescent="0.25">
      <c r="C786" s="1"/>
      <c r="D786" s="1"/>
      <c r="E786" s="1"/>
      <c r="F786" s="1"/>
      <c r="G786" s="1"/>
      <c r="H786" s="1"/>
      <c r="I786" s="1"/>
      <c r="J786" s="1"/>
    </row>
    <row r="787" spans="3:10" ht="15.75" customHeight="1" x14ac:dyDescent="0.25">
      <c r="C787" s="1"/>
      <c r="D787" s="1"/>
      <c r="E787" s="1"/>
      <c r="F787" s="1"/>
      <c r="G787" s="1"/>
      <c r="H787" s="1"/>
      <c r="I787" s="1"/>
      <c r="J787" s="1"/>
    </row>
    <row r="788" spans="3:10" ht="15.75" customHeight="1" x14ac:dyDescent="0.25">
      <c r="C788" s="1"/>
      <c r="D788" s="1"/>
      <c r="E788" s="1"/>
      <c r="F788" s="1"/>
      <c r="G788" s="1"/>
      <c r="H788" s="1"/>
      <c r="I788" s="1"/>
      <c r="J788" s="1"/>
    </row>
    <row r="789" spans="3:10" ht="15.75" customHeight="1" x14ac:dyDescent="0.25">
      <c r="C789" s="1"/>
      <c r="D789" s="1"/>
      <c r="E789" s="1"/>
      <c r="F789" s="1"/>
      <c r="G789" s="1"/>
      <c r="H789" s="1"/>
      <c r="I789" s="1"/>
      <c r="J789" s="1"/>
    </row>
    <row r="790" spans="3:10" ht="15.75" customHeight="1" x14ac:dyDescent="0.25">
      <c r="C790" s="1"/>
      <c r="D790" s="1"/>
      <c r="E790" s="1"/>
      <c r="F790" s="1"/>
      <c r="G790" s="1"/>
      <c r="H790" s="1"/>
      <c r="I790" s="1"/>
      <c r="J790" s="1"/>
    </row>
    <row r="791" spans="3:10" ht="15.75" customHeight="1" x14ac:dyDescent="0.25">
      <c r="C791" s="1"/>
      <c r="D791" s="1"/>
      <c r="E791" s="1"/>
      <c r="F791" s="1"/>
      <c r="G791" s="1"/>
      <c r="H791" s="1"/>
      <c r="I791" s="1"/>
      <c r="J791" s="1"/>
    </row>
    <row r="792" spans="3:10" ht="15.75" customHeight="1" x14ac:dyDescent="0.25">
      <c r="C792" s="1"/>
      <c r="D792" s="1"/>
      <c r="E792" s="1"/>
      <c r="F792" s="1"/>
      <c r="G792" s="1"/>
      <c r="H792" s="1"/>
      <c r="I792" s="1"/>
      <c r="J792" s="1"/>
    </row>
    <row r="793" spans="3:10" ht="15.75" customHeight="1" x14ac:dyDescent="0.25">
      <c r="C793" s="1"/>
      <c r="D793" s="1"/>
      <c r="E793" s="1"/>
      <c r="F793" s="1"/>
      <c r="G793" s="1"/>
      <c r="H793" s="1"/>
      <c r="I793" s="1"/>
      <c r="J793" s="1"/>
    </row>
    <row r="794" spans="3:10" ht="15.75" customHeight="1" x14ac:dyDescent="0.25">
      <c r="C794" s="1"/>
      <c r="D794" s="1"/>
      <c r="E794" s="1"/>
      <c r="F794" s="1"/>
      <c r="G794" s="1"/>
      <c r="H794" s="1"/>
      <c r="I794" s="1"/>
      <c r="J794" s="1"/>
    </row>
    <row r="795" spans="3:10" ht="15.75" customHeight="1" x14ac:dyDescent="0.25">
      <c r="C795" s="1"/>
      <c r="D795" s="1"/>
      <c r="E795" s="1"/>
      <c r="F795" s="1"/>
      <c r="G795" s="1"/>
      <c r="H795" s="1"/>
      <c r="I795" s="1"/>
      <c r="J795" s="1"/>
    </row>
    <row r="796" spans="3:10" ht="15.75" customHeight="1" x14ac:dyDescent="0.25">
      <c r="C796" s="1"/>
      <c r="D796" s="1"/>
      <c r="E796" s="1"/>
      <c r="F796" s="1"/>
      <c r="G796" s="1"/>
      <c r="H796" s="1"/>
      <c r="I796" s="1"/>
      <c r="J796" s="1"/>
    </row>
    <row r="797" spans="3:10" ht="15.75" customHeight="1" x14ac:dyDescent="0.25">
      <c r="C797" s="1"/>
      <c r="D797" s="1"/>
      <c r="E797" s="1"/>
      <c r="F797" s="1"/>
      <c r="G797" s="1"/>
      <c r="H797" s="1"/>
      <c r="I797" s="1"/>
      <c r="J797" s="1"/>
    </row>
    <row r="798" spans="3:10" ht="15.75" customHeight="1" x14ac:dyDescent="0.25">
      <c r="C798" s="1"/>
      <c r="D798" s="1"/>
      <c r="E798" s="1"/>
      <c r="F798" s="1"/>
      <c r="G798" s="1"/>
      <c r="H798" s="1"/>
      <c r="I798" s="1"/>
      <c r="J798" s="1"/>
    </row>
    <row r="799" spans="3:10" ht="15.75" customHeight="1" x14ac:dyDescent="0.25">
      <c r="C799" s="1"/>
      <c r="D799" s="1"/>
      <c r="E799" s="1"/>
      <c r="F799" s="1"/>
      <c r="G799" s="1"/>
      <c r="H799" s="1"/>
      <c r="I799" s="1"/>
      <c r="J799" s="1"/>
    </row>
    <row r="800" spans="3:10" ht="15.75" customHeight="1" x14ac:dyDescent="0.25">
      <c r="C800" s="1"/>
      <c r="D800" s="1"/>
      <c r="E800" s="1"/>
      <c r="F800" s="1"/>
      <c r="G800" s="1"/>
      <c r="H800" s="1"/>
      <c r="I800" s="1"/>
      <c r="J800" s="1"/>
    </row>
    <row r="801" spans="3:10" ht="15.75" customHeight="1" x14ac:dyDescent="0.25">
      <c r="C801" s="1"/>
      <c r="D801" s="1"/>
      <c r="E801" s="1"/>
      <c r="F801" s="1"/>
      <c r="G801" s="1"/>
      <c r="H801" s="1"/>
      <c r="I801" s="1"/>
      <c r="J801" s="1"/>
    </row>
    <row r="802" spans="3:10" ht="15.75" customHeight="1" x14ac:dyDescent="0.25">
      <c r="C802" s="1"/>
      <c r="D802" s="1"/>
      <c r="E802" s="1"/>
      <c r="F802" s="1"/>
      <c r="G802" s="1"/>
      <c r="H802" s="1"/>
      <c r="I802" s="1"/>
      <c r="J802" s="1"/>
    </row>
    <row r="803" spans="3:10" ht="15.75" customHeight="1" x14ac:dyDescent="0.25">
      <c r="C803" s="1"/>
      <c r="D803" s="1"/>
      <c r="E803" s="1"/>
      <c r="F803" s="1"/>
      <c r="G803" s="1"/>
      <c r="H803" s="1"/>
      <c r="I803" s="1"/>
      <c r="J803" s="1"/>
    </row>
    <row r="804" spans="3:10" ht="15.75" customHeight="1" x14ac:dyDescent="0.25">
      <c r="C804" s="1"/>
      <c r="D804" s="1"/>
      <c r="E804" s="1"/>
      <c r="F804" s="1"/>
      <c r="G804" s="1"/>
      <c r="H804" s="1"/>
      <c r="I804" s="1"/>
      <c r="J804" s="1"/>
    </row>
    <row r="805" spans="3:10" ht="15.75" customHeight="1" x14ac:dyDescent="0.25">
      <c r="C805" s="1"/>
      <c r="D805" s="1"/>
      <c r="E805" s="1"/>
      <c r="F805" s="1"/>
      <c r="G805" s="1"/>
      <c r="H805" s="1"/>
      <c r="I805" s="1"/>
      <c r="J805" s="1"/>
    </row>
    <row r="806" spans="3:10" ht="15.75" customHeight="1" x14ac:dyDescent="0.25">
      <c r="C806" s="1"/>
      <c r="D806" s="1"/>
      <c r="E806" s="1"/>
      <c r="F806" s="1"/>
      <c r="G806" s="1"/>
      <c r="H806" s="1"/>
      <c r="I806" s="1"/>
      <c r="J806" s="1"/>
    </row>
    <row r="807" spans="3:10" ht="15.75" customHeight="1" x14ac:dyDescent="0.25">
      <c r="C807" s="1"/>
      <c r="D807" s="1"/>
      <c r="E807" s="1"/>
      <c r="F807" s="1"/>
      <c r="G807" s="1"/>
      <c r="H807" s="1"/>
      <c r="I807" s="1"/>
      <c r="J807" s="1"/>
    </row>
    <row r="808" spans="3:10" ht="15.75" customHeight="1" x14ac:dyDescent="0.25">
      <c r="C808" s="1"/>
      <c r="D808" s="1"/>
      <c r="E808" s="1"/>
      <c r="F808" s="1"/>
      <c r="G808" s="1"/>
      <c r="H808" s="1"/>
      <c r="I808" s="1"/>
      <c r="J808" s="1"/>
    </row>
    <row r="809" spans="3:10" ht="15.75" customHeight="1" x14ac:dyDescent="0.25">
      <c r="C809" s="1"/>
      <c r="D809" s="1"/>
      <c r="E809" s="1"/>
      <c r="F809" s="1"/>
      <c r="G809" s="1"/>
      <c r="H809" s="1"/>
      <c r="I809" s="1"/>
      <c r="J809" s="1"/>
    </row>
    <row r="810" spans="3:10" ht="15.75" customHeight="1" x14ac:dyDescent="0.25">
      <c r="C810" s="1"/>
      <c r="D810" s="1"/>
      <c r="E810" s="1"/>
      <c r="F810" s="1"/>
      <c r="G810" s="1"/>
      <c r="H810" s="1"/>
      <c r="I810" s="1"/>
      <c r="J810" s="1"/>
    </row>
    <row r="811" spans="3:10" ht="15.75" customHeight="1" x14ac:dyDescent="0.25">
      <c r="C811" s="1"/>
      <c r="D811" s="1"/>
      <c r="E811" s="1"/>
      <c r="F811" s="1"/>
      <c r="G811" s="1"/>
      <c r="H811" s="1"/>
      <c r="I811" s="1"/>
      <c r="J811" s="1"/>
    </row>
    <row r="812" spans="3:10" ht="15.75" customHeight="1" x14ac:dyDescent="0.25">
      <c r="C812" s="1"/>
      <c r="D812" s="1"/>
      <c r="E812" s="1"/>
      <c r="F812" s="1"/>
      <c r="G812" s="1"/>
      <c r="H812" s="1"/>
      <c r="I812" s="1"/>
      <c r="J812" s="1"/>
    </row>
    <row r="813" spans="3:10" ht="15.75" customHeight="1" x14ac:dyDescent="0.25">
      <c r="C813" s="1"/>
      <c r="D813" s="1"/>
      <c r="E813" s="1"/>
      <c r="F813" s="1"/>
      <c r="G813" s="1"/>
      <c r="H813" s="1"/>
      <c r="I813" s="1"/>
      <c r="J813" s="1"/>
    </row>
    <row r="814" spans="3:10" ht="15.75" customHeight="1" x14ac:dyDescent="0.25">
      <c r="C814" s="1"/>
      <c r="D814" s="1"/>
      <c r="E814" s="1"/>
      <c r="F814" s="1"/>
      <c r="G814" s="1"/>
      <c r="H814" s="1"/>
      <c r="I814" s="1"/>
      <c r="J814" s="1"/>
    </row>
    <row r="815" spans="3:10" ht="15.75" customHeight="1" x14ac:dyDescent="0.25">
      <c r="C815" s="1"/>
      <c r="D815" s="1"/>
      <c r="E815" s="1"/>
      <c r="F815" s="1"/>
      <c r="G815" s="1"/>
      <c r="H815" s="1"/>
      <c r="I815" s="1"/>
      <c r="J815" s="1"/>
    </row>
    <row r="816" spans="3:10" ht="15.75" customHeight="1" x14ac:dyDescent="0.25">
      <c r="C816" s="1"/>
      <c r="D816" s="1"/>
      <c r="E816" s="1"/>
      <c r="F816" s="1"/>
      <c r="G816" s="1"/>
      <c r="H816" s="1"/>
      <c r="I816" s="1"/>
      <c r="J816" s="1"/>
    </row>
    <row r="817" spans="3:10" ht="15.75" customHeight="1" x14ac:dyDescent="0.25">
      <c r="C817" s="1"/>
      <c r="D817" s="1"/>
      <c r="E817" s="1"/>
      <c r="F817" s="1"/>
      <c r="G817" s="1"/>
      <c r="H817" s="1"/>
      <c r="I817" s="1"/>
      <c r="J817" s="1"/>
    </row>
    <row r="818" spans="3:10" ht="15.75" customHeight="1" x14ac:dyDescent="0.25">
      <c r="C818" s="1"/>
      <c r="D818" s="1"/>
      <c r="E818" s="1"/>
      <c r="F818" s="1"/>
      <c r="G818" s="1"/>
      <c r="H818" s="1"/>
      <c r="I818" s="1"/>
      <c r="J818" s="1"/>
    </row>
    <row r="819" spans="3:10" ht="15.75" customHeight="1" x14ac:dyDescent="0.25">
      <c r="C819" s="1"/>
      <c r="D819" s="1"/>
      <c r="E819" s="1"/>
      <c r="F819" s="1"/>
      <c r="G819" s="1"/>
      <c r="H819" s="1"/>
      <c r="I819" s="1"/>
      <c r="J819" s="1"/>
    </row>
    <row r="820" spans="3:10" ht="15.75" customHeight="1" x14ac:dyDescent="0.25">
      <c r="C820" s="1"/>
      <c r="D820" s="1"/>
      <c r="E820" s="1"/>
      <c r="F820" s="1"/>
      <c r="G820" s="1"/>
      <c r="H820" s="1"/>
      <c r="I820" s="1"/>
      <c r="J820" s="1"/>
    </row>
    <row r="821" spans="3:10" ht="15.75" customHeight="1" x14ac:dyDescent="0.25">
      <c r="C821" s="1"/>
      <c r="D821" s="1"/>
      <c r="E821" s="1"/>
      <c r="F821" s="1"/>
      <c r="G821" s="1"/>
      <c r="H821" s="1"/>
      <c r="I821" s="1"/>
      <c r="J821" s="1"/>
    </row>
    <row r="822" spans="3:10" ht="15.75" customHeight="1" x14ac:dyDescent="0.25">
      <c r="C822" s="1"/>
      <c r="D822" s="1"/>
      <c r="E822" s="1"/>
      <c r="F822" s="1"/>
      <c r="G822" s="1"/>
      <c r="H822" s="1"/>
      <c r="I822" s="1"/>
      <c r="J822" s="1"/>
    </row>
    <row r="823" spans="3:10" ht="15.75" customHeight="1" x14ac:dyDescent="0.25">
      <c r="C823" s="1"/>
      <c r="D823" s="1"/>
      <c r="E823" s="1"/>
      <c r="F823" s="1"/>
      <c r="G823" s="1"/>
      <c r="H823" s="1"/>
      <c r="I823" s="1"/>
      <c r="J823" s="1"/>
    </row>
    <row r="824" spans="3:10" ht="15.75" customHeight="1" x14ac:dyDescent="0.25">
      <c r="C824" s="1"/>
      <c r="D824" s="1"/>
      <c r="E824" s="1"/>
      <c r="F824" s="1"/>
      <c r="G824" s="1"/>
      <c r="H824" s="1"/>
      <c r="I824" s="1"/>
      <c r="J824" s="1"/>
    </row>
    <row r="825" spans="3:10" ht="15.75" customHeight="1" x14ac:dyDescent="0.25">
      <c r="C825" s="1"/>
      <c r="D825" s="1"/>
      <c r="E825" s="1"/>
      <c r="F825" s="1"/>
      <c r="G825" s="1"/>
      <c r="H825" s="1"/>
      <c r="I825" s="1"/>
      <c r="J825" s="1"/>
    </row>
    <row r="826" spans="3:10" ht="15.75" customHeight="1" x14ac:dyDescent="0.25">
      <c r="C826" s="1"/>
      <c r="D826" s="1"/>
      <c r="E826" s="1"/>
      <c r="F826" s="1"/>
      <c r="G826" s="1"/>
      <c r="H826" s="1"/>
      <c r="I826" s="1"/>
      <c r="J826" s="1"/>
    </row>
    <row r="827" spans="3:10" ht="15.75" customHeight="1" x14ac:dyDescent="0.25">
      <c r="C827" s="1"/>
      <c r="D827" s="1"/>
      <c r="E827" s="1"/>
      <c r="F827" s="1"/>
      <c r="G827" s="1"/>
      <c r="H827" s="1"/>
      <c r="I827" s="1"/>
      <c r="J827" s="1"/>
    </row>
    <row r="828" spans="3:10" ht="15.75" customHeight="1" x14ac:dyDescent="0.25">
      <c r="C828" s="1"/>
      <c r="D828" s="1"/>
      <c r="E828" s="1"/>
      <c r="F828" s="1"/>
      <c r="G828" s="1"/>
      <c r="H828" s="1"/>
      <c r="I828" s="1"/>
      <c r="J828" s="1"/>
    </row>
    <row r="829" spans="3:10" ht="15.75" customHeight="1" x14ac:dyDescent="0.25">
      <c r="C829" s="1"/>
      <c r="D829" s="1"/>
      <c r="E829" s="1"/>
      <c r="F829" s="1"/>
      <c r="G829" s="1"/>
      <c r="H829" s="1"/>
      <c r="I829" s="1"/>
      <c r="J829" s="1"/>
    </row>
    <row r="830" spans="3:10" ht="15.75" customHeight="1" x14ac:dyDescent="0.25">
      <c r="C830" s="1"/>
      <c r="D830" s="1"/>
      <c r="E830" s="1"/>
      <c r="F830" s="1"/>
      <c r="G830" s="1"/>
      <c r="H830" s="1"/>
      <c r="I830" s="1"/>
      <c r="J830" s="1"/>
    </row>
    <row r="831" spans="3:10" ht="15.75" customHeight="1" x14ac:dyDescent="0.25">
      <c r="C831" s="1"/>
      <c r="D831" s="1"/>
      <c r="E831" s="1"/>
      <c r="F831" s="1"/>
      <c r="G831" s="1"/>
      <c r="H831" s="1"/>
      <c r="I831" s="1"/>
      <c r="J831" s="1"/>
    </row>
    <row r="832" spans="3:10" ht="15.75" customHeight="1" x14ac:dyDescent="0.25">
      <c r="C832" s="1"/>
      <c r="D832" s="1"/>
      <c r="E832" s="1"/>
      <c r="F832" s="1"/>
      <c r="G832" s="1"/>
      <c r="H832" s="1"/>
      <c r="I832" s="1"/>
      <c r="J832" s="1"/>
    </row>
    <row r="833" spans="3:10" ht="15.75" customHeight="1" x14ac:dyDescent="0.25">
      <c r="C833" s="1"/>
      <c r="D833" s="1"/>
      <c r="E833" s="1"/>
      <c r="F833" s="1"/>
      <c r="G833" s="1"/>
      <c r="H833" s="1"/>
      <c r="I833" s="1"/>
      <c r="J833" s="1"/>
    </row>
    <row r="834" spans="3:10" ht="15.75" customHeight="1" x14ac:dyDescent="0.25">
      <c r="C834" s="1"/>
      <c r="D834" s="1"/>
      <c r="E834" s="1"/>
      <c r="F834" s="1"/>
      <c r="G834" s="1"/>
      <c r="H834" s="1"/>
      <c r="I834" s="1"/>
      <c r="J834" s="1"/>
    </row>
    <row r="835" spans="3:10" ht="15.75" customHeight="1" x14ac:dyDescent="0.25">
      <c r="C835" s="1"/>
      <c r="D835" s="1"/>
      <c r="E835" s="1"/>
      <c r="F835" s="1"/>
      <c r="G835" s="1"/>
      <c r="H835" s="1"/>
      <c r="I835" s="1"/>
      <c r="J835" s="1"/>
    </row>
    <row r="836" spans="3:10" ht="15.75" customHeight="1" x14ac:dyDescent="0.25">
      <c r="C836" s="1"/>
      <c r="D836" s="1"/>
      <c r="E836" s="1"/>
      <c r="F836" s="1"/>
      <c r="G836" s="1"/>
      <c r="H836" s="1"/>
      <c r="I836" s="1"/>
      <c r="J836" s="1"/>
    </row>
    <row r="837" spans="3:10" ht="15.75" customHeight="1" x14ac:dyDescent="0.25">
      <c r="C837" s="1"/>
      <c r="D837" s="1"/>
      <c r="E837" s="1"/>
      <c r="F837" s="1"/>
      <c r="G837" s="1"/>
      <c r="H837" s="1"/>
      <c r="I837" s="1"/>
      <c r="J837" s="1"/>
    </row>
    <row r="838" spans="3:10" ht="15.75" customHeight="1" x14ac:dyDescent="0.25">
      <c r="C838" s="1"/>
      <c r="D838" s="1"/>
      <c r="E838" s="1"/>
      <c r="F838" s="1"/>
      <c r="G838" s="1"/>
      <c r="H838" s="1"/>
      <c r="I838" s="1"/>
      <c r="J838" s="1"/>
    </row>
    <row r="839" spans="3:10" ht="15.75" customHeight="1" x14ac:dyDescent="0.25">
      <c r="C839" s="1"/>
      <c r="D839" s="1"/>
      <c r="E839" s="1"/>
      <c r="F839" s="1"/>
      <c r="G839" s="1"/>
      <c r="H839" s="1"/>
      <c r="I839" s="1"/>
      <c r="J839" s="1"/>
    </row>
    <row r="840" spans="3:10" ht="15.75" customHeight="1" x14ac:dyDescent="0.25">
      <c r="C840" s="1"/>
      <c r="D840" s="1"/>
      <c r="E840" s="1"/>
      <c r="F840" s="1"/>
      <c r="G840" s="1"/>
      <c r="H840" s="1"/>
      <c r="I840" s="1"/>
      <c r="J840" s="1"/>
    </row>
    <row r="841" spans="3:10" ht="15.75" customHeight="1" x14ac:dyDescent="0.25">
      <c r="C841" s="1"/>
      <c r="D841" s="1"/>
      <c r="E841" s="1"/>
      <c r="F841" s="1"/>
      <c r="G841" s="1"/>
      <c r="H841" s="1"/>
      <c r="I841" s="1"/>
      <c r="J841" s="1"/>
    </row>
    <row r="842" spans="3:10" ht="15.75" customHeight="1" x14ac:dyDescent="0.25">
      <c r="C842" s="1"/>
      <c r="D842" s="1"/>
      <c r="E842" s="1"/>
      <c r="F842" s="1"/>
      <c r="G842" s="1"/>
      <c r="H842" s="1"/>
      <c r="I842" s="1"/>
      <c r="J842" s="1"/>
    </row>
    <row r="843" spans="3:10" ht="15.75" customHeight="1" x14ac:dyDescent="0.25">
      <c r="C843" s="1"/>
      <c r="D843" s="1"/>
      <c r="E843" s="1"/>
      <c r="F843" s="1"/>
      <c r="G843" s="1"/>
      <c r="H843" s="1"/>
      <c r="I843" s="1"/>
      <c r="J843" s="1"/>
    </row>
    <row r="844" spans="3:10" ht="15.75" customHeight="1" x14ac:dyDescent="0.25">
      <c r="C844" s="1"/>
      <c r="D844" s="1"/>
      <c r="E844" s="1"/>
      <c r="F844" s="1"/>
      <c r="G844" s="1"/>
      <c r="H844" s="1"/>
      <c r="I844" s="1"/>
      <c r="J844" s="1"/>
    </row>
    <row r="845" spans="3:10" ht="15.75" customHeight="1" x14ac:dyDescent="0.25">
      <c r="C845" s="1"/>
      <c r="D845" s="1"/>
      <c r="E845" s="1"/>
      <c r="F845" s="1"/>
      <c r="G845" s="1"/>
      <c r="H845" s="1"/>
      <c r="I845" s="1"/>
      <c r="J845" s="1"/>
    </row>
    <row r="846" spans="3:10" ht="15.75" customHeight="1" x14ac:dyDescent="0.25">
      <c r="C846" s="1"/>
      <c r="D846" s="1"/>
      <c r="E846" s="1"/>
      <c r="F846" s="1"/>
      <c r="G846" s="1"/>
      <c r="H846" s="1"/>
      <c r="I846" s="1"/>
      <c r="J846" s="1"/>
    </row>
    <row r="847" spans="3:10" ht="15.75" customHeight="1" x14ac:dyDescent="0.25">
      <c r="C847" s="1"/>
      <c r="D847" s="1"/>
      <c r="E847" s="1"/>
      <c r="F847" s="1"/>
      <c r="G847" s="1"/>
      <c r="H847" s="1"/>
      <c r="I847" s="1"/>
      <c r="J847" s="1"/>
    </row>
    <row r="848" spans="3:10" ht="15.75" customHeight="1" x14ac:dyDescent="0.25">
      <c r="C848" s="1"/>
      <c r="D848" s="1"/>
      <c r="E848" s="1"/>
      <c r="F848" s="1"/>
      <c r="G848" s="1"/>
      <c r="H848" s="1"/>
      <c r="I848" s="1"/>
      <c r="J848" s="1"/>
    </row>
    <row r="849" spans="3:10" ht="15.75" customHeight="1" x14ac:dyDescent="0.25">
      <c r="C849" s="1"/>
      <c r="D849" s="1"/>
      <c r="E849" s="1"/>
      <c r="F849" s="1"/>
      <c r="G849" s="1"/>
      <c r="H849" s="1"/>
      <c r="I849" s="1"/>
      <c r="J849" s="1"/>
    </row>
    <row r="850" spans="3:10" ht="15.75" customHeight="1" x14ac:dyDescent="0.25">
      <c r="C850" s="1"/>
      <c r="D850" s="1"/>
      <c r="E850" s="1"/>
      <c r="F850" s="1"/>
      <c r="G850" s="1"/>
      <c r="H850" s="1"/>
      <c r="I850" s="1"/>
      <c r="J850" s="1"/>
    </row>
    <row r="851" spans="3:10" ht="15.75" customHeight="1" x14ac:dyDescent="0.25">
      <c r="C851" s="1"/>
      <c r="D851" s="1"/>
      <c r="E851" s="1"/>
      <c r="F851" s="1"/>
      <c r="G851" s="1"/>
      <c r="H851" s="1"/>
      <c r="I851" s="1"/>
      <c r="J851" s="1"/>
    </row>
    <row r="852" spans="3:10" ht="15.75" customHeight="1" x14ac:dyDescent="0.25">
      <c r="C852" s="1"/>
      <c r="D852" s="1"/>
      <c r="E852" s="1"/>
      <c r="F852" s="1"/>
      <c r="G852" s="1"/>
      <c r="H852" s="1"/>
      <c r="I852" s="1"/>
      <c r="J852" s="1"/>
    </row>
    <row r="853" spans="3:10" ht="15.75" customHeight="1" x14ac:dyDescent="0.25">
      <c r="C853" s="1"/>
      <c r="D853" s="1"/>
      <c r="E853" s="1"/>
      <c r="F853" s="1"/>
      <c r="G853" s="1"/>
      <c r="H853" s="1"/>
      <c r="I853" s="1"/>
      <c r="J853" s="1"/>
    </row>
    <row r="854" spans="3:10" ht="15.75" customHeight="1" x14ac:dyDescent="0.25">
      <c r="C854" s="1"/>
      <c r="D854" s="1"/>
      <c r="E854" s="1"/>
      <c r="F854" s="1"/>
      <c r="G854" s="1"/>
      <c r="H854" s="1"/>
      <c r="I854" s="1"/>
      <c r="J854" s="1"/>
    </row>
    <row r="855" spans="3:10" ht="15.75" customHeight="1" x14ac:dyDescent="0.25">
      <c r="C855" s="1"/>
      <c r="D855" s="1"/>
      <c r="E855" s="1"/>
      <c r="F855" s="1"/>
      <c r="G855" s="1"/>
      <c r="H855" s="1"/>
      <c r="I855" s="1"/>
      <c r="J855" s="1"/>
    </row>
    <row r="856" spans="3:10" ht="15.75" customHeight="1" x14ac:dyDescent="0.25">
      <c r="C856" s="1"/>
      <c r="D856" s="1"/>
      <c r="E856" s="1"/>
      <c r="F856" s="1"/>
      <c r="G856" s="1"/>
      <c r="H856" s="1"/>
      <c r="I856" s="1"/>
      <c r="J856" s="1"/>
    </row>
    <row r="857" spans="3:10" ht="15.75" customHeight="1" x14ac:dyDescent="0.25">
      <c r="C857" s="1"/>
      <c r="D857" s="1"/>
      <c r="E857" s="1"/>
      <c r="F857" s="1"/>
      <c r="G857" s="1"/>
      <c r="H857" s="1"/>
      <c r="I857" s="1"/>
      <c r="J857" s="1"/>
    </row>
    <row r="858" spans="3:10" ht="15.75" customHeight="1" x14ac:dyDescent="0.25">
      <c r="C858" s="1"/>
      <c r="D858" s="1"/>
      <c r="E858" s="1"/>
      <c r="F858" s="1"/>
      <c r="G858" s="1"/>
      <c r="H858" s="1"/>
      <c r="I858" s="1"/>
      <c r="J858" s="1"/>
    </row>
    <row r="859" spans="3:10" ht="15.75" customHeight="1" x14ac:dyDescent="0.25">
      <c r="C859" s="1"/>
      <c r="D859" s="1"/>
      <c r="E859" s="1"/>
      <c r="F859" s="1"/>
      <c r="G859" s="1"/>
      <c r="H859" s="1"/>
      <c r="I859" s="1"/>
      <c r="J859" s="1"/>
    </row>
    <row r="860" spans="3:10" ht="15.75" customHeight="1" x14ac:dyDescent="0.25">
      <c r="C860" s="1"/>
      <c r="D860" s="1"/>
      <c r="E860" s="1"/>
      <c r="F860" s="1"/>
      <c r="G860" s="1"/>
      <c r="H860" s="1"/>
      <c r="I860" s="1"/>
      <c r="J860" s="1"/>
    </row>
    <row r="861" spans="3:10" ht="15.75" customHeight="1" x14ac:dyDescent="0.25">
      <c r="C861" s="1"/>
      <c r="D861" s="1"/>
      <c r="E861" s="1"/>
      <c r="F861" s="1"/>
      <c r="G861" s="1"/>
      <c r="H861" s="1"/>
      <c r="I861" s="1"/>
      <c r="J861" s="1"/>
    </row>
    <row r="862" spans="3:10" ht="15.75" customHeight="1" x14ac:dyDescent="0.25">
      <c r="C862" s="1"/>
      <c r="D862" s="1"/>
      <c r="E862" s="1"/>
      <c r="F862" s="1"/>
      <c r="G862" s="1"/>
      <c r="H862" s="1"/>
      <c r="I862" s="1"/>
      <c r="J862" s="1"/>
    </row>
    <row r="863" spans="3:10" ht="15.75" customHeight="1" x14ac:dyDescent="0.25">
      <c r="C863" s="1"/>
      <c r="D863" s="1"/>
      <c r="E863" s="1"/>
      <c r="F863" s="1"/>
      <c r="G863" s="1"/>
      <c r="H863" s="1"/>
      <c r="I863" s="1"/>
      <c r="J863" s="1"/>
    </row>
    <row r="864" spans="3:10" ht="15.75" customHeight="1" x14ac:dyDescent="0.25">
      <c r="C864" s="1"/>
      <c r="D864" s="1"/>
      <c r="E864" s="1"/>
      <c r="F864" s="1"/>
      <c r="G864" s="1"/>
      <c r="H864" s="1"/>
      <c r="I864" s="1"/>
      <c r="J864" s="1"/>
    </row>
    <row r="865" spans="3:10" ht="15.75" customHeight="1" x14ac:dyDescent="0.25">
      <c r="C865" s="1"/>
      <c r="D865" s="1"/>
      <c r="E865" s="1"/>
      <c r="F865" s="1"/>
      <c r="G865" s="1"/>
      <c r="H865" s="1"/>
      <c r="I865" s="1"/>
      <c r="J865" s="1"/>
    </row>
    <row r="866" spans="3:10" ht="15.75" customHeight="1" x14ac:dyDescent="0.25">
      <c r="C866" s="1"/>
      <c r="D866" s="1"/>
      <c r="E866" s="1"/>
      <c r="F866" s="1"/>
      <c r="G866" s="1"/>
      <c r="H866" s="1"/>
      <c r="I866" s="1"/>
      <c r="J866" s="1"/>
    </row>
    <row r="867" spans="3:10" ht="15.75" customHeight="1" x14ac:dyDescent="0.25">
      <c r="C867" s="1"/>
      <c r="D867" s="1"/>
      <c r="E867" s="1"/>
      <c r="F867" s="1"/>
      <c r="G867" s="1"/>
      <c r="H867" s="1"/>
      <c r="I867" s="1"/>
      <c r="J867" s="1"/>
    </row>
    <row r="868" spans="3:10" ht="15.75" customHeight="1" x14ac:dyDescent="0.25">
      <c r="C868" s="1"/>
      <c r="D868" s="1"/>
      <c r="E868" s="1"/>
      <c r="F868" s="1"/>
      <c r="G868" s="1"/>
      <c r="H868" s="1"/>
      <c r="I868" s="1"/>
      <c r="J868" s="1"/>
    </row>
    <row r="869" spans="3:10" ht="15.75" customHeight="1" x14ac:dyDescent="0.25">
      <c r="C869" s="1"/>
      <c r="D869" s="1"/>
      <c r="E869" s="1"/>
      <c r="F869" s="1"/>
      <c r="G869" s="1"/>
      <c r="H869" s="1"/>
      <c r="I869" s="1"/>
      <c r="J869" s="1"/>
    </row>
    <row r="870" spans="3:10" ht="15.75" customHeight="1" x14ac:dyDescent="0.25">
      <c r="C870" s="1"/>
      <c r="D870" s="1"/>
      <c r="E870" s="1"/>
      <c r="F870" s="1"/>
      <c r="G870" s="1"/>
      <c r="H870" s="1"/>
      <c r="I870" s="1"/>
      <c r="J870" s="1"/>
    </row>
    <row r="871" spans="3:10" ht="15.75" customHeight="1" x14ac:dyDescent="0.25">
      <c r="C871" s="1"/>
      <c r="D871" s="1"/>
      <c r="E871" s="1"/>
      <c r="F871" s="1"/>
      <c r="G871" s="1"/>
      <c r="H871" s="1"/>
      <c r="I871" s="1"/>
      <c r="J871" s="1"/>
    </row>
    <row r="872" spans="3:10" ht="15.75" customHeight="1" x14ac:dyDescent="0.25">
      <c r="C872" s="1"/>
      <c r="D872" s="1"/>
      <c r="E872" s="1"/>
      <c r="F872" s="1"/>
      <c r="G872" s="1"/>
      <c r="H872" s="1"/>
      <c r="I872" s="1"/>
      <c r="J872" s="1"/>
    </row>
    <row r="873" spans="3:10" ht="15.75" customHeight="1" x14ac:dyDescent="0.25">
      <c r="C873" s="1"/>
      <c r="D873" s="1"/>
      <c r="E873" s="1"/>
      <c r="F873" s="1"/>
      <c r="G873" s="1"/>
      <c r="H873" s="1"/>
      <c r="I873" s="1"/>
      <c r="J873" s="1"/>
    </row>
    <row r="874" spans="3:10" ht="15.75" customHeight="1" x14ac:dyDescent="0.25">
      <c r="C874" s="1"/>
      <c r="D874" s="1"/>
      <c r="E874" s="1"/>
      <c r="F874" s="1"/>
      <c r="G874" s="1"/>
      <c r="H874" s="1"/>
      <c r="I874" s="1"/>
      <c r="J874" s="1"/>
    </row>
    <row r="875" spans="3:10" ht="15.75" customHeight="1" x14ac:dyDescent="0.25">
      <c r="C875" s="1"/>
      <c r="D875" s="1"/>
      <c r="E875" s="1"/>
      <c r="F875" s="1"/>
      <c r="G875" s="1"/>
      <c r="H875" s="1"/>
      <c r="I875" s="1"/>
      <c r="J875" s="1"/>
    </row>
    <row r="876" spans="3:10" ht="15.75" customHeight="1" x14ac:dyDescent="0.25">
      <c r="C876" s="1"/>
      <c r="D876" s="1"/>
      <c r="E876" s="1"/>
      <c r="F876" s="1"/>
      <c r="G876" s="1"/>
      <c r="H876" s="1"/>
      <c r="I876" s="1"/>
      <c r="J876" s="1"/>
    </row>
    <row r="877" spans="3:10" ht="15.75" customHeight="1" x14ac:dyDescent="0.25">
      <c r="C877" s="1"/>
      <c r="D877" s="1"/>
      <c r="E877" s="1"/>
      <c r="F877" s="1"/>
      <c r="G877" s="1"/>
      <c r="H877" s="1"/>
      <c r="I877" s="1"/>
      <c r="J877" s="1"/>
    </row>
    <row r="878" spans="3:10" ht="15.75" customHeight="1" x14ac:dyDescent="0.25">
      <c r="C878" s="1"/>
      <c r="D878" s="1"/>
      <c r="E878" s="1"/>
      <c r="F878" s="1"/>
      <c r="G878" s="1"/>
      <c r="H878" s="1"/>
      <c r="I878" s="1"/>
      <c r="J878" s="1"/>
    </row>
    <row r="879" spans="3:10" ht="15.75" customHeight="1" x14ac:dyDescent="0.25">
      <c r="C879" s="1"/>
      <c r="D879" s="1"/>
      <c r="E879" s="1"/>
      <c r="F879" s="1"/>
      <c r="G879" s="1"/>
      <c r="H879" s="1"/>
      <c r="I879" s="1"/>
      <c r="J879" s="1"/>
    </row>
    <row r="880" spans="3:10" ht="15.75" customHeight="1" x14ac:dyDescent="0.25">
      <c r="C880" s="1"/>
      <c r="D880" s="1"/>
      <c r="E880" s="1"/>
      <c r="F880" s="1"/>
      <c r="G880" s="1"/>
      <c r="H880" s="1"/>
      <c r="I880" s="1"/>
      <c r="J880" s="1"/>
    </row>
    <row r="881" spans="3:10" ht="15.75" customHeight="1" x14ac:dyDescent="0.25">
      <c r="C881" s="1"/>
      <c r="D881" s="1"/>
      <c r="E881" s="1"/>
      <c r="F881" s="1"/>
      <c r="G881" s="1"/>
      <c r="H881" s="1"/>
      <c r="I881" s="1"/>
      <c r="J881" s="1"/>
    </row>
    <row r="882" spans="3:10" ht="15.75" customHeight="1" x14ac:dyDescent="0.25">
      <c r="C882" s="1"/>
      <c r="D882" s="1"/>
      <c r="E882" s="1"/>
      <c r="F882" s="1"/>
      <c r="G882" s="1"/>
      <c r="H882" s="1"/>
      <c r="I882" s="1"/>
      <c r="J882" s="1"/>
    </row>
    <row r="883" spans="3:10" ht="15.75" customHeight="1" x14ac:dyDescent="0.25">
      <c r="C883" s="1"/>
      <c r="D883" s="1"/>
      <c r="E883" s="1"/>
      <c r="F883" s="1"/>
      <c r="G883" s="1"/>
      <c r="H883" s="1"/>
      <c r="I883" s="1"/>
      <c r="J883" s="1"/>
    </row>
    <row r="884" spans="3:10" ht="15.75" customHeight="1" x14ac:dyDescent="0.25">
      <c r="C884" s="1"/>
      <c r="D884" s="1"/>
      <c r="E884" s="1"/>
      <c r="F884" s="1"/>
      <c r="G884" s="1"/>
      <c r="H884" s="1"/>
      <c r="I884" s="1"/>
      <c r="J884" s="1"/>
    </row>
    <row r="885" spans="3:10" ht="15.75" customHeight="1" x14ac:dyDescent="0.25">
      <c r="C885" s="1"/>
      <c r="D885" s="1"/>
      <c r="E885" s="1"/>
      <c r="F885" s="1"/>
      <c r="G885" s="1"/>
      <c r="H885" s="1"/>
      <c r="I885" s="1"/>
      <c r="J885" s="1"/>
    </row>
    <row r="886" spans="3:10" ht="15.75" customHeight="1" x14ac:dyDescent="0.25">
      <c r="C886" s="1"/>
      <c r="D886" s="1"/>
      <c r="E886" s="1"/>
      <c r="F886" s="1"/>
      <c r="G886" s="1"/>
      <c r="H886" s="1"/>
      <c r="I886" s="1"/>
      <c r="J886" s="1"/>
    </row>
    <row r="887" spans="3:10" ht="15.75" customHeight="1" x14ac:dyDescent="0.25">
      <c r="C887" s="1"/>
      <c r="D887" s="1"/>
      <c r="E887" s="1"/>
      <c r="F887" s="1"/>
      <c r="G887" s="1"/>
      <c r="H887" s="1"/>
      <c r="I887" s="1"/>
      <c r="J887" s="1"/>
    </row>
    <row r="888" spans="3:10" ht="15.75" customHeight="1" x14ac:dyDescent="0.25">
      <c r="C888" s="1"/>
      <c r="D888" s="1"/>
      <c r="E888" s="1"/>
      <c r="F888" s="1"/>
      <c r="G888" s="1"/>
      <c r="H888" s="1"/>
      <c r="I888" s="1"/>
      <c r="J888" s="1"/>
    </row>
    <row r="889" spans="3:10" ht="15.75" customHeight="1" x14ac:dyDescent="0.25">
      <c r="C889" s="1"/>
      <c r="D889" s="1"/>
      <c r="E889" s="1"/>
      <c r="F889" s="1"/>
      <c r="G889" s="1"/>
      <c r="H889" s="1"/>
      <c r="I889" s="1"/>
      <c r="J889" s="1"/>
    </row>
    <row r="890" spans="3:10" ht="15.75" customHeight="1" x14ac:dyDescent="0.25">
      <c r="C890" s="1"/>
      <c r="D890" s="1"/>
      <c r="E890" s="1"/>
      <c r="F890" s="1"/>
      <c r="G890" s="1"/>
      <c r="H890" s="1"/>
      <c r="I890" s="1"/>
      <c r="J890" s="1"/>
    </row>
    <row r="891" spans="3:10" ht="15.75" customHeight="1" x14ac:dyDescent="0.25">
      <c r="C891" s="1"/>
      <c r="D891" s="1"/>
      <c r="E891" s="1"/>
      <c r="F891" s="1"/>
      <c r="G891" s="1"/>
      <c r="H891" s="1"/>
      <c r="I891" s="1"/>
      <c r="J891" s="1"/>
    </row>
    <row r="892" spans="3:10" ht="15.75" customHeight="1" x14ac:dyDescent="0.25">
      <c r="C892" s="1"/>
      <c r="D892" s="1"/>
      <c r="E892" s="1"/>
      <c r="F892" s="1"/>
      <c r="G892" s="1"/>
      <c r="H892" s="1"/>
      <c r="I892" s="1"/>
      <c r="J892" s="1"/>
    </row>
    <row r="893" spans="3:10" ht="15.75" customHeight="1" x14ac:dyDescent="0.25">
      <c r="C893" s="1"/>
      <c r="D893" s="1"/>
      <c r="E893" s="1"/>
      <c r="F893" s="1"/>
      <c r="G893" s="1"/>
      <c r="H893" s="1"/>
      <c r="I893" s="1"/>
      <c r="J893" s="1"/>
    </row>
    <row r="894" spans="3:10" ht="15.75" customHeight="1" x14ac:dyDescent="0.25">
      <c r="C894" s="1"/>
      <c r="D894" s="1"/>
      <c r="E894" s="1"/>
      <c r="F894" s="1"/>
      <c r="G894" s="1"/>
      <c r="H894" s="1"/>
      <c r="I894" s="1"/>
      <c r="J894" s="1"/>
    </row>
    <row r="895" spans="3:10" ht="15.75" customHeight="1" x14ac:dyDescent="0.25">
      <c r="C895" s="1"/>
      <c r="D895" s="1"/>
      <c r="E895" s="1"/>
      <c r="F895" s="1"/>
      <c r="G895" s="1"/>
      <c r="H895" s="1"/>
      <c r="I895" s="1"/>
      <c r="J895" s="1"/>
    </row>
    <row r="896" spans="3:10" ht="15.75" customHeight="1" x14ac:dyDescent="0.25">
      <c r="C896" s="1"/>
      <c r="D896" s="1"/>
      <c r="E896" s="1"/>
      <c r="F896" s="1"/>
      <c r="G896" s="1"/>
      <c r="H896" s="1"/>
      <c r="I896" s="1"/>
      <c r="J896" s="1"/>
    </row>
    <row r="897" spans="3:10" ht="15.75" customHeight="1" x14ac:dyDescent="0.25">
      <c r="C897" s="1"/>
      <c r="D897" s="1"/>
      <c r="E897" s="1"/>
      <c r="F897" s="1"/>
      <c r="G897" s="1"/>
      <c r="H897" s="1"/>
      <c r="I897" s="1"/>
      <c r="J897" s="1"/>
    </row>
    <row r="898" spans="3:10" ht="15.75" customHeight="1" x14ac:dyDescent="0.25">
      <c r="C898" s="1"/>
      <c r="D898" s="1"/>
      <c r="E898" s="1"/>
      <c r="F898" s="1"/>
      <c r="G898" s="1"/>
      <c r="H898" s="1"/>
      <c r="I898" s="1"/>
      <c r="J898" s="1"/>
    </row>
    <row r="899" spans="3:10" ht="15.75" customHeight="1" x14ac:dyDescent="0.25">
      <c r="C899" s="1"/>
      <c r="D899" s="1"/>
      <c r="E899" s="1"/>
      <c r="F899" s="1"/>
      <c r="G899" s="1"/>
      <c r="H899" s="1"/>
      <c r="I899" s="1"/>
      <c r="J899" s="1"/>
    </row>
    <row r="900" spans="3:10" ht="15.75" customHeight="1" x14ac:dyDescent="0.25">
      <c r="C900" s="1"/>
      <c r="D900" s="1"/>
      <c r="E900" s="1"/>
      <c r="F900" s="1"/>
      <c r="G900" s="1"/>
      <c r="H900" s="1"/>
      <c r="I900" s="1"/>
      <c r="J900" s="1"/>
    </row>
    <row r="901" spans="3:10" ht="15.75" customHeight="1" x14ac:dyDescent="0.25">
      <c r="C901" s="1"/>
      <c r="D901" s="1"/>
      <c r="E901" s="1"/>
      <c r="F901" s="1"/>
      <c r="G901" s="1"/>
      <c r="H901" s="1"/>
      <c r="I901" s="1"/>
      <c r="J901" s="1"/>
    </row>
    <row r="902" spans="3:10" ht="15.75" customHeight="1" x14ac:dyDescent="0.25">
      <c r="C902" s="1"/>
      <c r="D902" s="1"/>
      <c r="E902" s="1"/>
      <c r="F902" s="1"/>
      <c r="G902" s="1"/>
      <c r="H902" s="1"/>
      <c r="I902" s="1"/>
      <c r="J902" s="1"/>
    </row>
    <row r="903" spans="3:10" ht="15.75" customHeight="1" x14ac:dyDescent="0.25">
      <c r="C903" s="1"/>
      <c r="D903" s="1"/>
      <c r="E903" s="1"/>
      <c r="F903" s="1"/>
      <c r="G903" s="1"/>
      <c r="H903" s="1"/>
      <c r="I903" s="1"/>
      <c r="J903" s="1"/>
    </row>
    <row r="904" spans="3:10" ht="15.75" customHeight="1" x14ac:dyDescent="0.25">
      <c r="C904" s="1"/>
      <c r="D904" s="1"/>
      <c r="E904" s="1"/>
      <c r="F904" s="1"/>
      <c r="G904" s="1"/>
      <c r="H904" s="1"/>
      <c r="I904" s="1"/>
      <c r="J904" s="1"/>
    </row>
    <row r="905" spans="3:10" ht="15.75" customHeight="1" x14ac:dyDescent="0.25">
      <c r="C905" s="1"/>
      <c r="D905" s="1"/>
      <c r="E905" s="1"/>
      <c r="F905" s="1"/>
      <c r="G905" s="1"/>
      <c r="H905" s="1"/>
      <c r="I905" s="1"/>
      <c r="J905" s="1"/>
    </row>
    <row r="906" spans="3:10" ht="15.75" customHeight="1" x14ac:dyDescent="0.25">
      <c r="C906" s="1"/>
      <c r="D906" s="1"/>
      <c r="E906" s="1"/>
      <c r="F906" s="1"/>
      <c r="G906" s="1"/>
      <c r="H906" s="1"/>
      <c r="I906" s="1"/>
      <c r="J906" s="1"/>
    </row>
    <row r="907" spans="3:10" ht="15.75" customHeight="1" x14ac:dyDescent="0.25">
      <c r="C907" s="1"/>
      <c r="D907" s="1"/>
      <c r="E907" s="1"/>
      <c r="F907" s="1"/>
      <c r="G907" s="1"/>
      <c r="H907" s="1"/>
      <c r="I907" s="1"/>
      <c r="J907" s="1"/>
    </row>
    <row r="908" spans="3:10" ht="15.75" customHeight="1" x14ac:dyDescent="0.25">
      <c r="C908" s="1"/>
      <c r="D908" s="1"/>
      <c r="E908" s="1"/>
      <c r="F908" s="1"/>
      <c r="G908" s="1"/>
      <c r="H908" s="1"/>
      <c r="I908" s="1"/>
      <c r="J908" s="1"/>
    </row>
    <row r="909" spans="3:10" ht="15.75" customHeight="1" x14ac:dyDescent="0.25">
      <c r="C909" s="1"/>
      <c r="D909" s="1"/>
      <c r="E909" s="1"/>
      <c r="F909" s="1"/>
      <c r="G909" s="1"/>
      <c r="H909" s="1"/>
      <c r="I909" s="1"/>
      <c r="J909" s="1"/>
    </row>
    <row r="910" spans="3:10" ht="15.75" customHeight="1" x14ac:dyDescent="0.25">
      <c r="C910" s="1"/>
      <c r="D910" s="1"/>
      <c r="E910" s="1"/>
      <c r="F910" s="1"/>
      <c r="G910" s="1"/>
      <c r="H910" s="1"/>
      <c r="I910" s="1"/>
      <c r="J910" s="1"/>
    </row>
    <row r="911" spans="3:10" ht="15.75" customHeight="1" x14ac:dyDescent="0.25">
      <c r="C911" s="1"/>
      <c r="D911" s="1"/>
      <c r="E911" s="1"/>
      <c r="F911" s="1"/>
      <c r="G911" s="1"/>
      <c r="H911" s="1"/>
      <c r="I911" s="1"/>
      <c r="J911" s="1"/>
    </row>
    <row r="912" spans="3:10" ht="15.75" customHeight="1" x14ac:dyDescent="0.25">
      <c r="C912" s="1"/>
      <c r="D912" s="1"/>
      <c r="E912" s="1"/>
      <c r="F912" s="1"/>
      <c r="G912" s="1"/>
      <c r="H912" s="1"/>
      <c r="I912" s="1"/>
      <c r="J912" s="1"/>
    </row>
    <row r="913" spans="3:10" ht="15.75" customHeight="1" x14ac:dyDescent="0.25">
      <c r="C913" s="1"/>
      <c r="D913" s="1"/>
      <c r="E913" s="1"/>
      <c r="F913" s="1"/>
      <c r="G913" s="1"/>
      <c r="H913" s="1"/>
      <c r="I913" s="1"/>
      <c r="J913" s="1"/>
    </row>
    <row r="914" spans="3:10" ht="15.75" customHeight="1" x14ac:dyDescent="0.25">
      <c r="C914" s="1"/>
      <c r="D914" s="1"/>
      <c r="E914" s="1"/>
      <c r="F914" s="1"/>
      <c r="G914" s="1"/>
      <c r="H914" s="1"/>
      <c r="I914" s="1"/>
      <c r="J914" s="1"/>
    </row>
    <row r="915" spans="3:10" ht="15.75" customHeight="1" x14ac:dyDescent="0.25">
      <c r="C915" s="1"/>
      <c r="D915" s="1"/>
      <c r="E915" s="1"/>
      <c r="F915" s="1"/>
      <c r="G915" s="1"/>
      <c r="H915" s="1"/>
      <c r="I915" s="1"/>
      <c r="J915" s="1"/>
    </row>
    <row r="916" spans="3:10" ht="15.75" customHeight="1" x14ac:dyDescent="0.25">
      <c r="C916" s="1"/>
      <c r="D916" s="1"/>
      <c r="E916" s="1"/>
      <c r="F916" s="1"/>
      <c r="G916" s="1"/>
      <c r="H916" s="1"/>
      <c r="I916" s="1"/>
      <c r="J916" s="1"/>
    </row>
    <row r="917" spans="3:10" ht="15.75" customHeight="1" x14ac:dyDescent="0.25">
      <c r="C917" s="1"/>
      <c r="D917" s="1"/>
      <c r="E917" s="1"/>
      <c r="F917" s="1"/>
      <c r="G917" s="1"/>
      <c r="H917" s="1"/>
      <c r="I917" s="1"/>
      <c r="J917" s="1"/>
    </row>
    <row r="918" spans="3:10" ht="15.75" customHeight="1" x14ac:dyDescent="0.25">
      <c r="C918" s="1"/>
      <c r="D918" s="1"/>
      <c r="E918" s="1"/>
      <c r="F918" s="1"/>
      <c r="G918" s="1"/>
      <c r="H918" s="1"/>
      <c r="I918" s="1"/>
      <c r="J918" s="1"/>
    </row>
    <row r="919" spans="3:10" ht="15.75" customHeight="1" x14ac:dyDescent="0.25">
      <c r="C919" s="1"/>
      <c r="D919" s="1"/>
      <c r="E919" s="1"/>
      <c r="F919" s="1"/>
      <c r="G919" s="1"/>
      <c r="H919" s="1"/>
      <c r="I919" s="1"/>
      <c r="J919" s="1"/>
    </row>
    <row r="920" spans="3:10" ht="15.75" customHeight="1" x14ac:dyDescent="0.25">
      <c r="C920" s="1"/>
      <c r="D920" s="1"/>
      <c r="E920" s="1"/>
      <c r="F920" s="1"/>
      <c r="G920" s="1"/>
      <c r="H920" s="1"/>
      <c r="I920" s="1"/>
      <c r="J920" s="1"/>
    </row>
    <row r="921" spans="3:10" ht="15.75" customHeight="1" x14ac:dyDescent="0.25">
      <c r="C921" s="1"/>
      <c r="D921" s="1"/>
      <c r="E921" s="1"/>
      <c r="F921" s="1"/>
      <c r="G921" s="1"/>
      <c r="H921" s="1"/>
      <c r="I921" s="1"/>
      <c r="J921" s="1"/>
    </row>
    <row r="922" spans="3:10" ht="15.75" customHeight="1" x14ac:dyDescent="0.25">
      <c r="C922" s="1"/>
      <c r="D922" s="1"/>
      <c r="E922" s="1"/>
      <c r="F922" s="1"/>
      <c r="G922" s="1"/>
      <c r="H922" s="1"/>
      <c r="I922" s="1"/>
      <c r="J922" s="1"/>
    </row>
    <row r="923" spans="3:10" ht="15.75" customHeight="1" x14ac:dyDescent="0.25">
      <c r="C923" s="1"/>
      <c r="D923" s="1"/>
      <c r="E923" s="1"/>
      <c r="F923" s="1"/>
      <c r="G923" s="1"/>
      <c r="H923" s="1"/>
      <c r="I923" s="1"/>
      <c r="J923" s="1"/>
    </row>
    <row r="924" spans="3:10" ht="15.75" customHeight="1" x14ac:dyDescent="0.25">
      <c r="C924" s="1"/>
      <c r="D924" s="1"/>
      <c r="E924" s="1"/>
      <c r="F924" s="1"/>
      <c r="G924" s="1"/>
      <c r="H924" s="1"/>
      <c r="I924" s="1"/>
      <c r="J924" s="1"/>
    </row>
    <row r="925" spans="3:10" ht="15.75" customHeight="1" x14ac:dyDescent="0.25">
      <c r="C925" s="1"/>
      <c r="D925" s="1"/>
      <c r="E925" s="1"/>
      <c r="F925" s="1"/>
      <c r="G925" s="1"/>
      <c r="H925" s="1"/>
      <c r="I925" s="1"/>
      <c r="J925" s="1"/>
    </row>
    <row r="926" spans="3:10" ht="15.75" customHeight="1" x14ac:dyDescent="0.25">
      <c r="C926" s="1"/>
      <c r="D926" s="1"/>
      <c r="E926" s="1"/>
      <c r="F926" s="1"/>
      <c r="G926" s="1"/>
      <c r="H926" s="1"/>
      <c r="I926" s="1"/>
      <c r="J926" s="1"/>
    </row>
    <row r="927" spans="3:10" ht="15.75" customHeight="1" x14ac:dyDescent="0.25">
      <c r="C927" s="1"/>
      <c r="D927" s="1"/>
      <c r="E927" s="1"/>
      <c r="F927" s="1"/>
      <c r="G927" s="1"/>
      <c r="H927" s="1"/>
      <c r="I927" s="1"/>
      <c r="J927" s="1"/>
    </row>
    <row r="928" spans="3:10" ht="15.75" customHeight="1" x14ac:dyDescent="0.25">
      <c r="C928" s="1"/>
      <c r="D928" s="1"/>
      <c r="E928" s="1"/>
      <c r="F928" s="1"/>
      <c r="G928" s="1"/>
      <c r="H928" s="1"/>
      <c r="I928" s="1"/>
      <c r="J928" s="1"/>
    </row>
    <row r="929" spans="3:10" ht="15.75" customHeight="1" x14ac:dyDescent="0.25">
      <c r="C929" s="1"/>
      <c r="D929" s="1"/>
      <c r="E929" s="1"/>
      <c r="F929" s="1"/>
      <c r="G929" s="1"/>
      <c r="H929" s="1"/>
      <c r="I929" s="1"/>
      <c r="J929" s="1"/>
    </row>
    <row r="930" spans="3:10" ht="15.75" customHeight="1" x14ac:dyDescent="0.25">
      <c r="C930" s="1"/>
      <c r="D930" s="1"/>
      <c r="E930" s="1"/>
      <c r="F930" s="1"/>
      <c r="G930" s="1"/>
      <c r="H930" s="1"/>
      <c r="I930" s="1"/>
      <c r="J930" s="1"/>
    </row>
    <row r="931" spans="3:10" ht="15.75" customHeight="1" x14ac:dyDescent="0.25">
      <c r="C931" s="1"/>
      <c r="D931" s="1"/>
      <c r="E931" s="1"/>
      <c r="F931" s="1"/>
      <c r="G931" s="1"/>
      <c r="H931" s="1"/>
      <c r="I931" s="1"/>
      <c r="J931" s="1"/>
    </row>
    <row r="932" spans="3:10" ht="15.75" customHeight="1" x14ac:dyDescent="0.25">
      <c r="C932" s="1"/>
      <c r="D932" s="1"/>
      <c r="E932" s="1"/>
      <c r="F932" s="1"/>
      <c r="G932" s="1"/>
      <c r="H932" s="1"/>
      <c r="I932" s="1"/>
      <c r="J932" s="1"/>
    </row>
    <row r="933" spans="3:10" ht="15.75" customHeight="1" x14ac:dyDescent="0.25">
      <c r="C933" s="1"/>
      <c r="D933" s="1"/>
      <c r="E933" s="1"/>
      <c r="F933" s="1"/>
      <c r="G933" s="1"/>
      <c r="H933" s="1"/>
      <c r="I933" s="1"/>
      <c r="J933" s="1"/>
    </row>
    <row r="934" spans="3:10" ht="15.75" customHeight="1" x14ac:dyDescent="0.25">
      <c r="C934" s="1"/>
      <c r="D934" s="1"/>
      <c r="E934" s="1"/>
      <c r="F934" s="1"/>
      <c r="G934" s="1"/>
      <c r="H934" s="1"/>
      <c r="I934" s="1"/>
      <c r="J934" s="1"/>
    </row>
    <row r="935" spans="3:10" ht="15.75" customHeight="1" x14ac:dyDescent="0.25">
      <c r="C935" s="1"/>
      <c r="D935" s="1"/>
      <c r="E935" s="1"/>
      <c r="F935" s="1"/>
      <c r="G935" s="1"/>
      <c r="H935" s="1"/>
      <c r="I935" s="1"/>
      <c r="J935" s="1"/>
    </row>
    <row r="936" spans="3:10" ht="15.75" customHeight="1" x14ac:dyDescent="0.25">
      <c r="C936" s="1"/>
      <c r="D936" s="1"/>
      <c r="E936" s="1"/>
      <c r="F936" s="1"/>
      <c r="G936" s="1"/>
      <c r="H936" s="1"/>
      <c r="I936" s="1"/>
      <c r="J936" s="1"/>
    </row>
    <row r="937" spans="3:10" ht="15.75" customHeight="1" x14ac:dyDescent="0.25">
      <c r="C937" s="1"/>
      <c r="D937" s="1"/>
      <c r="E937" s="1"/>
      <c r="F937" s="1"/>
      <c r="G937" s="1"/>
      <c r="H937" s="1"/>
      <c r="I937" s="1"/>
      <c r="J937" s="1"/>
    </row>
    <row r="938" spans="3:10" ht="15.75" customHeight="1" x14ac:dyDescent="0.25">
      <c r="C938" s="1"/>
      <c r="D938" s="1"/>
      <c r="E938" s="1"/>
      <c r="F938" s="1"/>
      <c r="G938" s="1"/>
      <c r="H938" s="1"/>
      <c r="I938" s="1"/>
      <c r="J938" s="1"/>
    </row>
    <row r="939" spans="3:10" ht="15.75" customHeight="1" x14ac:dyDescent="0.25">
      <c r="C939" s="1"/>
      <c r="D939" s="1"/>
      <c r="E939" s="1"/>
      <c r="F939" s="1"/>
      <c r="G939" s="1"/>
      <c r="H939" s="1"/>
      <c r="I939" s="1"/>
      <c r="J939" s="1"/>
    </row>
    <row r="940" spans="3:10" ht="15.75" customHeight="1" x14ac:dyDescent="0.25">
      <c r="C940" s="1"/>
      <c r="D940" s="1"/>
      <c r="E940" s="1"/>
      <c r="F940" s="1"/>
      <c r="G940" s="1"/>
      <c r="H940" s="1"/>
      <c r="I940" s="1"/>
      <c r="J940" s="1"/>
    </row>
    <row r="941" spans="3:10" ht="15.75" customHeight="1" x14ac:dyDescent="0.25">
      <c r="C941" s="1"/>
      <c r="D941" s="1"/>
      <c r="E941" s="1"/>
      <c r="F941" s="1"/>
      <c r="G941" s="1"/>
      <c r="H941" s="1"/>
      <c r="I941" s="1"/>
      <c r="J941" s="1"/>
    </row>
    <row r="942" spans="3:10" ht="15.75" customHeight="1" x14ac:dyDescent="0.25">
      <c r="C942" s="1"/>
      <c r="D942" s="1"/>
      <c r="E942" s="1"/>
      <c r="F942" s="1"/>
      <c r="G942" s="1"/>
      <c r="H942" s="1"/>
      <c r="I942" s="1"/>
      <c r="J942" s="1"/>
    </row>
    <row r="943" spans="3:10" ht="15.75" customHeight="1" x14ac:dyDescent="0.25">
      <c r="C943" s="1"/>
      <c r="D943" s="1"/>
      <c r="E943" s="1"/>
      <c r="F943" s="1"/>
      <c r="G943" s="1"/>
      <c r="H943" s="1"/>
      <c r="I943" s="1"/>
      <c r="J943" s="1"/>
    </row>
    <row r="944" spans="3:10" ht="15.75" customHeight="1" x14ac:dyDescent="0.25">
      <c r="C944" s="1"/>
      <c r="D944" s="1"/>
      <c r="E944" s="1"/>
      <c r="F944" s="1"/>
      <c r="G944" s="1"/>
      <c r="H944" s="1"/>
      <c r="I944" s="1"/>
      <c r="J944" s="1"/>
    </row>
    <row r="945" spans="3:10" ht="15.75" customHeight="1" x14ac:dyDescent="0.25">
      <c r="C945" s="1"/>
      <c r="D945" s="1"/>
      <c r="E945" s="1"/>
      <c r="F945" s="1"/>
      <c r="G945" s="1"/>
      <c r="H945" s="1"/>
      <c r="I945" s="1"/>
      <c r="J945" s="1"/>
    </row>
    <row r="946" spans="3:10" ht="15.75" customHeight="1" x14ac:dyDescent="0.25">
      <c r="C946" s="1"/>
      <c r="D946" s="1"/>
      <c r="E946" s="1"/>
      <c r="F946" s="1"/>
      <c r="G946" s="1"/>
      <c r="H946" s="1"/>
      <c r="I946" s="1"/>
      <c r="J946" s="1"/>
    </row>
    <row r="947" spans="3:10" ht="15.75" customHeight="1" x14ac:dyDescent="0.25">
      <c r="C947" s="1"/>
      <c r="D947" s="1"/>
      <c r="E947" s="1"/>
      <c r="F947" s="1"/>
      <c r="G947" s="1"/>
      <c r="H947" s="1"/>
      <c r="I947" s="1"/>
      <c r="J947" s="1"/>
    </row>
    <row r="948" spans="3:10" ht="15.75" customHeight="1" x14ac:dyDescent="0.25">
      <c r="C948" s="1"/>
      <c r="D948" s="1"/>
      <c r="E948" s="1"/>
      <c r="F948" s="1"/>
      <c r="G948" s="1"/>
      <c r="H948" s="1"/>
      <c r="I948" s="1"/>
      <c r="J948" s="1"/>
    </row>
    <row r="949" spans="3:10" ht="15.75" customHeight="1" x14ac:dyDescent="0.25">
      <c r="C949" s="1"/>
      <c r="D949" s="1"/>
      <c r="E949" s="1"/>
      <c r="F949" s="1"/>
      <c r="G949" s="1"/>
      <c r="H949" s="1"/>
      <c r="I949" s="1"/>
      <c r="J949" s="1"/>
    </row>
    <row r="950" spans="3:10" ht="15.75" customHeight="1" x14ac:dyDescent="0.25">
      <c r="C950" s="1"/>
      <c r="D950" s="1"/>
      <c r="E950" s="1"/>
      <c r="F950" s="1"/>
      <c r="G950" s="1"/>
      <c r="H950" s="1"/>
      <c r="I950" s="1"/>
      <c r="J950" s="1"/>
    </row>
    <row r="951" spans="3:10" ht="15.75" customHeight="1" x14ac:dyDescent="0.25">
      <c r="C951" s="1"/>
      <c r="D951" s="1"/>
      <c r="E951" s="1"/>
      <c r="F951" s="1"/>
      <c r="G951" s="1"/>
      <c r="H951" s="1"/>
      <c r="I951" s="1"/>
      <c r="J951" s="1"/>
    </row>
    <row r="952" spans="3:10" ht="15.75" customHeight="1" x14ac:dyDescent="0.25">
      <c r="C952" s="1"/>
      <c r="D952" s="1"/>
      <c r="E952" s="1"/>
      <c r="F952" s="1"/>
      <c r="G952" s="1"/>
      <c r="H952" s="1"/>
      <c r="I952" s="1"/>
      <c r="J952" s="1"/>
    </row>
    <row r="953" spans="3:10" ht="15.75" customHeight="1" x14ac:dyDescent="0.25">
      <c r="C953" s="1"/>
      <c r="D953" s="1"/>
      <c r="E953" s="1"/>
      <c r="F953" s="1"/>
      <c r="G953" s="1"/>
      <c r="H953" s="1"/>
      <c r="I953" s="1"/>
      <c r="J953" s="1"/>
    </row>
    <row r="954" spans="3:10" ht="15.75" customHeight="1" x14ac:dyDescent="0.25">
      <c r="C954" s="1"/>
      <c r="D954" s="1"/>
      <c r="E954" s="1"/>
      <c r="F954" s="1"/>
      <c r="G954" s="1"/>
      <c r="H954" s="1"/>
      <c r="I954" s="1"/>
      <c r="J954" s="1"/>
    </row>
    <row r="955" spans="3:10" ht="15.75" customHeight="1" x14ac:dyDescent="0.25">
      <c r="C955" s="1"/>
      <c r="D955" s="1"/>
      <c r="E955" s="1"/>
      <c r="F955" s="1"/>
      <c r="G955" s="1"/>
      <c r="H955" s="1"/>
      <c r="I955" s="1"/>
      <c r="J955" s="1"/>
    </row>
    <row r="956" spans="3:10" ht="15.75" customHeight="1" x14ac:dyDescent="0.25">
      <c r="C956" s="1"/>
      <c r="D956" s="1"/>
      <c r="E956" s="1"/>
      <c r="F956" s="1"/>
      <c r="G956" s="1"/>
      <c r="H956" s="1"/>
      <c r="I956" s="1"/>
      <c r="J956" s="1"/>
    </row>
    <row r="957" spans="3:10" ht="15.75" customHeight="1" x14ac:dyDescent="0.25">
      <c r="C957" s="1"/>
      <c r="D957" s="1"/>
      <c r="E957" s="1"/>
      <c r="F957" s="1"/>
      <c r="G957" s="1"/>
      <c r="H957" s="1"/>
      <c r="I957" s="1"/>
      <c r="J957" s="1"/>
    </row>
    <row r="958" spans="3:10" ht="15.75" customHeight="1" x14ac:dyDescent="0.25">
      <c r="C958" s="1"/>
      <c r="D958" s="1"/>
      <c r="E958" s="1"/>
      <c r="F958" s="1"/>
      <c r="G958" s="1"/>
      <c r="H958" s="1"/>
      <c r="I958" s="1"/>
      <c r="J958" s="1"/>
    </row>
    <row r="959" spans="3:10" ht="15.75" customHeight="1" x14ac:dyDescent="0.25">
      <c r="C959" s="1"/>
      <c r="D959" s="1"/>
      <c r="E959" s="1"/>
      <c r="F959" s="1"/>
      <c r="G959" s="1"/>
      <c r="H959" s="1"/>
      <c r="I959" s="1"/>
      <c r="J959" s="1"/>
    </row>
    <row r="960" spans="3:10" ht="15.75" customHeight="1" x14ac:dyDescent="0.25">
      <c r="C960" s="1"/>
      <c r="D960" s="1"/>
      <c r="E960" s="1"/>
      <c r="F960" s="1"/>
      <c r="G960" s="1"/>
      <c r="H960" s="1"/>
      <c r="I960" s="1"/>
      <c r="J960" s="1"/>
    </row>
    <row r="961" spans="3:10" ht="15.75" customHeight="1" x14ac:dyDescent="0.25">
      <c r="C961" s="1"/>
      <c r="D961" s="1"/>
      <c r="E961" s="1"/>
      <c r="F961" s="1"/>
      <c r="G961" s="1"/>
      <c r="H961" s="1"/>
      <c r="I961" s="1"/>
      <c r="J961" s="1"/>
    </row>
    <row r="962" spans="3:10" ht="15.75" customHeight="1" x14ac:dyDescent="0.25">
      <c r="C962" s="1"/>
      <c r="D962" s="1"/>
      <c r="E962" s="1"/>
      <c r="F962" s="1"/>
      <c r="G962" s="1"/>
      <c r="H962" s="1"/>
      <c r="I962" s="1"/>
      <c r="J962" s="1"/>
    </row>
    <row r="963" spans="3:10" ht="15.75" customHeight="1" x14ac:dyDescent="0.25">
      <c r="C963" s="1"/>
      <c r="D963" s="1"/>
      <c r="E963" s="1"/>
      <c r="F963" s="1"/>
      <c r="G963" s="1"/>
      <c r="H963" s="1"/>
      <c r="I963" s="1"/>
      <c r="J963" s="1"/>
    </row>
    <row r="964" spans="3:10" ht="15.75" customHeight="1" x14ac:dyDescent="0.25">
      <c r="C964" s="1"/>
      <c r="D964" s="1"/>
      <c r="E964" s="1"/>
      <c r="F964" s="1"/>
      <c r="G964" s="1"/>
      <c r="H964" s="1"/>
      <c r="I964" s="1"/>
      <c r="J964" s="1"/>
    </row>
    <row r="965" spans="3:10" ht="15.75" customHeight="1" x14ac:dyDescent="0.25">
      <c r="C965" s="1"/>
      <c r="D965" s="1"/>
      <c r="E965" s="1"/>
      <c r="F965" s="1"/>
      <c r="G965" s="1"/>
      <c r="H965" s="1"/>
      <c r="I965" s="1"/>
      <c r="J965" s="1"/>
    </row>
    <row r="966" spans="3:10" ht="15.75" customHeight="1" x14ac:dyDescent="0.25">
      <c r="C966" s="1"/>
      <c r="D966" s="1"/>
      <c r="E966" s="1"/>
      <c r="F966" s="1"/>
      <c r="G966" s="1"/>
      <c r="H966" s="1"/>
      <c r="I966" s="1"/>
      <c r="J966" s="1"/>
    </row>
    <row r="967" spans="3:10" ht="15.75" customHeight="1" x14ac:dyDescent="0.25">
      <c r="C967" s="1"/>
      <c r="D967" s="1"/>
      <c r="E967" s="1"/>
      <c r="F967" s="1"/>
      <c r="G967" s="1"/>
      <c r="H967" s="1"/>
      <c r="I967" s="1"/>
      <c r="J967" s="1"/>
    </row>
    <row r="968" spans="3:10" ht="15.75" customHeight="1" x14ac:dyDescent="0.25">
      <c r="C968" s="1"/>
      <c r="D968" s="1"/>
      <c r="E968" s="1"/>
      <c r="F968" s="1"/>
      <c r="G968" s="1"/>
      <c r="H968" s="1"/>
      <c r="I968" s="1"/>
      <c r="J968" s="1"/>
    </row>
    <row r="969" spans="3:10" ht="15.75" customHeight="1" x14ac:dyDescent="0.25">
      <c r="C969" s="1"/>
      <c r="D969" s="1"/>
      <c r="E969" s="1"/>
      <c r="F969" s="1"/>
      <c r="G969" s="1"/>
      <c r="H969" s="1"/>
      <c r="I969" s="1"/>
      <c r="J969" s="1"/>
    </row>
    <row r="970" spans="3:10" ht="15.75" customHeight="1" x14ac:dyDescent="0.25">
      <c r="C970" s="1"/>
      <c r="D970" s="1"/>
      <c r="E970" s="1"/>
      <c r="F970" s="1"/>
      <c r="G970" s="1"/>
      <c r="H970" s="1"/>
      <c r="I970" s="1"/>
      <c r="J970" s="1"/>
    </row>
    <row r="971" spans="3:10" ht="15.75" customHeight="1" x14ac:dyDescent="0.25">
      <c r="C971" s="1"/>
      <c r="D971" s="1"/>
      <c r="E971" s="1"/>
      <c r="F971" s="1"/>
      <c r="G971" s="1"/>
      <c r="H971" s="1"/>
      <c r="I971" s="1"/>
      <c r="J971" s="1"/>
    </row>
    <row r="972" spans="3:10" ht="15.75" customHeight="1" x14ac:dyDescent="0.25">
      <c r="C972" s="1"/>
      <c r="D972" s="1"/>
      <c r="E972" s="1"/>
      <c r="F972" s="1"/>
      <c r="G972" s="1"/>
      <c r="H972" s="1"/>
      <c r="I972" s="1"/>
      <c r="J972" s="1"/>
    </row>
    <row r="973" spans="3:10" ht="15.75" customHeight="1" x14ac:dyDescent="0.25">
      <c r="C973" s="1"/>
      <c r="D973" s="1"/>
      <c r="E973" s="1"/>
      <c r="F973" s="1"/>
      <c r="G973" s="1"/>
      <c r="H973" s="1"/>
      <c r="I973" s="1"/>
      <c r="J973" s="1"/>
    </row>
    <row r="974" spans="3:10" ht="15.75" customHeight="1" x14ac:dyDescent="0.25">
      <c r="C974" s="1"/>
      <c r="D974" s="1"/>
      <c r="E974" s="1"/>
      <c r="F974" s="1"/>
      <c r="G974" s="1"/>
      <c r="H974" s="1"/>
      <c r="I974" s="1"/>
      <c r="J974" s="1"/>
    </row>
    <row r="975" spans="3:10" ht="15.75" customHeight="1" x14ac:dyDescent="0.25">
      <c r="C975" s="1"/>
      <c r="D975" s="1"/>
      <c r="E975" s="1"/>
      <c r="F975" s="1"/>
      <c r="G975" s="1"/>
      <c r="H975" s="1"/>
      <c r="I975" s="1"/>
      <c r="J975" s="1"/>
    </row>
    <row r="976" spans="3:10" ht="15.75" customHeight="1" x14ac:dyDescent="0.25">
      <c r="C976" s="1"/>
      <c r="D976" s="1"/>
      <c r="E976" s="1"/>
      <c r="F976" s="1"/>
      <c r="G976" s="1"/>
      <c r="H976" s="1"/>
      <c r="I976" s="1"/>
      <c r="J976" s="1"/>
    </row>
    <row r="977" spans="3:10" ht="15.75" customHeight="1" x14ac:dyDescent="0.25">
      <c r="C977" s="1"/>
      <c r="D977" s="1"/>
      <c r="E977" s="1"/>
      <c r="F977" s="1"/>
      <c r="G977" s="1"/>
      <c r="H977" s="1"/>
      <c r="I977" s="1"/>
      <c r="J977" s="1"/>
    </row>
    <row r="978" spans="3:10" ht="15.75" customHeight="1" x14ac:dyDescent="0.25">
      <c r="C978" s="1"/>
      <c r="D978" s="1"/>
      <c r="E978" s="1"/>
      <c r="F978" s="1"/>
      <c r="G978" s="1"/>
      <c r="H978" s="1"/>
      <c r="I978" s="1"/>
      <c r="J978" s="1"/>
    </row>
    <row r="979" spans="3:10" ht="15.75" customHeight="1" x14ac:dyDescent="0.25">
      <c r="C979" s="1"/>
      <c r="D979" s="1"/>
      <c r="E979" s="1"/>
      <c r="F979" s="1"/>
      <c r="G979" s="1"/>
      <c r="H979" s="1"/>
      <c r="I979" s="1"/>
      <c r="J979" s="1"/>
    </row>
    <row r="980" spans="3:10" ht="15.75" customHeight="1" x14ac:dyDescent="0.25">
      <c r="C980" s="1"/>
      <c r="D980" s="1"/>
      <c r="E980" s="1"/>
      <c r="F980" s="1"/>
      <c r="G980" s="1"/>
      <c r="H980" s="1"/>
      <c r="I980" s="1"/>
      <c r="J980" s="1"/>
    </row>
    <row r="981" spans="3:10" ht="15.75" customHeight="1" x14ac:dyDescent="0.25">
      <c r="C981" s="1"/>
      <c r="D981" s="1"/>
      <c r="E981" s="1"/>
      <c r="F981" s="1"/>
      <c r="G981" s="1"/>
      <c r="H981" s="1"/>
      <c r="I981" s="1"/>
      <c r="J981" s="1"/>
    </row>
    <row r="982" spans="3:10" ht="15.75" customHeight="1" x14ac:dyDescent="0.25">
      <c r="C982" s="1"/>
      <c r="D982" s="1"/>
      <c r="E982" s="1"/>
      <c r="F982" s="1"/>
      <c r="G982" s="1"/>
      <c r="H982" s="1"/>
      <c r="I982" s="1"/>
      <c r="J982" s="1"/>
    </row>
    <row r="983" spans="3:10" ht="15.75" customHeight="1" x14ac:dyDescent="0.25">
      <c r="C983" s="1"/>
      <c r="D983" s="1"/>
      <c r="E983" s="1"/>
      <c r="F983" s="1"/>
      <c r="G983" s="1"/>
      <c r="H983" s="1"/>
      <c r="I983" s="1"/>
      <c r="J983" s="1"/>
    </row>
    <row r="984" spans="3:10" ht="15.75" customHeight="1" x14ac:dyDescent="0.25">
      <c r="C984" s="1"/>
      <c r="D984" s="1"/>
      <c r="E984" s="1"/>
      <c r="F984" s="1"/>
      <c r="G984" s="1"/>
      <c r="H984" s="1"/>
      <c r="I984" s="1"/>
      <c r="J984" s="1"/>
    </row>
    <row r="985" spans="3:10" ht="15.75" customHeight="1" x14ac:dyDescent="0.25">
      <c r="C985" s="1"/>
      <c r="D985" s="1"/>
      <c r="E985" s="1"/>
      <c r="F985" s="1"/>
      <c r="G985" s="1"/>
      <c r="H985" s="1"/>
      <c r="I985" s="1"/>
      <c r="J985" s="1"/>
    </row>
    <row r="986" spans="3:10" ht="15.75" customHeight="1" x14ac:dyDescent="0.25">
      <c r="C986" s="1"/>
      <c r="D986" s="1"/>
      <c r="E986" s="1"/>
      <c r="F986" s="1"/>
      <c r="G986" s="1"/>
      <c r="H986" s="1"/>
      <c r="I986" s="1"/>
      <c r="J986" s="1"/>
    </row>
    <row r="987" spans="3:10" ht="15.75" customHeight="1" x14ac:dyDescent="0.25">
      <c r="C987" s="1"/>
      <c r="D987" s="1"/>
      <c r="E987" s="1"/>
      <c r="F987" s="1"/>
      <c r="G987" s="1"/>
      <c r="H987" s="1"/>
      <c r="I987" s="1"/>
      <c r="J987" s="1"/>
    </row>
    <row r="988" spans="3:10" ht="15.75" customHeight="1" x14ac:dyDescent="0.25">
      <c r="C988" s="1"/>
      <c r="D988" s="1"/>
      <c r="E988" s="1"/>
      <c r="F988" s="1"/>
      <c r="G988" s="1"/>
      <c r="H988" s="1"/>
      <c r="I988" s="1"/>
      <c r="J988" s="1"/>
    </row>
    <row r="989" spans="3:10" ht="15.75" customHeight="1" x14ac:dyDescent="0.25">
      <c r="C989" s="1"/>
      <c r="D989" s="1"/>
      <c r="E989" s="1"/>
      <c r="F989" s="1"/>
      <c r="G989" s="1"/>
      <c r="H989" s="1"/>
      <c r="I989" s="1"/>
      <c r="J989" s="1"/>
    </row>
    <row r="990" spans="3:10" ht="15.75" customHeight="1" x14ac:dyDescent="0.25">
      <c r="C990" s="1"/>
      <c r="D990" s="1"/>
      <c r="E990" s="1"/>
      <c r="F990" s="1"/>
      <c r="G990" s="1"/>
      <c r="H990" s="1"/>
      <c r="I990" s="1"/>
      <c r="J990" s="1"/>
    </row>
    <row r="991" spans="3:10" ht="15.75" customHeight="1" x14ac:dyDescent="0.25">
      <c r="C991" s="1"/>
      <c r="D991" s="1"/>
      <c r="E991" s="1"/>
      <c r="F991" s="1"/>
      <c r="G991" s="1"/>
      <c r="H991" s="1"/>
      <c r="I991" s="1"/>
      <c r="J991" s="1"/>
    </row>
    <row r="992" spans="3:10" ht="15.75" customHeight="1" x14ac:dyDescent="0.25">
      <c r="C992" s="1"/>
      <c r="D992" s="1"/>
      <c r="E992" s="1"/>
      <c r="F992" s="1"/>
      <c r="G992" s="1"/>
      <c r="H992" s="1"/>
      <c r="I992" s="1"/>
      <c r="J992" s="1"/>
    </row>
    <row r="993" spans="3:10" ht="15.75" customHeight="1" x14ac:dyDescent="0.25">
      <c r="C993" s="1"/>
      <c r="D993" s="1"/>
      <c r="E993" s="1"/>
      <c r="F993" s="1"/>
      <c r="G993" s="1"/>
      <c r="H993" s="1"/>
      <c r="I993" s="1"/>
      <c r="J993" s="1"/>
    </row>
    <row r="994" spans="3:10" ht="15.75" customHeight="1" x14ac:dyDescent="0.25">
      <c r="C994" s="1"/>
      <c r="D994" s="1"/>
      <c r="E994" s="1"/>
      <c r="F994" s="1"/>
      <c r="G994" s="1"/>
      <c r="H994" s="1"/>
      <c r="I994" s="1"/>
      <c r="J994" s="1"/>
    </row>
    <row r="995" spans="3:10" ht="15.75" customHeight="1" x14ac:dyDescent="0.25">
      <c r="C995" s="1"/>
      <c r="D995" s="1"/>
      <c r="E995" s="1"/>
      <c r="F995" s="1"/>
      <c r="G995" s="1"/>
      <c r="H995" s="1"/>
      <c r="I995" s="1"/>
      <c r="J995" s="1"/>
    </row>
    <row r="996" spans="3:10" ht="15.75" customHeight="1" x14ac:dyDescent="0.25">
      <c r="C996" s="1"/>
      <c r="D996" s="1"/>
      <c r="E996" s="1"/>
      <c r="F996" s="1"/>
      <c r="G996" s="1"/>
      <c r="H996" s="1"/>
      <c r="I996" s="1"/>
      <c r="J996" s="1"/>
    </row>
    <row r="997" spans="3:10" ht="15.75" customHeight="1" x14ac:dyDescent="0.25">
      <c r="C997" s="1"/>
      <c r="D997" s="1"/>
      <c r="E997" s="1"/>
      <c r="F997" s="1"/>
      <c r="G997" s="1"/>
      <c r="H997" s="1"/>
      <c r="I997" s="1"/>
      <c r="J997" s="1"/>
    </row>
    <row r="998" spans="3:10" ht="15.75" customHeight="1" x14ac:dyDescent="0.25">
      <c r="C998" s="1"/>
      <c r="D998" s="1"/>
      <c r="E998" s="1"/>
      <c r="F998" s="1"/>
      <c r="G998" s="1"/>
      <c r="H998" s="1"/>
      <c r="I998" s="1"/>
      <c r="J998" s="1"/>
    </row>
    <row r="999" spans="3:10" ht="15.75" customHeight="1" x14ac:dyDescent="0.25">
      <c r="C999" s="1"/>
      <c r="D999" s="1"/>
      <c r="E999" s="1"/>
      <c r="F999" s="1"/>
      <c r="G999" s="1"/>
      <c r="H999" s="1"/>
      <c r="I999" s="1"/>
      <c r="J999" s="1"/>
    </row>
    <row r="1000" spans="3:10" ht="15.75" customHeight="1" x14ac:dyDescent="0.25">
      <c r="C1000" s="1"/>
      <c r="D1000" s="1"/>
      <c r="E1000" s="1"/>
      <c r="F1000" s="1"/>
      <c r="G1000" s="1"/>
      <c r="H1000" s="1"/>
      <c r="I1000" s="1"/>
      <c r="J1000" s="1"/>
    </row>
  </sheetData>
  <pageMargins left="0.7" right="0.7" top="0.75" bottom="0.75" header="0" footer="0"/>
  <pageSetup paperSize="9" scale="9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10.28515625" customWidth="1"/>
    <col min="3" max="3" width="62.28515625" customWidth="1"/>
    <col min="4" max="4" width="3.7109375" customWidth="1"/>
    <col min="5" max="5" width="8.28515625" customWidth="1"/>
    <col min="6" max="6" width="10" customWidth="1"/>
    <col min="7" max="7" width="14.28515625" customWidth="1"/>
    <col min="8" max="8" width="8.7109375" customWidth="1"/>
    <col min="9" max="9" width="13.28515625" customWidth="1"/>
    <col min="10" max="26" width="10.7109375" customWidth="1"/>
  </cols>
  <sheetData>
    <row r="1" spans="2:9" x14ac:dyDescent="0.25">
      <c r="B1" s="1"/>
      <c r="C1" s="1"/>
      <c r="D1" s="1"/>
      <c r="E1" s="1"/>
      <c r="F1" s="1"/>
      <c r="G1" s="2">
        <f>0+0+0+0+G3+0+0+0+0</f>
        <v>1390036.62</v>
      </c>
      <c r="H1" s="1"/>
      <c r="I1" s="2">
        <f>0+0+0+0+I3+0+0+0+0</f>
        <v>0</v>
      </c>
    </row>
    <row r="2" spans="2:9" ht="33.75" x14ac:dyDescent="0.25">
      <c r="B2" s="3" t="s">
        <v>3</v>
      </c>
      <c r="C2" s="3" t="s">
        <v>4</v>
      </c>
      <c r="D2" s="3" t="s">
        <v>5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</row>
    <row r="3" spans="2:9" x14ac:dyDescent="0.25">
      <c r="B3" s="2" t="s">
        <v>14</v>
      </c>
      <c r="C3" s="2" t="s">
        <v>1946</v>
      </c>
      <c r="D3" s="1"/>
      <c r="E3" s="1"/>
      <c r="F3" s="1"/>
      <c r="G3" s="2">
        <v>1390036.62</v>
      </c>
      <c r="H3" s="1"/>
      <c r="I3" s="2">
        <v>0</v>
      </c>
    </row>
    <row r="4" spans="2:9" x14ac:dyDescent="0.25">
      <c r="B4" s="5" t="s">
        <v>16</v>
      </c>
      <c r="C4" s="5" t="s">
        <v>1947</v>
      </c>
      <c r="D4" s="1"/>
      <c r="E4" s="1"/>
      <c r="F4" s="1"/>
      <c r="G4" s="5">
        <v>239755.42</v>
      </c>
      <c r="H4" s="1"/>
      <c r="I4" s="5">
        <v>0</v>
      </c>
    </row>
    <row r="5" spans="2:9" x14ac:dyDescent="0.25">
      <c r="B5" s="6" t="s">
        <v>18</v>
      </c>
      <c r="C5" s="6" t="s">
        <v>1948</v>
      </c>
      <c r="D5" s="6" t="s">
        <v>474</v>
      </c>
      <c r="E5" s="6">
        <v>16</v>
      </c>
      <c r="F5" s="6">
        <v>543.82000000000005</v>
      </c>
      <c r="G5" s="6">
        <v>8701.1200000000008</v>
      </c>
      <c r="H5" s="6">
        <v>0</v>
      </c>
      <c r="I5" s="6">
        <v>0</v>
      </c>
    </row>
    <row r="6" spans="2:9" x14ac:dyDescent="0.25">
      <c r="B6" s="6" t="s">
        <v>21</v>
      </c>
      <c r="C6" s="6" t="s">
        <v>1949</v>
      </c>
      <c r="D6" s="6" t="s">
        <v>474</v>
      </c>
      <c r="E6" s="6">
        <v>18</v>
      </c>
      <c r="F6" s="6">
        <v>31.59</v>
      </c>
      <c r="G6" s="6">
        <v>568.62</v>
      </c>
      <c r="H6" s="6">
        <v>0</v>
      </c>
      <c r="I6" s="6">
        <v>0</v>
      </c>
    </row>
    <row r="7" spans="2:9" x14ac:dyDescent="0.25">
      <c r="B7" s="6" t="s">
        <v>23</v>
      </c>
      <c r="C7" s="6" t="s">
        <v>1950</v>
      </c>
      <c r="D7" s="6" t="s">
        <v>474</v>
      </c>
      <c r="E7" s="6">
        <v>22</v>
      </c>
      <c r="F7" s="6">
        <v>31.59</v>
      </c>
      <c r="G7" s="6">
        <v>694.98</v>
      </c>
      <c r="H7" s="6">
        <v>0</v>
      </c>
      <c r="I7" s="6">
        <v>0</v>
      </c>
    </row>
    <row r="8" spans="2:9" x14ac:dyDescent="0.25">
      <c r="B8" s="6" t="s">
        <v>26</v>
      </c>
      <c r="C8" s="6" t="s">
        <v>1951</v>
      </c>
      <c r="D8" s="6" t="s">
        <v>474</v>
      </c>
      <c r="E8" s="6">
        <v>26</v>
      </c>
      <c r="F8" s="6">
        <v>31.59</v>
      </c>
      <c r="G8" s="6">
        <v>821.34</v>
      </c>
      <c r="H8" s="6">
        <v>0</v>
      </c>
      <c r="I8" s="6">
        <v>0</v>
      </c>
    </row>
    <row r="9" spans="2:9" x14ac:dyDescent="0.25">
      <c r="B9" s="6" t="s">
        <v>28</v>
      </c>
      <c r="C9" s="6" t="s">
        <v>1952</v>
      </c>
      <c r="D9" s="6" t="s">
        <v>474</v>
      </c>
      <c r="E9" s="6">
        <v>30</v>
      </c>
      <c r="F9" s="6">
        <v>15.76</v>
      </c>
      <c r="G9" s="6">
        <v>472.8</v>
      </c>
      <c r="H9" s="6">
        <v>0</v>
      </c>
      <c r="I9" s="6">
        <v>0</v>
      </c>
    </row>
    <row r="10" spans="2:9" x14ac:dyDescent="0.25">
      <c r="B10" s="6" t="s">
        <v>1953</v>
      </c>
      <c r="C10" s="6" t="s">
        <v>1954</v>
      </c>
      <c r="D10" s="6" t="s">
        <v>474</v>
      </c>
      <c r="E10" s="6">
        <v>22</v>
      </c>
      <c r="F10" s="6">
        <v>31.59</v>
      </c>
      <c r="G10" s="6">
        <v>694.98</v>
      </c>
      <c r="H10" s="6">
        <v>0</v>
      </c>
      <c r="I10" s="6">
        <v>0</v>
      </c>
    </row>
    <row r="11" spans="2:9" x14ac:dyDescent="0.25">
      <c r="B11" s="6" t="s">
        <v>1955</v>
      </c>
      <c r="C11" s="6" t="s">
        <v>1956</v>
      </c>
      <c r="D11" s="6" t="s">
        <v>474</v>
      </c>
      <c r="E11" s="6">
        <v>52</v>
      </c>
      <c r="F11" s="6">
        <v>15.74</v>
      </c>
      <c r="G11" s="6">
        <v>818.48</v>
      </c>
      <c r="H11" s="6">
        <v>0</v>
      </c>
      <c r="I11" s="6">
        <v>0</v>
      </c>
    </row>
    <row r="12" spans="2:9" x14ac:dyDescent="0.25">
      <c r="B12" s="6" t="s">
        <v>1957</v>
      </c>
      <c r="C12" s="6" t="s">
        <v>1958</v>
      </c>
      <c r="D12" s="6" t="s">
        <v>474</v>
      </c>
      <c r="E12" s="6">
        <v>6</v>
      </c>
      <c r="F12" s="6">
        <v>15.74</v>
      </c>
      <c r="G12" s="6">
        <v>94.44</v>
      </c>
      <c r="H12" s="6">
        <v>0</v>
      </c>
      <c r="I12" s="6">
        <v>0</v>
      </c>
    </row>
    <row r="13" spans="2:9" x14ac:dyDescent="0.25">
      <c r="B13" s="6" t="s">
        <v>1959</v>
      </c>
      <c r="C13" s="6" t="s">
        <v>1960</v>
      </c>
      <c r="D13" s="6" t="s">
        <v>474</v>
      </c>
      <c r="E13" s="6">
        <v>34</v>
      </c>
      <c r="F13" s="6">
        <v>15.74</v>
      </c>
      <c r="G13" s="6">
        <v>535.16</v>
      </c>
      <c r="H13" s="6">
        <v>0</v>
      </c>
      <c r="I13" s="6">
        <v>0</v>
      </c>
    </row>
    <row r="14" spans="2:9" x14ac:dyDescent="0.25">
      <c r="B14" s="6" t="s">
        <v>1961</v>
      </c>
      <c r="C14" s="6" t="s">
        <v>1962</v>
      </c>
      <c r="D14" s="6" t="s">
        <v>474</v>
      </c>
      <c r="E14" s="6">
        <v>34</v>
      </c>
      <c r="F14" s="6">
        <v>31.59</v>
      </c>
      <c r="G14" s="6">
        <v>1074.06</v>
      </c>
      <c r="H14" s="6">
        <v>0</v>
      </c>
      <c r="I14" s="6">
        <v>0</v>
      </c>
    </row>
    <row r="15" spans="2:9" x14ac:dyDescent="0.25">
      <c r="B15" s="6" t="s">
        <v>1963</v>
      </c>
      <c r="C15" s="6" t="s">
        <v>1964</v>
      </c>
      <c r="D15" s="6" t="s">
        <v>474</v>
      </c>
      <c r="E15" s="6">
        <v>44</v>
      </c>
      <c r="F15" s="6">
        <v>102.03</v>
      </c>
      <c r="G15" s="6">
        <v>4489.32</v>
      </c>
      <c r="H15" s="6">
        <v>0</v>
      </c>
      <c r="I15" s="6">
        <v>0</v>
      </c>
    </row>
    <row r="16" spans="2:9" x14ac:dyDescent="0.25">
      <c r="B16" s="6" t="s">
        <v>1965</v>
      </c>
      <c r="C16" s="6" t="s">
        <v>1966</v>
      </c>
      <c r="D16" s="6" t="s">
        <v>474</v>
      </c>
      <c r="E16" s="6">
        <v>52</v>
      </c>
      <c r="F16" s="6">
        <v>102.03</v>
      </c>
      <c r="G16" s="6">
        <v>5305.56</v>
      </c>
      <c r="H16" s="6">
        <v>0</v>
      </c>
      <c r="I16" s="6">
        <v>0</v>
      </c>
    </row>
    <row r="17" spans="2:9" x14ac:dyDescent="0.25">
      <c r="B17" s="6" t="s">
        <v>1967</v>
      </c>
      <c r="C17" s="6" t="s">
        <v>1968</v>
      </c>
      <c r="D17" s="6" t="s">
        <v>474</v>
      </c>
      <c r="E17" s="6">
        <v>10</v>
      </c>
      <c r="F17" s="6">
        <v>10</v>
      </c>
      <c r="G17" s="6">
        <v>100</v>
      </c>
      <c r="H17" s="6">
        <v>0</v>
      </c>
      <c r="I17" s="6">
        <v>0</v>
      </c>
    </row>
    <row r="18" spans="2:9" x14ac:dyDescent="0.25">
      <c r="B18" s="6" t="s">
        <v>1969</v>
      </c>
      <c r="C18" s="6" t="s">
        <v>1970</v>
      </c>
      <c r="D18" s="6" t="s">
        <v>474</v>
      </c>
      <c r="E18" s="6">
        <v>38</v>
      </c>
      <c r="F18" s="6">
        <v>39.880000000000003</v>
      </c>
      <c r="G18" s="6">
        <v>1515.44</v>
      </c>
      <c r="H18" s="6">
        <v>0</v>
      </c>
      <c r="I18" s="6">
        <v>0</v>
      </c>
    </row>
    <row r="19" spans="2:9" x14ac:dyDescent="0.25">
      <c r="B19" s="6" t="s">
        <v>1971</v>
      </c>
      <c r="C19" s="6" t="s">
        <v>1972</v>
      </c>
      <c r="D19" s="6" t="s">
        <v>474</v>
      </c>
      <c r="E19" s="6">
        <v>10</v>
      </c>
      <c r="F19" s="6">
        <v>347</v>
      </c>
      <c r="G19" s="6">
        <v>3470</v>
      </c>
      <c r="H19" s="6">
        <v>0</v>
      </c>
      <c r="I19" s="6">
        <v>0</v>
      </c>
    </row>
    <row r="20" spans="2:9" x14ac:dyDescent="0.25">
      <c r="B20" s="6" t="s">
        <v>1973</v>
      </c>
      <c r="C20" s="6" t="s">
        <v>1974</v>
      </c>
      <c r="D20" s="6" t="s">
        <v>474</v>
      </c>
      <c r="E20" s="6">
        <v>6</v>
      </c>
      <c r="F20" s="6">
        <v>193.19</v>
      </c>
      <c r="G20" s="6">
        <v>1159.1400000000001</v>
      </c>
      <c r="H20" s="6">
        <v>0</v>
      </c>
      <c r="I20" s="6">
        <v>0</v>
      </c>
    </row>
    <row r="21" spans="2:9" ht="15.75" customHeight="1" x14ac:dyDescent="0.25">
      <c r="B21" s="6" t="s">
        <v>1975</v>
      </c>
      <c r="C21" s="6" t="s">
        <v>1976</v>
      </c>
      <c r="D21" s="6" t="s">
        <v>474</v>
      </c>
      <c r="E21" s="6">
        <v>18</v>
      </c>
      <c r="F21" s="6">
        <v>15.74</v>
      </c>
      <c r="G21" s="6">
        <v>283.32</v>
      </c>
      <c r="H21" s="6">
        <v>0</v>
      </c>
      <c r="I21" s="6">
        <v>0</v>
      </c>
    </row>
    <row r="22" spans="2:9" ht="15.75" customHeight="1" x14ac:dyDescent="0.25">
      <c r="B22" s="6" t="s">
        <v>1977</v>
      </c>
      <c r="C22" s="6" t="s">
        <v>1978</v>
      </c>
      <c r="D22" s="6" t="s">
        <v>474</v>
      </c>
      <c r="E22" s="6">
        <v>22</v>
      </c>
      <c r="F22" s="6">
        <v>15.74</v>
      </c>
      <c r="G22" s="6">
        <v>346.28</v>
      </c>
      <c r="H22" s="6">
        <v>0</v>
      </c>
      <c r="I22" s="6">
        <v>0</v>
      </c>
    </row>
    <row r="23" spans="2:9" ht="15.75" customHeight="1" x14ac:dyDescent="0.25">
      <c r="B23" s="6" t="s">
        <v>1979</v>
      </c>
      <c r="C23" s="6" t="s">
        <v>1980</v>
      </c>
      <c r="D23" s="6" t="s">
        <v>474</v>
      </c>
      <c r="E23" s="6">
        <v>24</v>
      </c>
      <c r="F23" s="6">
        <v>15.74</v>
      </c>
      <c r="G23" s="6">
        <v>377.76</v>
      </c>
      <c r="H23" s="6">
        <v>0</v>
      </c>
      <c r="I23" s="6">
        <v>0</v>
      </c>
    </row>
    <row r="24" spans="2:9" ht="15.75" customHeight="1" x14ac:dyDescent="0.25">
      <c r="B24" s="6" t="s">
        <v>1981</v>
      </c>
      <c r="C24" s="6" t="s">
        <v>1982</v>
      </c>
      <c r="D24" s="6" t="s">
        <v>474</v>
      </c>
      <c r="E24" s="6">
        <v>30</v>
      </c>
      <c r="F24" s="6">
        <v>15.74</v>
      </c>
      <c r="G24" s="6">
        <v>472.2</v>
      </c>
      <c r="H24" s="6">
        <v>0</v>
      </c>
      <c r="I24" s="6">
        <v>0</v>
      </c>
    </row>
    <row r="25" spans="2:9" ht="15.75" customHeight="1" x14ac:dyDescent="0.25">
      <c r="B25" s="6" t="s">
        <v>1983</v>
      </c>
      <c r="C25" s="6" t="s">
        <v>1984</v>
      </c>
      <c r="D25" s="6" t="s">
        <v>474</v>
      </c>
      <c r="E25" s="6">
        <v>38</v>
      </c>
      <c r="F25" s="6">
        <v>31.59</v>
      </c>
      <c r="G25" s="6">
        <v>1200.42</v>
      </c>
      <c r="H25" s="6">
        <v>0</v>
      </c>
      <c r="I25" s="6">
        <v>0</v>
      </c>
    </row>
    <row r="26" spans="2:9" ht="15.75" customHeight="1" x14ac:dyDescent="0.25">
      <c r="B26" s="6" t="s">
        <v>1985</v>
      </c>
      <c r="C26" s="6" t="s">
        <v>1986</v>
      </c>
      <c r="D26" s="6" t="s">
        <v>474</v>
      </c>
      <c r="E26" s="6">
        <v>52</v>
      </c>
      <c r="F26" s="6">
        <v>419.5</v>
      </c>
      <c r="G26" s="6">
        <v>21814</v>
      </c>
      <c r="H26" s="6">
        <v>0</v>
      </c>
      <c r="I26" s="6">
        <v>0</v>
      </c>
    </row>
    <row r="27" spans="2:9" ht="15.75" customHeight="1" x14ac:dyDescent="0.25">
      <c r="B27" s="6" t="s">
        <v>1987</v>
      </c>
      <c r="C27" s="6" t="s">
        <v>1988</v>
      </c>
      <c r="D27" s="6" t="s">
        <v>474</v>
      </c>
      <c r="E27" s="6">
        <v>6</v>
      </c>
      <c r="F27" s="6">
        <v>419.5</v>
      </c>
      <c r="G27" s="6">
        <v>2517</v>
      </c>
      <c r="H27" s="6">
        <v>0</v>
      </c>
      <c r="I27" s="6">
        <v>0</v>
      </c>
    </row>
    <row r="28" spans="2:9" ht="15.75" customHeight="1" x14ac:dyDescent="0.25">
      <c r="B28" s="6" t="s">
        <v>1989</v>
      </c>
      <c r="C28" s="6" t="s">
        <v>1990</v>
      </c>
      <c r="D28" s="6" t="s">
        <v>474</v>
      </c>
      <c r="E28" s="6">
        <v>6</v>
      </c>
      <c r="F28" s="6">
        <v>15.74</v>
      </c>
      <c r="G28" s="6">
        <v>94.44</v>
      </c>
      <c r="H28" s="6">
        <v>0</v>
      </c>
      <c r="I28" s="6">
        <v>0</v>
      </c>
    </row>
    <row r="29" spans="2:9" ht="15.75" customHeight="1" x14ac:dyDescent="0.25">
      <c r="B29" s="6" t="s">
        <v>1991</v>
      </c>
      <c r="C29" s="6" t="s">
        <v>1992</v>
      </c>
      <c r="D29" s="6" t="s">
        <v>474</v>
      </c>
      <c r="E29" s="6">
        <v>14</v>
      </c>
      <c r="F29" s="6">
        <v>543.82000000000005</v>
      </c>
      <c r="G29" s="6">
        <v>7613.48</v>
      </c>
      <c r="H29" s="6">
        <v>0</v>
      </c>
      <c r="I29" s="6">
        <v>0</v>
      </c>
    </row>
    <row r="30" spans="2:9" ht="15.75" customHeight="1" x14ac:dyDescent="0.25">
      <c r="B30" s="6" t="s">
        <v>1993</v>
      </c>
      <c r="C30" s="6" t="s">
        <v>1994</v>
      </c>
      <c r="D30" s="6" t="s">
        <v>474</v>
      </c>
      <c r="E30" s="6">
        <v>18</v>
      </c>
      <c r="F30" s="6">
        <v>15.04</v>
      </c>
      <c r="G30" s="6">
        <v>270.72000000000003</v>
      </c>
      <c r="H30" s="6">
        <v>0</v>
      </c>
      <c r="I30" s="6">
        <v>0</v>
      </c>
    </row>
    <row r="31" spans="2:9" ht="15.75" customHeight="1" x14ac:dyDescent="0.25">
      <c r="B31" s="6" t="s">
        <v>1995</v>
      </c>
      <c r="C31" s="6" t="s">
        <v>1996</v>
      </c>
      <c r="D31" s="6" t="s">
        <v>474</v>
      </c>
      <c r="E31" s="6">
        <v>8</v>
      </c>
      <c r="F31" s="6">
        <v>15.74</v>
      </c>
      <c r="G31" s="6">
        <v>125.92</v>
      </c>
      <c r="H31" s="6">
        <v>0</v>
      </c>
      <c r="I31" s="6">
        <v>0</v>
      </c>
    </row>
    <row r="32" spans="2:9" ht="15.75" customHeight="1" x14ac:dyDescent="0.25">
      <c r="B32" s="6" t="s">
        <v>1997</v>
      </c>
      <c r="C32" s="6" t="s">
        <v>1998</v>
      </c>
      <c r="D32" s="6" t="s">
        <v>474</v>
      </c>
      <c r="E32" s="6">
        <v>8</v>
      </c>
      <c r="F32" s="6">
        <v>15.74</v>
      </c>
      <c r="G32" s="6">
        <v>125.92</v>
      </c>
      <c r="H32" s="6">
        <v>0</v>
      </c>
      <c r="I32" s="6">
        <v>0</v>
      </c>
    </row>
    <row r="33" spans="2:9" ht="15.75" customHeight="1" x14ac:dyDescent="0.25">
      <c r="B33" s="6" t="s">
        <v>1999</v>
      </c>
      <c r="C33" s="6" t="s">
        <v>2000</v>
      </c>
      <c r="D33" s="6" t="s">
        <v>474</v>
      </c>
      <c r="E33" s="6">
        <v>8</v>
      </c>
      <c r="F33" s="6">
        <v>15.74</v>
      </c>
      <c r="G33" s="6">
        <v>125.92</v>
      </c>
      <c r="H33" s="6">
        <v>0</v>
      </c>
      <c r="I33" s="6">
        <v>0</v>
      </c>
    </row>
    <row r="34" spans="2:9" ht="15.75" customHeight="1" x14ac:dyDescent="0.25">
      <c r="B34" s="6" t="s">
        <v>2001</v>
      </c>
      <c r="C34" s="6" t="s">
        <v>2002</v>
      </c>
      <c r="D34" s="6" t="s">
        <v>474</v>
      </c>
      <c r="E34" s="6">
        <v>8</v>
      </c>
      <c r="F34" s="6">
        <v>15.74</v>
      </c>
      <c r="G34" s="6">
        <v>125.92</v>
      </c>
      <c r="H34" s="6">
        <v>0</v>
      </c>
      <c r="I34" s="6">
        <v>0</v>
      </c>
    </row>
    <row r="35" spans="2:9" ht="15.75" customHeight="1" x14ac:dyDescent="0.25">
      <c r="B35" s="6" t="s">
        <v>2003</v>
      </c>
      <c r="C35" s="6" t="s">
        <v>2004</v>
      </c>
      <c r="D35" s="6" t="s">
        <v>474</v>
      </c>
      <c r="E35" s="6">
        <v>34</v>
      </c>
      <c r="F35" s="6">
        <v>31.59</v>
      </c>
      <c r="G35" s="6">
        <v>1074.06</v>
      </c>
      <c r="H35" s="6">
        <v>0</v>
      </c>
      <c r="I35" s="6">
        <v>0</v>
      </c>
    </row>
    <row r="36" spans="2:9" ht="15.75" customHeight="1" x14ac:dyDescent="0.25">
      <c r="B36" s="6" t="s">
        <v>2005</v>
      </c>
      <c r="C36" s="6" t="s">
        <v>2006</v>
      </c>
      <c r="D36" s="6" t="s">
        <v>474</v>
      </c>
      <c r="E36" s="6">
        <v>10</v>
      </c>
      <c r="F36" s="6">
        <v>15.74</v>
      </c>
      <c r="G36" s="6">
        <v>157.4</v>
      </c>
      <c r="H36" s="6">
        <v>0</v>
      </c>
      <c r="I36" s="6">
        <v>0</v>
      </c>
    </row>
    <row r="37" spans="2:9" ht="15.75" customHeight="1" x14ac:dyDescent="0.25">
      <c r="B37" s="6" t="s">
        <v>2007</v>
      </c>
      <c r="C37" s="6" t="s">
        <v>2008</v>
      </c>
      <c r="D37" s="6" t="s">
        <v>474</v>
      </c>
      <c r="E37" s="6">
        <v>8</v>
      </c>
      <c r="F37" s="6">
        <v>53.05</v>
      </c>
      <c r="G37" s="6">
        <v>424.4</v>
      </c>
      <c r="H37" s="6">
        <v>0</v>
      </c>
      <c r="I37" s="6">
        <v>0</v>
      </c>
    </row>
    <row r="38" spans="2:9" ht="15.75" customHeight="1" x14ac:dyDescent="0.25">
      <c r="B38" s="6" t="s">
        <v>2009</v>
      </c>
      <c r="C38" s="6" t="s">
        <v>2010</v>
      </c>
      <c r="D38" s="6" t="s">
        <v>474</v>
      </c>
      <c r="E38" s="6">
        <v>14</v>
      </c>
      <c r="F38" s="6">
        <v>15.74</v>
      </c>
      <c r="G38" s="6">
        <v>220.36</v>
      </c>
      <c r="H38" s="6">
        <v>0</v>
      </c>
      <c r="I38" s="6">
        <v>0</v>
      </c>
    </row>
    <row r="39" spans="2:9" ht="15.75" customHeight="1" x14ac:dyDescent="0.25">
      <c r="B39" s="6" t="s">
        <v>2011</v>
      </c>
      <c r="C39" s="6" t="s">
        <v>2012</v>
      </c>
      <c r="D39" s="6" t="s">
        <v>474</v>
      </c>
      <c r="E39" s="6">
        <v>20</v>
      </c>
      <c r="F39" s="6">
        <v>15.74</v>
      </c>
      <c r="G39" s="6">
        <v>314.8</v>
      </c>
      <c r="H39" s="6">
        <v>0</v>
      </c>
      <c r="I39" s="6">
        <v>0</v>
      </c>
    </row>
    <row r="40" spans="2:9" ht="15.75" customHeight="1" x14ac:dyDescent="0.25">
      <c r="B40" s="6" t="s">
        <v>2013</v>
      </c>
      <c r="C40" s="6" t="s">
        <v>2014</v>
      </c>
      <c r="D40" s="6" t="s">
        <v>474</v>
      </c>
      <c r="E40" s="6">
        <v>10</v>
      </c>
      <c r="F40" s="6">
        <v>15.74</v>
      </c>
      <c r="G40" s="6">
        <v>157.4</v>
      </c>
      <c r="H40" s="6">
        <v>0</v>
      </c>
      <c r="I40" s="6">
        <v>0</v>
      </c>
    </row>
    <row r="41" spans="2:9" ht="15.75" customHeight="1" x14ac:dyDescent="0.25">
      <c r="B41" s="6" t="s">
        <v>2015</v>
      </c>
      <c r="C41" s="6" t="s">
        <v>2016</v>
      </c>
      <c r="D41" s="6" t="s">
        <v>474</v>
      </c>
      <c r="E41" s="6">
        <v>14</v>
      </c>
      <c r="F41" s="6">
        <v>31.59</v>
      </c>
      <c r="G41" s="6">
        <v>442.26</v>
      </c>
      <c r="H41" s="6">
        <v>0</v>
      </c>
      <c r="I41" s="6">
        <v>0</v>
      </c>
    </row>
    <row r="42" spans="2:9" ht="15.75" customHeight="1" x14ac:dyDescent="0.25">
      <c r="B42" s="6" t="s">
        <v>2017</v>
      </c>
      <c r="C42" s="6" t="s">
        <v>2018</v>
      </c>
      <c r="D42" s="6" t="s">
        <v>474</v>
      </c>
      <c r="E42" s="6">
        <v>12</v>
      </c>
      <c r="F42" s="6">
        <v>31.59</v>
      </c>
      <c r="G42" s="6">
        <v>379.08</v>
      </c>
      <c r="H42" s="6">
        <v>0</v>
      </c>
      <c r="I42" s="6">
        <v>0</v>
      </c>
    </row>
    <row r="43" spans="2:9" ht="15.75" customHeight="1" x14ac:dyDescent="0.25">
      <c r="B43" s="6" t="s">
        <v>2019</v>
      </c>
      <c r="C43" s="6" t="s">
        <v>2020</v>
      </c>
      <c r="D43" s="6" t="s">
        <v>474</v>
      </c>
      <c r="E43" s="6">
        <v>12</v>
      </c>
      <c r="F43" s="6">
        <v>31.59</v>
      </c>
      <c r="G43" s="6">
        <v>379.08</v>
      </c>
      <c r="H43" s="6">
        <v>0</v>
      </c>
      <c r="I43" s="6">
        <v>0</v>
      </c>
    </row>
    <row r="44" spans="2:9" ht="15.75" customHeight="1" x14ac:dyDescent="0.25">
      <c r="B44" s="6" t="s">
        <v>2021</v>
      </c>
      <c r="C44" s="6" t="s">
        <v>2022</v>
      </c>
      <c r="D44" s="6" t="s">
        <v>474</v>
      </c>
      <c r="E44" s="6">
        <v>14</v>
      </c>
      <c r="F44" s="6">
        <v>15.74</v>
      </c>
      <c r="G44" s="6">
        <v>220.36</v>
      </c>
      <c r="H44" s="6">
        <v>0</v>
      </c>
      <c r="I44" s="6">
        <v>0</v>
      </c>
    </row>
    <row r="45" spans="2:9" ht="15.75" customHeight="1" x14ac:dyDescent="0.25">
      <c r="B45" s="6" t="s">
        <v>2023</v>
      </c>
      <c r="C45" s="6" t="s">
        <v>2024</v>
      </c>
      <c r="D45" s="6" t="s">
        <v>474</v>
      </c>
      <c r="E45" s="6">
        <v>14</v>
      </c>
      <c r="F45" s="6">
        <v>15.74</v>
      </c>
      <c r="G45" s="6">
        <v>220.36</v>
      </c>
      <c r="H45" s="6">
        <v>0</v>
      </c>
      <c r="I45" s="6">
        <v>0</v>
      </c>
    </row>
    <row r="46" spans="2:9" ht="15.75" customHeight="1" x14ac:dyDescent="0.25">
      <c r="B46" s="6" t="s">
        <v>2025</v>
      </c>
      <c r="C46" s="6" t="s">
        <v>2026</v>
      </c>
      <c r="D46" s="6" t="s">
        <v>474</v>
      </c>
      <c r="E46" s="6">
        <v>172</v>
      </c>
      <c r="F46" s="6">
        <v>31.59</v>
      </c>
      <c r="G46" s="6">
        <v>5433.48</v>
      </c>
      <c r="H46" s="6">
        <v>0</v>
      </c>
      <c r="I46" s="6">
        <v>0</v>
      </c>
    </row>
    <row r="47" spans="2:9" ht="15.75" customHeight="1" x14ac:dyDescent="0.25">
      <c r="B47" s="6" t="s">
        <v>2027</v>
      </c>
      <c r="C47" s="6" t="s">
        <v>2028</v>
      </c>
      <c r="D47" s="6" t="s">
        <v>474</v>
      </c>
      <c r="E47" s="6">
        <v>3056</v>
      </c>
      <c r="F47" s="6">
        <v>47.45</v>
      </c>
      <c r="G47" s="6">
        <v>145007.20000000001</v>
      </c>
      <c r="H47" s="6">
        <v>0</v>
      </c>
      <c r="I47" s="6">
        <v>0</v>
      </c>
    </row>
    <row r="48" spans="2:9" ht="15.75" customHeight="1" x14ac:dyDescent="0.25">
      <c r="B48" s="6" t="s">
        <v>2029</v>
      </c>
      <c r="C48" s="6" t="s">
        <v>2030</v>
      </c>
      <c r="D48" s="6" t="s">
        <v>474</v>
      </c>
      <c r="E48" s="6">
        <v>286</v>
      </c>
      <c r="F48" s="6">
        <v>67.540000000000006</v>
      </c>
      <c r="G48" s="6">
        <v>19316.439999999999</v>
      </c>
      <c r="H48" s="6">
        <v>0</v>
      </c>
      <c r="I48" s="6">
        <v>0</v>
      </c>
    </row>
    <row r="49" spans="2:9" ht="15.75" customHeight="1" x14ac:dyDescent="0.25">
      <c r="B49" s="5" t="s">
        <v>30</v>
      </c>
      <c r="C49" s="5" t="s">
        <v>2031</v>
      </c>
      <c r="D49" s="1"/>
      <c r="E49" s="1"/>
      <c r="F49" s="1"/>
      <c r="G49" s="5">
        <v>49172.86</v>
      </c>
      <c r="H49" s="1"/>
      <c r="I49" s="5">
        <v>0</v>
      </c>
    </row>
    <row r="50" spans="2:9" ht="15.75" customHeight="1" x14ac:dyDescent="0.25">
      <c r="B50" s="6" t="s">
        <v>32</v>
      </c>
      <c r="C50" s="6" t="s">
        <v>2032</v>
      </c>
      <c r="D50" s="6" t="s">
        <v>474</v>
      </c>
      <c r="E50" s="6">
        <v>128</v>
      </c>
      <c r="F50" s="6">
        <v>9.64</v>
      </c>
      <c r="G50" s="6">
        <v>1233.92</v>
      </c>
      <c r="H50" s="6">
        <v>0</v>
      </c>
      <c r="I50" s="6">
        <v>0</v>
      </c>
    </row>
    <row r="51" spans="2:9" ht="15.75" customHeight="1" x14ac:dyDescent="0.25">
      <c r="B51" s="6" t="s">
        <v>35</v>
      </c>
      <c r="C51" s="6" t="s">
        <v>2033</v>
      </c>
      <c r="D51" s="6" t="s">
        <v>474</v>
      </c>
      <c r="E51" s="6">
        <v>437</v>
      </c>
      <c r="F51" s="6">
        <v>12.54</v>
      </c>
      <c r="G51" s="6">
        <v>5479.98</v>
      </c>
      <c r="H51" s="6">
        <v>0</v>
      </c>
      <c r="I51" s="6">
        <v>0</v>
      </c>
    </row>
    <row r="52" spans="2:9" ht="15.75" customHeight="1" x14ac:dyDescent="0.25">
      <c r="B52" s="6" t="s">
        <v>37</v>
      </c>
      <c r="C52" s="6" t="s">
        <v>2034</v>
      </c>
      <c r="D52" s="6" t="s">
        <v>474</v>
      </c>
      <c r="E52" s="6">
        <v>1450</v>
      </c>
      <c r="F52" s="6">
        <v>14.71</v>
      </c>
      <c r="G52" s="6">
        <v>21329.5</v>
      </c>
      <c r="H52" s="6">
        <v>0</v>
      </c>
      <c r="I52" s="6">
        <v>0</v>
      </c>
    </row>
    <row r="53" spans="2:9" ht="15.75" customHeight="1" x14ac:dyDescent="0.25">
      <c r="B53" s="6" t="s">
        <v>39</v>
      </c>
      <c r="C53" s="6" t="s">
        <v>2035</v>
      </c>
      <c r="D53" s="6" t="s">
        <v>474</v>
      </c>
      <c r="E53" s="6">
        <v>328</v>
      </c>
      <c r="F53" s="6">
        <v>16.89</v>
      </c>
      <c r="G53" s="6">
        <v>5539.92</v>
      </c>
      <c r="H53" s="6">
        <v>0</v>
      </c>
      <c r="I53" s="6">
        <v>0</v>
      </c>
    </row>
    <row r="54" spans="2:9" ht="15.75" customHeight="1" x14ac:dyDescent="0.25">
      <c r="B54" s="6" t="s">
        <v>41</v>
      </c>
      <c r="C54" s="6" t="s">
        <v>2036</v>
      </c>
      <c r="D54" s="6" t="s">
        <v>474</v>
      </c>
      <c r="E54" s="6">
        <v>116</v>
      </c>
      <c r="F54" s="6">
        <v>29</v>
      </c>
      <c r="G54" s="6">
        <v>3364</v>
      </c>
      <c r="H54" s="6">
        <v>0</v>
      </c>
      <c r="I54" s="6">
        <v>0</v>
      </c>
    </row>
    <row r="55" spans="2:9" ht="15.75" customHeight="1" x14ac:dyDescent="0.25">
      <c r="B55" s="6" t="s">
        <v>43</v>
      </c>
      <c r="C55" s="6" t="s">
        <v>2037</v>
      </c>
      <c r="D55" s="6" t="s">
        <v>474</v>
      </c>
      <c r="E55" s="6">
        <v>30</v>
      </c>
      <c r="F55" s="6">
        <v>39.880000000000003</v>
      </c>
      <c r="G55" s="6">
        <v>1196.4000000000001</v>
      </c>
      <c r="H55" s="6">
        <v>0</v>
      </c>
      <c r="I55" s="6">
        <v>0</v>
      </c>
    </row>
    <row r="56" spans="2:9" ht="15.75" customHeight="1" x14ac:dyDescent="0.25">
      <c r="B56" s="6" t="s">
        <v>45</v>
      </c>
      <c r="C56" s="6" t="s">
        <v>2038</v>
      </c>
      <c r="D56" s="6" t="s">
        <v>474</v>
      </c>
      <c r="E56" s="6">
        <v>160</v>
      </c>
      <c r="F56" s="6">
        <v>46.09</v>
      </c>
      <c r="G56" s="6">
        <v>7374.4</v>
      </c>
      <c r="H56" s="6">
        <v>0</v>
      </c>
      <c r="I56" s="6">
        <v>0</v>
      </c>
    </row>
    <row r="57" spans="2:9" ht="15.75" customHeight="1" x14ac:dyDescent="0.25">
      <c r="B57" s="6" t="s">
        <v>47</v>
      </c>
      <c r="C57" s="6" t="s">
        <v>2039</v>
      </c>
      <c r="D57" s="6" t="s">
        <v>474</v>
      </c>
      <c r="E57" s="6">
        <v>23</v>
      </c>
      <c r="F57" s="6">
        <v>24.34</v>
      </c>
      <c r="G57" s="6">
        <v>559.82000000000005</v>
      </c>
      <c r="H57" s="6">
        <v>0</v>
      </c>
      <c r="I57" s="6">
        <v>0</v>
      </c>
    </row>
    <row r="58" spans="2:9" ht="15.75" customHeight="1" x14ac:dyDescent="0.25">
      <c r="B58" s="6" t="s">
        <v>49</v>
      </c>
      <c r="C58" s="6" t="s">
        <v>2040</v>
      </c>
      <c r="D58" s="6" t="s">
        <v>474</v>
      </c>
      <c r="E58" s="6">
        <v>36</v>
      </c>
      <c r="F58" s="6">
        <v>85.97</v>
      </c>
      <c r="G58" s="6">
        <v>3094.92</v>
      </c>
      <c r="H58" s="6">
        <v>0</v>
      </c>
      <c r="I58" s="6">
        <v>0</v>
      </c>
    </row>
    <row r="59" spans="2:9" ht="15.75" customHeight="1" x14ac:dyDescent="0.25">
      <c r="B59" s="5" t="s">
        <v>73</v>
      </c>
      <c r="C59" s="5" t="s">
        <v>2041</v>
      </c>
      <c r="D59" s="1"/>
      <c r="E59" s="1"/>
      <c r="F59" s="1"/>
      <c r="G59" s="5">
        <v>2874.4</v>
      </c>
      <c r="H59" s="1"/>
      <c r="I59" s="5">
        <v>0</v>
      </c>
    </row>
    <row r="60" spans="2:9" ht="15.75" customHeight="1" x14ac:dyDescent="0.25">
      <c r="B60" s="6" t="s">
        <v>75</v>
      </c>
      <c r="C60" s="6" t="s">
        <v>2042</v>
      </c>
      <c r="D60" s="6" t="s">
        <v>2043</v>
      </c>
      <c r="E60" s="6">
        <v>4</v>
      </c>
      <c r="F60" s="6">
        <v>59.56</v>
      </c>
      <c r="G60" s="6">
        <v>238.24</v>
      </c>
      <c r="H60" s="6">
        <v>0</v>
      </c>
      <c r="I60" s="6">
        <v>0</v>
      </c>
    </row>
    <row r="61" spans="2:9" ht="15.75" customHeight="1" x14ac:dyDescent="0.25">
      <c r="B61" s="6" t="s">
        <v>78</v>
      </c>
      <c r="C61" s="6" t="s">
        <v>2044</v>
      </c>
      <c r="D61" s="6" t="s">
        <v>2043</v>
      </c>
      <c r="E61" s="6">
        <v>2</v>
      </c>
      <c r="F61" s="6">
        <v>129.47999999999999</v>
      </c>
      <c r="G61" s="6">
        <v>258.95999999999998</v>
      </c>
      <c r="H61" s="6">
        <v>0</v>
      </c>
      <c r="I61" s="6">
        <v>0</v>
      </c>
    </row>
    <row r="62" spans="2:9" ht="15.75" customHeight="1" x14ac:dyDescent="0.25">
      <c r="B62" s="6" t="s">
        <v>527</v>
      </c>
      <c r="C62" s="6" t="s">
        <v>2045</v>
      </c>
      <c r="D62" s="6" t="s">
        <v>2043</v>
      </c>
      <c r="E62" s="6">
        <v>2</v>
      </c>
      <c r="F62" s="6">
        <v>258.95</v>
      </c>
      <c r="G62" s="6">
        <v>517.9</v>
      </c>
      <c r="H62" s="6">
        <v>0</v>
      </c>
      <c r="I62" s="6">
        <v>0</v>
      </c>
    </row>
    <row r="63" spans="2:9" ht="15.75" customHeight="1" x14ac:dyDescent="0.25">
      <c r="B63" s="6" t="s">
        <v>529</v>
      </c>
      <c r="C63" s="6" t="s">
        <v>2046</v>
      </c>
      <c r="D63" s="6" t="s">
        <v>2043</v>
      </c>
      <c r="E63" s="6">
        <v>2</v>
      </c>
      <c r="F63" s="6">
        <v>290.02999999999997</v>
      </c>
      <c r="G63" s="6">
        <v>580.05999999999995</v>
      </c>
      <c r="H63" s="6">
        <v>0</v>
      </c>
      <c r="I63" s="6">
        <v>0</v>
      </c>
    </row>
    <row r="64" spans="2:9" ht="15.75" customHeight="1" x14ac:dyDescent="0.25">
      <c r="B64" s="6" t="s">
        <v>531</v>
      </c>
      <c r="C64" s="6" t="s">
        <v>2047</v>
      </c>
      <c r="D64" s="6" t="s">
        <v>2043</v>
      </c>
      <c r="E64" s="6">
        <v>1</v>
      </c>
      <c r="F64" s="6">
        <v>362.54</v>
      </c>
      <c r="G64" s="6">
        <v>362.54</v>
      </c>
      <c r="H64" s="6">
        <v>0</v>
      </c>
      <c r="I64" s="6">
        <v>0</v>
      </c>
    </row>
    <row r="65" spans="2:9" ht="15.75" customHeight="1" x14ac:dyDescent="0.25">
      <c r="B65" s="6" t="s">
        <v>533</v>
      </c>
      <c r="C65" s="6" t="s">
        <v>2048</v>
      </c>
      <c r="D65" s="6" t="s">
        <v>2043</v>
      </c>
      <c r="E65" s="6">
        <v>1</v>
      </c>
      <c r="F65" s="6">
        <v>388.43</v>
      </c>
      <c r="G65" s="6">
        <v>388.43</v>
      </c>
      <c r="H65" s="6">
        <v>0</v>
      </c>
      <c r="I65" s="6">
        <v>0</v>
      </c>
    </row>
    <row r="66" spans="2:9" ht="15.75" customHeight="1" x14ac:dyDescent="0.25">
      <c r="B66" s="6" t="s">
        <v>2049</v>
      </c>
      <c r="C66" s="6" t="s">
        <v>2050</v>
      </c>
      <c r="D66" s="6" t="s">
        <v>2043</v>
      </c>
      <c r="E66" s="6">
        <v>1</v>
      </c>
      <c r="F66" s="6">
        <v>528.27</v>
      </c>
      <c r="G66" s="6">
        <v>528.27</v>
      </c>
      <c r="H66" s="6">
        <v>0</v>
      </c>
      <c r="I66" s="6">
        <v>0</v>
      </c>
    </row>
    <row r="67" spans="2:9" ht="15.75" customHeight="1" x14ac:dyDescent="0.25">
      <c r="B67" s="5" t="s">
        <v>80</v>
      </c>
      <c r="C67" s="5" t="s">
        <v>2051</v>
      </c>
      <c r="D67" s="1"/>
      <c r="E67" s="1"/>
      <c r="F67" s="1"/>
      <c r="G67" s="5">
        <v>25473.71</v>
      </c>
      <c r="H67" s="1"/>
      <c r="I67" s="5">
        <v>0</v>
      </c>
    </row>
    <row r="68" spans="2:9" ht="15.75" customHeight="1" x14ac:dyDescent="0.25">
      <c r="B68" s="6" t="s">
        <v>82</v>
      </c>
      <c r="C68" s="6" t="s">
        <v>2052</v>
      </c>
      <c r="D68" s="6" t="s">
        <v>2043</v>
      </c>
      <c r="E68" s="6">
        <v>62</v>
      </c>
      <c r="F68" s="6">
        <v>67.33</v>
      </c>
      <c r="G68" s="6">
        <v>4174.46</v>
      </c>
      <c r="H68" s="6">
        <v>0</v>
      </c>
      <c r="I68" s="6">
        <v>0</v>
      </c>
    </row>
    <row r="69" spans="2:9" ht="15.75" customHeight="1" x14ac:dyDescent="0.25">
      <c r="B69" s="6" t="s">
        <v>84</v>
      </c>
      <c r="C69" s="6" t="s">
        <v>2053</v>
      </c>
      <c r="D69" s="6" t="s">
        <v>2043</v>
      </c>
      <c r="E69" s="6">
        <v>11</v>
      </c>
      <c r="F69" s="6">
        <v>67.33</v>
      </c>
      <c r="G69" s="6">
        <v>740.63</v>
      </c>
      <c r="H69" s="6">
        <v>0</v>
      </c>
      <c r="I69" s="6">
        <v>0</v>
      </c>
    </row>
    <row r="70" spans="2:9" ht="15.75" customHeight="1" x14ac:dyDescent="0.25">
      <c r="B70" s="6" t="s">
        <v>86</v>
      </c>
      <c r="C70" s="6" t="s">
        <v>2054</v>
      </c>
      <c r="D70" s="6" t="s">
        <v>2043</v>
      </c>
      <c r="E70" s="6">
        <v>18</v>
      </c>
      <c r="F70" s="6">
        <v>233.06</v>
      </c>
      <c r="G70" s="6">
        <v>4195.08</v>
      </c>
      <c r="H70" s="6">
        <v>0</v>
      </c>
      <c r="I70" s="6">
        <v>0</v>
      </c>
    </row>
    <row r="71" spans="2:9" ht="15.75" customHeight="1" x14ac:dyDescent="0.25">
      <c r="B71" s="6" t="s">
        <v>88</v>
      </c>
      <c r="C71" s="6" t="s">
        <v>2055</v>
      </c>
      <c r="D71" s="6" t="s">
        <v>2043</v>
      </c>
      <c r="E71" s="6">
        <v>44.5</v>
      </c>
      <c r="F71" s="6">
        <v>367.72</v>
      </c>
      <c r="G71" s="6">
        <v>16363.54</v>
      </c>
      <c r="H71" s="6">
        <v>0</v>
      </c>
      <c r="I71" s="6">
        <v>0</v>
      </c>
    </row>
    <row r="72" spans="2:9" ht="15.75" customHeight="1" x14ac:dyDescent="0.25">
      <c r="B72" s="5" t="s">
        <v>90</v>
      </c>
      <c r="C72" s="5" t="s">
        <v>2056</v>
      </c>
      <c r="D72" s="1"/>
      <c r="E72" s="1"/>
      <c r="F72" s="1"/>
      <c r="G72" s="5">
        <v>229779.81</v>
      </c>
      <c r="H72" s="1"/>
      <c r="I72" s="5">
        <v>0</v>
      </c>
    </row>
    <row r="73" spans="2:9" ht="15.75" customHeight="1" x14ac:dyDescent="0.25">
      <c r="B73" s="6" t="s">
        <v>92</v>
      </c>
      <c r="C73" s="6" t="s">
        <v>2057</v>
      </c>
      <c r="D73" s="6" t="s">
        <v>2043</v>
      </c>
      <c r="E73" s="6">
        <v>1</v>
      </c>
      <c r="F73" s="6">
        <v>33259.339999999997</v>
      </c>
      <c r="G73" s="6">
        <v>33259.339999999997</v>
      </c>
      <c r="H73" s="6">
        <v>0</v>
      </c>
      <c r="I73" s="6">
        <v>0</v>
      </c>
    </row>
    <row r="74" spans="2:9" ht="15.75" customHeight="1" x14ac:dyDescent="0.25">
      <c r="B74" s="6" t="s">
        <v>94</v>
      </c>
      <c r="C74" s="6" t="s">
        <v>2058</v>
      </c>
      <c r="D74" s="6" t="s">
        <v>2043</v>
      </c>
      <c r="E74" s="6">
        <v>1</v>
      </c>
      <c r="F74" s="6">
        <v>3070.05</v>
      </c>
      <c r="G74" s="6">
        <v>3070.05</v>
      </c>
      <c r="H74" s="6">
        <v>0</v>
      </c>
      <c r="I74" s="6">
        <v>0</v>
      </c>
    </row>
    <row r="75" spans="2:9" ht="15.75" customHeight="1" x14ac:dyDescent="0.25">
      <c r="B75" s="6" t="s">
        <v>573</v>
      </c>
      <c r="C75" s="6" t="s">
        <v>2059</v>
      </c>
      <c r="D75" s="6" t="s">
        <v>2043</v>
      </c>
      <c r="E75" s="6">
        <v>1</v>
      </c>
      <c r="F75" s="6">
        <v>13007.76</v>
      </c>
      <c r="G75" s="6">
        <v>13007.76</v>
      </c>
      <c r="H75" s="6">
        <v>0</v>
      </c>
      <c r="I75" s="6">
        <v>0</v>
      </c>
    </row>
    <row r="76" spans="2:9" ht="15.75" customHeight="1" x14ac:dyDescent="0.25">
      <c r="B76" s="6" t="s">
        <v>599</v>
      </c>
      <c r="C76" s="6" t="s">
        <v>2060</v>
      </c>
      <c r="D76" s="6" t="s">
        <v>2043</v>
      </c>
      <c r="E76" s="6">
        <v>1</v>
      </c>
      <c r="F76" s="6">
        <v>13007.76</v>
      </c>
      <c r="G76" s="6">
        <v>13007.76</v>
      </c>
      <c r="H76" s="6">
        <v>0</v>
      </c>
      <c r="I76" s="6">
        <v>0</v>
      </c>
    </row>
    <row r="77" spans="2:9" ht="15.75" customHeight="1" x14ac:dyDescent="0.25">
      <c r="B77" s="6" t="s">
        <v>605</v>
      </c>
      <c r="C77" s="6" t="s">
        <v>2061</v>
      </c>
      <c r="D77" s="6" t="s">
        <v>2043</v>
      </c>
      <c r="E77" s="6">
        <v>1</v>
      </c>
      <c r="F77" s="6">
        <v>13007.76</v>
      </c>
      <c r="G77" s="6">
        <v>13007.76</v>
      </c>
      <c r="H77" s="6">
        <v>0</v>
      </c>
      <c r="I77" s="6">
        <v>0</v>
      </c>
    </row>
    <row r="78" spans="2:9" ht="15.75" customHeight="1" x14ac:dyDescent="0.25">
      <c r="B78" s="6" t="s">
        <v>615</v>
      </c>
      <c r="C78" s="6" t="s">
        <v>2062</v>
      </c>
      <c r="D78" s="6" t="s">
        <v>2043</v>
      </c>
      <c r="E78" s="6">
        <v>1</v>
      </c>
      <c r="F78" s="6">
        <v>12216.23</v>
      </c>
      <c r="G78" s="6">
        <v>12216.23</v>
      </c>
      <c r="H78" s="6">
        <v>0</v>
      </c>
      <c r="I78" s="6">
        <v>0</v>
      </c>
    </row>
    <row r="79" spans="2:9" ht="15.75" customHeight="1" x14ac:dyDescent="0.25">
      <c r="B79" s="6" t="s">
        <v>627</v>
      </c>
      <c r="C79" s="6" t="s">
        <v>2063</v>
      </c>
      <c r="D79" s="6" t="s">
        <v>2043</v>
      </c>
      <c r="E79" s="6">
        <v>1</v>
      </c>
      <c r="F79" s="6">
        <v>2344.86</v>
      </c>
      <c r="G79" s="6">
        <v>2344.86</v>
      </c>
      <c r="H79" s="6">
        <v>0</v>
      </c>
      <c r="I79" s="6">
        <v>0</v>
      </c>
    </row>
    <row r="80" spans="2:9" ht="15.75" customHeight="1" x14ac:dyDescent="0.25">
      <c r="B80" s="6" t="s">
        <v>2064</v>
      </c>
      <c r="C80" s="6" t="s">
        <v>2065</v>
      </c>
      <c r="D80" s="6" t="s">
        <v>2043</v>
      </c>
      <c r="E80" s="6">
        <v>1</v>
      </c>
      <c r="F80" s="6">
        <v>2266.5</v>
      </c>
      <c r="G80" s="6">
        <v>2266.5</v>
      </c>
      <c r="H80" s="6">
        <v>0</v>
      </c>
      <c r="I80" s="6">
        <v>0</v>
      </c>
    </row>
    <row r="81" spans="2:9" ht="15.75" customHeight="1" x14ac:dyDescent="0.25">
      <c r="B81" s="6" t="s">
        <v>2066</v>
      </c>
      <c r="C81" s="6" t="s">
        <v>2067</v>
      </c>
      <c r="D81" s="6" t="s">
        <v>2043</v>
      </c>
      <c r="E81" s="6">
        <v>1</v>
      </c>
      <c r="F81" s="6">
        <v>1019.19</v>
      </c>
      <c r="G81" s="6">
        <v>1019.19</v>
      </c>
      <c r="H81" s="6">
        <v>0</v>
      </c>
      <c r="I81" s="6">
        <v>0</v>
      </c>
    </row>
    <row r="82" spans="2:9" ht="15.75" customHeight="1" x14ac:dyDescent="0.25">
      <c r="B82" s="6" t="s">
        <v>2068</v>
      </c>
      <c r="C82" s="6" t="s">
        <v>2069</v>
      </c>
      <c r="D82" s="6" t="s">
        <v>2043</v>
      </c>
      <c r="E82" s="6">
        <v>1</v>
      </c>
      <c r="F82" s="6">
        <v>7947.89</v>
      </c>
      <c r="G82" s="6">
        <v>7947.89</v>
      </c>
      <c r="H82" s="6">
        <v>0</v>
      </c>
      <c r="I82" s="6">
        <v>0</v>
      </c>
    </row>
    <row r="83" spans="2:9" ht="15.75" customHeight="1" x14ac:dyDescent="0.25">
      <c r="B83" s="6" t="s">
        <v>2070</v>
      </c>
      <c r="C83" s="6" t="s">
        <v>2071</v>
      </c>
      <c r="D83" s="6" t="s">
        <v>2043</v>
      </c>
      <c r="E83" s="6">
        <v>1</v>
      </c>
      <c r="F83" s="6">
        <v>2076.36</v>
      </c>
      <c r="G83" s="6">
        <v>2076.36</v>
      </c>
      <c r="H83" s="6">
        <v>0</v>
      </c>
      <c r="I83" s="6">
        <v>0</v>
      </c>
    </row>
    <row r="84" spans="2:9" ht="15.75" customHeight="1" x14ac:dyDescent="0.25">
      <c r="B84" s="6" t="s">
        <v>2072</v>
      </c>
      <c r="C84" s="6" t="s">
        <v>2073</v>
      </c>
      <c r="D84" s="6" t="s">
        <v>2043</v>
      </c>
      <c r="E84" s="6">
        <v>1</v>
      </c>
      <c r="F84" s="6">
        <v>15212.12</v>
      </c>
      <c r="G84" s="6">
        <v>15212.12</v>
      </c>
      <c r="H84" s="6">
        <v>0</v>
      </c>
      <c r="I84" s="6">
        <v>0</v>
      </c>
    </row>
    <row r="85" spans="2:9" ht="15.75" customHeight="1" x14ac:dyDescent="0.25">
      <c r="B85" s="6" t="s">
        <v>2074</v>
      </c>
      <c r="C85" s="6" t="s">
        <v>2075</v>
      </c>
      <c r="D85" s="6" t="s">
        <v>2043</v>
      </c>
      <c r="E85" s="6">
        <v>1</v>
      </c>
      <c r="F85" s="6">
        <v>7639.3</v>
      </c>
      <c r="G85" s="6">
        <v>7639.3</v>
      </c>
      <c r="H85" s="6">
        <v>0</v>
      </c>
      <c r="I85" s="6">
        <v>0</v>
      </c>
    </row>
    <row r="86" spans="2:9" ht="15.75" customHeight="1" x14ac:dyDescent="0.25">
      <c r="B86" s="6" t="s">
        <v>2076</v>
      </c>
      <c r="C86" s="6" t="s">
        <v>2077</v>
      </c>
      <c r="D86" s="6" t="s">
        <v>2043</v>
      </c>
      <c r="E86" s="6">
        <v>17</v>
      </c>
      <c r="F86" s="6">
        <v>1322.05</v>
      </c>
      <c r="G86" s="6">
        <v>22474.85</v>
      </c>
      <c r="H86" s="6">
        <v>0</v>
      </c>
      <c r="I86" s="6">
        <v>0</v>
      </c>
    </row>
    <row r="87" spans="2:9" ht="15.75" customHeight="1" x14ac:dyDescent="0.25">
      <c r="B87" s="6" t="s">
        <v>2078</v>
      </c>
      <c r="C87" s="6" t="s">
        <v>2079</v>
      </c>
      <c r="D87" s="6" t="s">
        <v>2043</v>
      </c>
      <c r="E87" s="6">
        <v>5</v>
      </c>
      <c r="F87" s="6">
        <v>1471.35</v>
      </c>
      <c r="G87" s="6">
        <v>7356.75</v>
      </c>
      <c r="H87" s="6">
        <v>0</v>
      </c>
      <c r="I87" s="6">
        <v>0</v>
      </c>
    </row>
    <row r="88" spans="2:9" ht="15.75" customHeight="1" x14ac:dyDescent="0.25">
      <c r="B88" s="6" t="s">
        <v>2080</v>
      </c>
      <c r="C88" s="6" t="s">
        <v>2081</v>
      </c>
      <c r="D88" s="6" t="s">
        <v>2043</v>
      </c>
      <c r="E88" s="6">
        <v>7</v>
      </c>
      <c r="F88" s="6">
        <v>1632.11</v>
      </c>
      <c r="G88" s="6">
        <v>11424.77</v>
      </c>
      <c r="H88" s="6">
        <v>0</v>
      </c>
      <c r="I88" s="6">
        <v>0</v>
      </c>
    </row>
    <row r="89" spans="2:9" ht="15.75" customHeight="1" x14ac:dyDescent="0.25">
      <c r="B89" s="6" t="s">
        <v>2082</v>
      </c>
      <c r="C89" s="6" t="s">
        <v>2083</v>
      </c>
      <c r="D89" s="6" t="s">
        <v>2043</v>
      </c>
      <c r="E89" s="6">
        <v>1</v>
      </c>
      <c r="F89" s="6">
        <v>1828.89</v>
      </c>
      <c r="G89" s="6">
        <v>1828.89</v>
      </c>
      <c r="H89" s="6">
        <v>0</v>
      </c>
      <c r="I89" s="6">
        <v>0</v>
      </c>
    </row>
    <row r="90" spans="2:9" ht="15.75" customHeight="1" x14ac:dyDescent="0.25">
      <c r="B90" s="6" t="s">
        <v>2084</v>
      </c>
      <c r="C90" s="6" t="s">
        <v>2085</v>
      </c>
      <c r="D90" s="6" t="s">
        <v>2043</v>
      </c>
      <c r="E90" s="6">
        <v>8</v>
      </c>
      <c r="F90" s="6">
        <v>1463.32</v>
      </c>
      <c r="G90" s="6">
        <v>11706.56</v>
      </c>
      <c r="H90" s="6">
        <v>0</v>
      </c>
      <c r="I90" s="6">
        <v>0</v>
      </c>
    </row>
    <row r="91" spans="2:9" ht="15.75" customHeight="1" x14ac:dyDescent="0.25">
      <c r="B91" s="6" t="s">
        <v>2086</v>
      </c>
      <c r="C91" s="6" t="s">
        <v>2087</v>
      </c>
      <c r="D91" s="6" t="s">
        <v>2043</v>
      </c>
      <c r="E91" s="6">
        <v>3</v>
      </c>
      <c r="F91" s="6">
        <v>1494.56</v>
      </c>
      <c r="G91" s="6">
        <v>4483.68</v>
      </c>
      <c r="H91" s="6">
        <v>0</v>
      </c>
      <c r="I91" s="6">
        <v>0</v>
      </c>
    </row>
    <row r="92" spans="2:9" ht="15.75" customHeight="1" x14ac:dyDescent="0.25">
      <c r="B92" s="6" t="s">
        <v>2088</v>
      </c>
      <c r="C92" s="6" t="s">
        <v>2089</v>
      </c>
      <c r="D92" s="6" t="s">
        <v>2043</v>
      </c>
      <c r="E92" s="6">
        <v>2</v>
      </c>
      <c r="F92" s="6">
        <v>1557.03</v>
      </c>
      <c r="G92" s="6">
        <v>3114.06</v>
      </c>
      <c r="H92" s="6">
        <v>0</v>
      </c>
      <c r="I92" s="6">
        <v>0</v>
      </c>
    </row>
    <row r="93" spans="2:9" ht="15.75" customHeight="1" x14ac:dyDescent="0.25">
      <c r="B93" s="6" t="s">
        <v>2090</v>
      </c>
      <c r="C93" s="6" t="s">
        <v>2091</v>
      </c>
      <c r="D93" s="6" t="s">
        <v>2043</v>
      </c>
      <c r="E93" s="6">
        <v>6</v>
      </c>
      <c r="F93" s="6">
        <v>1738.63</v>
      </c>
      <c r="G93" s="6">
        <v>10431.780000000001</v>
      </c>
      <c r="H93" s="6">
        <v>0</v>
      </c>
      <c r="I93" s="6">
        <v>0</v>
      </c>
    </row>
    <row r="94" spans="2:9" ht="15.75" customHeight="1" x14ac:dyDescent="0.25">
      <c r="B94" s="6" t="s">
        <v>2092</v>
      </c>
      <c r="C94" s="6" t="s">
        <v>2093</v>
      </c>
      <c r="D94" s="6" t="s">
        <v>20</v>
      </c>
      <c r="E94" s="6">
        <v>1</v>
      </c>
      <c r="F94" s="6">
        <v>30883.35</v>
      </c>
      <c r="G94" s="6">
        <v>30883.35</v>
      </c>
      <c r="H94" s="6">
        <v>0</v>
      </c>
      <c r="I94" s="6">
        <v>0</v>
      </c>
    </row>
    <row r="95" spans="2:9" ht="15.75" customHeight="1" x14ac:dyDescent="0.25">
      <c r="B95" s="5" t="s">
        <v>96</v>
      </c>
      <c r="C95" s="5" t="s">
        <v>2094</v>
      </c>
      <c r="D95" s="1"/>
      <c r="E95" s="1"/>
      <c r="F95" s="1"/>
      <c r="G95" s="5">
        <v>312769.37</v>
      </c>
      <c r="H95" s="1"/>
      <c r="I95" s="5">
        <v>0</v>
      </c>
    </row>
    <row r="96" spans="2:9" ht="15.75" customHeight="1" x14ac:dyDescent="0.25">
      <c r="B96" s="6" t="s">
        <v>98</v>
      </c>
      <c r="C96" s="6" t="s">
        <v>2095</v>
      </c>
      <c r="D96" s="6" t="s">
        <v>2043</v>
      </c>
      <c r="E96" s="6">
        <v>1885</v>
      </c>
      <c r="F96" s="6">
        <v>64.739999999999995</v>
      </c>
      <c r="G96" s="6">
        <v>122034.9</v>
      </c>
      <c r="H96" s="6">
        <v>0</v>
      </c>
      <c r="I96" s="6">
        <v>0</v>
      </c>
    </row>
    <row r="97" spans="2:9" ht="15.75" customHeight="1" x14ac:dyDescent="0.25">
      <c r="B97" s="6" t="s">
        <v>100</v>
      </c>
      <c r="C97" s="6" t="s">
        <v>2096</v>
      </c>
      <c r="D97" s="6" t="s">
        <v>2043</v>
      </c>
      <c r="E97" s="6">
        <v>162</v>
      </c>
      <c r="F97" s="6">
        <v>64.739999999999995</v>
      </c>
      <c r="G97" s="6">
        <v>10487.88</v>
      </c>
      <c r="H97" s="6">
        <v>0</v>
      </c>
      <c r="I97" s="6">
        <v>0</v>
      </c>
    </row>
    <row r="98" spans="2:9" ht="15.75" customHeight="1" x14ac:dyDescent="0.25">
      <c r="B98" s="6" t="s">
        <v>103</v>
      </c>
      <c r="C98" s="6" t="s">
        <v>2097</v>
      </c>
      <c r="D98" s="6" t="s">
        <v>558</v>
      </c>
      <c r="E98" s="6">
        <v>65</v>
      </c>
      <c r="F98" s="6">
        <v>64.739999999999995</v>
      </c>
      <c r="G98" s="6">
        <v>4208.1000000000004</v>
      </c>
      <c r="H98" s="6">
        <v>0</v>
      </c>
      <c r="I98" s="6">
        <v>0</v>
      </c>
    </row>
    <row r="99" spans="2:9" ht="15.75" customHeight="1" x14ac:dyDescent="0.25">
      <c r="B99" s="6" t="s">
        <v>106</v>
      </c>
      <c r="C99" s="6" t="s">
        <v>2098</v>
      </c>
      <c r="D99" s="6" t="s">
        <v>558</v>
      </c>
      <c r="E99" s="6">
        <v>88</v>
      </c>
      <c r="F99" s="6">
        <v>64.739999999999995</v>
      </c>
      <c r="G99" s="6">
        <v>5697.12</v>
      </c>
      <c r="H99" s="6">
        <v>0</v>
      </c>
      <c r="I99" s="6">
        <v>0</v>
      </c>
    </row>
    <row r="100" spans="2:9" ht="15.75" customHeight="1" x14ac:dyDescent="0.25">
      <c r="B100" s="6" t="s">
        <v>2099</v>
      </c>
      <c r="C100" s="6" t="s">
        <v>2100</v>
      </c>
      <c r="D100" s="6" t="s">
        <v>2043</v>
      </c>
      <c r="E100" s="6">
        <v>36</v>
      </c>
      <c r="F100" s="6">
        <v>64.739999999999995</v>
      </c>
      <c r="G100" s="6">
        <v>2330.64</v>
      </c>
      <c r="H100" s="6">
        <v>0</v>
      </c>
      <c r="I100" s="6">
        <v>0</v>
      </c>
    </row>
    <row r="101" spans="2:9" ht="15.75" customHeight="1" x14ac:dyDescent="0.25">
      <c r="B101" s="6" t="s">
        <v>2101</v>
      </c>
      <c r="C101" s="6" t="s">
        <v>2102</v>
      </c>
      <c r="D101" s="6" t="s">
        <v>2043</v>
      </c>
      <c r="E101" s="6">
        <v>30</v>
      </c>
      <c r="F101" s="6">
        <v>64.739999999999995</v>
      </c>
      <c r="G101" s="6">
        <v>1942.2</v>
      </c>
      <c r="H101" s="6">
        <v>0</v>
      </c>
      <c r="I101" s="6">
        <v>0</v>
      </c>
    </row>
    <row r="102" spans="2:9" ht="15.75" customHeight="1" x14ac:dyDescent="0.25">
      <c r="B102" s="6" t="s">
        <v>2103</v>
      </c>
      <c r="C102" s="6" t="s">
        <v>2104</v>
      </c>
      <c r="D102" s="6" t="s">
        <v>558</v>
      </c>
      <c r="E102" s="6">
        <v>133</v>
      </c>
      <c r="F102" s="6">
        <v>64.739999999999995</v>
      </c>
      <c r="G102" s="6">
        <v>8610.42</v>
      </c>
      <c r="H102" s="6">
        <v>0</v>
      </c>
      <c r="I102" s="6">
        <v>0</v>
      </c>
    </row>
    <row r="103" spans="2:9" ht="15.75" customHeight="1" x14ac:dyDescent="0.25">
      <c r="B103" s="6" t="s">
        <v>2105</v>
      </c>
      <c r="C103" s="6" t="s">
        <v>2106</v>
      </c>
      <c r="D103" s="6" t="s">
        <v>2043</v>
      </c>
      <c r="E103" s="6">
        <v>972</v>
      </c>
      <c r="F103" s="6">
        <v>64.739999999999995</v>
      </c>
      <c r="G103" s="6">
        <v>62927.28</v>
      </c>
      <c r="H103" s="6">
        <v>0</v>
      </c>
      <c r="I103" s="6">
        <v>0</v>
      </c>
    </row>
    <row r="104" spans="2:9" ht="15.75" customHeight="1" x14ac:dyDescent="0.25">
      <c r="B104" s="6" t="s">
        <v>2107</v>
      </c>
      <c r="C104" s="6" t="s">
        <v>2108</v>
      </c>
      <c r="D104" s="6" t="s">
        <v>558</v>
      </c>
      <c r="E104" s="6">
        <v>142</v>
      </c>
      <c r="F104" s="6">
        <v>64.739999999999995</v>
      </c>
      <c r="G104" s="6">
        <v>9193.08</v>
      </c>
      <c r="H104" s="6">
        <v>0</v>
      </c>
      <c r="I104" s="6">
        <v>0</v>
      </c>
    </row>
    <row r="105" spans="2:9" ht="15.75" customHeight="1" x14ac:dyDescent="0.25">
      <c r="B105" s="6" t="s">
        <v>2109</v>
      </c>
      <c r="C105" s="6" t="s">
        <v>2110</v>
      </c>
      <c r="D105" s="6" t="s">
        <v>2043</v>
      </c>
      <c r="E105" s="6">
        <v>95</v>
      </c>
      <c r="F105" s="6">
        <v>64.739999999999995</v>
      </c>
      <c r="G105" s="6">
        <v>6150.3</v>
      </c>
      <c r="H105" s="6">
        <v>0</v>
      </c>
      <c r="I105" s="6">
        <v>0</v>
      </c>
    </row>
    <row r="106" spans="2:9" ht="15.75" customHeight="1" x14ac:dyDescent="0.25">
      <c r="B106" s="6" t="s">
        <v>2111</v>
      </c>
      <c r="C106" s="6" t="s">
        <v>2112</v>
      </c>
      <c r="D106" s="6" t="s">
        <v>2043</v>
      </c>
      <c r="E106" s="6">
        <v>42</v>
      </c>
      <c r="F106" s="6">
        <v>64.739999999999995</v>
      </c>
      <c r="G106" s="6">
        <v>2719.08</v>
      </c>
      <c r="H106" s="6">
        <v>0</v>
      </c>
      <c r="I106" s="6">
        <v>0</v>
      </c>
    </row>
    <row r="107" spans="2:9" ht="15.75" customHeight="1" x14ac:dyDescent="0.25">
      <c r="B107" s="6" t="s">
        <v>2113</v>
      </c>
      <c r="C107" s="6" t="s">
        <v>2114</v>
      </c>
      <c r="D107" s="6" t="s">
        <v>2043</v>
      </c>
      <c r="E107" s="6">
        <v>360</v>
      </c>
      <c r="F107" s="6">
        <v>64.739999999999995</v>
      </c>
      <c r="G107" s="6">
        <v>23306.400000000001</v>
      </c>
      <c r="H107" s="6">
        <v>0</v>
      </c>
      <c r="I107" s="6">
        <v>0</v>
      </c>
    </row>
    <row r="108" spans="2:9" ht="15.75" customHeight="1" x14ac:dyDescent="0.25">
      <c r="B108" s="6" t="s">
        <v>2115</v>
      </c>
      <c r="C108" s="6" t="s">
        <v>2116</v>
      </c>
      <c r="D108" s="6" t="s">
        <v>2043</v>
      </c>
      <c r="E108" s="6">
        <v>50</v>
      </c>
      <c r="F108" s="6">
        <v>64.739999999999995</v>
      </c>
      <c r="G108" s="6">
        <v>3237</v>
      </c>
      <c r="H108" s="6">
        <v>0</v>
      </c>
      <c r="I108" s="6">
        <v>0</v>
      </c>
    </row>
    <row r="109" spans="2:9" ht="15.75" customHeight="1" x14ac:dyDescent="0.25">
      <c r="B109" s="6" t="s">
        <v>2117</v>
      </c>
      <c r="C109" s="6" t="s">
        <v>2118</v>
      </c>
      <c r="D109" s="6" t="s">
        <v>558</v>
      </c>
      <c r="E109" s="6">
        <v>3</v>
      </c>
      <c r="F109" s="6">
        <v>64.739999999999995</v>
      </c>
      <c r="G109" s="6">
        <v>194.22</v>
      </c>
      <c r="H109" s="6">
        <v>0</v>
      </c>
      <c r="I109" s="6">
        <v>0</v>
      </c>
    </row>
    <row r="110" spans="2:9" ht="15.75" customHeight="1" x14ac:dyDescent="0.25">
      <c r="B110" s="6" t="s">
        <v>2119</v>
      </c>
      <c r="C110" s="6" t="s">
        <v>2120</v>
      </c>
      <c r="D110" s="6" t="s">
        <v>2043</v>
      </c>
      <c r="E110" s="6">
        <v>1</v>
      </c>
      <c r="F110" s="6">
        <v>64.739999999999995</v>
      </c>
      <c r="G110" s="6">
        <v>64.739999999999995</v>
      </c>
      <c r="H110" s="6">
        <v>0</v>
      </c>
      <c r="I110" s="6">
        <v>0</v>
      </c>
    </row>
    <row r="111" spans="2:9" ht="15.75" customHeight="1" x14ac:dyDescent="0.25">
      <c r="B111" s="6" t="s">
        <v>2121</v>
      </c>
      <c r="C111" s="6" t="s">
        <v>2122</v>
      </c>
      <c r="D111" s="6" t="s">
        <v>558</v>
      </c>
      <c r="E111" s="6">
        <v>6</v>
      </c>
      <c r="F111" s="6">
        <v>64.739999999999995</v>
      </c>
      <c r="G111" s="6">
        <v>388.44</v>
      </c>
      <c r="H111" s="6">
        <v>0</v>
      </c>
      <c r="I111" s="6">
        <v>0</v>
      </c>
    </row>
    <row r="112" spans="2:9" ht="15.75" customHeight="1" x14ac:dyDescent="0.25">
      <c r="B112" s="6" t="s">
        <v>2123</v>
      </c>
      <c r="C112" s="6" t="s">
        <v>2124</v>
      </c>
      <c r="D112" s="6" t="s">
        <v>112</v>
      </c>
      <c r="E112" s="6">
        <v>3</v>
      </c>
      <c r="F112" s="6">
        <v>64.739999999999995</v>
      </c>
      <c r="G112" s="6">
        <v>194.22</v>
      </c>
      <c r="H112" s="6">
        <v>0</v>
      </c>
      <c r="I112" s="6">
        <v>0</v>
      </c>
    </row>
    <row r="113" spans="2:9" ht="15.75" customHeight="1" x14ac:dyDescent="0.25">
      <c r="B113" s="6" t="s">
        <v>2125</v>
      </c>
      <c r="C113" s="6" t="s">
        <v>2126</v>
      </c>
      <c r="D113" s="6" t="s">
        <v>558</v>
      </c>
      <c r="E113" s="6">
        <v>3</v>
      </c>
      <c r="F113" s="6">
        <v>64.739999999999995</v>
      </c>
      <c r="G113" s="6">
        <v>194.22</v>
      </c>
      <c r="H113" s="6">
        <v>0</v>
      </c>
      <c r="I113" s="6">
        <v>0</v>
      </c>
    </row>
    <row r="114" spans="2:9" ht="15.75" customHeight="1" x14ac:dyDescent="0.25">
      <c r="B114" s="6" t="s">
        <v>2127</v>
      </c>
      <c r="C114" s="6" t="s">
        <v>2128</v>
      </c>
      <c r="D114" s="6" t="s">
        <v>2043</v>
      </c>
      <c r="E114" s="6">
        <v>18</v>
      </c>
      <c r="F114" s="6">
        <v>64.739999999999995</v>
      </c>
      <c r="G114" s="6">
        <v>1165.32</v>
      </c>
      <c r="H114" s="6">
        <v>0</v>
      </c>
      <c r="I114" s="6">
        <v>0</v>
      </c>
    </row>
    <row r="115" spans="2:9" ht="15.75" customHeight="1" x14ac:dyDescent="0.25">
      <c r="B115" s="6" t="s">
        <v>2129</v>
      </c>
      <c r="C115" s="6" t="s">
        <v>2130</v>
      </c>
      <c r="D115" s="6" t="s">
        <v>2043</v>
      </c>
      <c r="E115" s="6">
        <v>21</v>
      </c>
      <c r="F115" s="6">
        <v>64.739999999999995</v>
      </c>
      <c r="G115" s="6">
        <v>1359.54</v>
      </c>
      <c r="H115" s="6">
        <v>0</v>
      </c>
      <c r="I115" s="6">
        <v>0</v>
      </c>
    </row>
    <row r="116" spans="2:9" ht="15.75" customHeight="1" x14ac:dyDescent="0.25">
      <c r="B116" s="6" t="s">
        <v>2131</v>
      </c>
      <c r="C116" s="6" t="s">
        <v>2132</v>
      </c>
      <c r="D116" s="6" t="s">
        <v>2043</v>
      </c>
      <c r="E116" s="6">
        <v>62</v>
      </c>
      <c r="F116" s="6">
        <v>64.739999999999995</v>
      </c>
      <c r="G116" s="6">
        <v>4013.88</v>
      </c>
      <c r="H116" s="6">
        <v>0</v>
      </c>
      <c r="I116" s="6">
        <v>0</v>
      </c>
    </row>
    <row r="117" spans="2:9" ht="15.75" customHeight="1" x14ac:dyDescent="0.25">
      <c r="B117" s="6" t="s">
        <v>2133</v>
      </c>
      <c r="C117" s="6" t="s">
        <v>2102</v>
      </c>
      <c r="D117" s="6" t="s">
        <v>558</v>
      </c>
      <c r="E117" s="6">
        <v>10</v>
      </c>
      <c r="F117" s="6">
        <v>64.739999999999995</v>
      </c>
      <c r="G117" s="6">
        <v>647.4</v>
      </c>
      <c r="H117" s="6">
        <v>0</v>
      </c>
      <c r="I117" s="6">
        <v>0</v>
      </c>
    </row>
    <row r="118" spans="2:9" ht="15.75" customHeight="1" x14ac:dyDescent="0.25">
      <c r="B118" s="6" t="s">
        <v>2134</v>
      </c>
      <c r="C118" s="6" t="s">
        <v>2135</v>
      </c>
      <c r="D118" s="6" t="s">
        <v>558</v>
      </c>
      <c r="E118" s="6">
        <v>6</v>
      </c>
      <c r="F118" s="6">
        <v>64.739999999999995</v>
      </c>
      <c r="G118" s="6">
        <v>388.44</v>
      </c>
      <c r="H118" s="6">
        <v>0</v>
      </c>
      <c r="I118" s="6">
        <v>0</v>
      </c>
    </row>
    <row r="119" spans="2:9" ht="15.75" customHeight="1" x14ac:dyDescent="0.25">
      <c r="B119" s="6" t="s">
        <v>2136</v>
      </c>
      <c r="C119" s="6" t="s">
        <v>2137</v>
      </c>
      <c r="D119" s="6" t="s">
        <v>2043</v>
      </c>
      <c r="E119" s="6">
        <v>1</v>
      </c>
      <c r="F119" s="6">
        <v>64.739999999999995</v>
      </c>
      <c r="G119" s="6">
        <v>64.739999999999995</v>
      </c>
      <c r="H119" s="6">
        <v>0</v>
      </c>
      <c r="I119" s="6">
        <v>0</v>
      </c>
    </row>
    <row r="120" spans="2:9" ht="15.75" customHeight="1" x14ac:dyDescent="0.25">
      <c r="B120" s="6" t="s">
        <v>2138</v>
      </c>
      <c r="C120" s="6" t="s">
        <v>2139</v>
      </c>
      <c r="D120" s="6" t="s">
        <v>558</v>
      </c>
      <c r="E120" s="6">
        <v>2</v>
      </c>
      <c r="F120" s="6">
        <v>64.739999999999995</v>
      </c>
      <c r="G120" s="6">
        <v>129.47999999999999</v>
      </c>
      <c r="H120" s="6">
        <v>0</v>
      </c>
      <c r="I120" s="6">
        <v>0</v>
      </c>
    </row>
    <row r="121" spans="2:9" ht="15.75" customHeight="1" x14ac:dyDescent="0.25">
      <c r="B121" s="6" t="s">
        <v>2140</v>
      </c>
      <c r="C121" s="6" t="s">
        <v>2141</v>
      </c>
      <c r="D121" s="6" t="s">
        <v>2043</v>
      </c>
      <c r="E121" s="6">
        <v>2</v>
      </c>
      <c r="F121" s="6">
        <v>64.739999999999995</v>
      </c>
      <c r="G121" s="6">
        <v>129.47999999999999</v>
      </c>
      <c r="H121" s="6">
        <v>0</v>
      </c>
      <c r="I121" s="6">
        <v>0</v>
      </c>
    </row>
    <row r="122" spans="2:9" ht="15.75" customHeight="1" x14ac:dyDescent="0.25">
      <c r="B122" s="6" t="s">
        <v>2142</v>
      </c>
      <c r="C122" s="6" t="s">
        <v>2143</v>
      </c>
      <c r="D122" s="6" t="s">
        <v>2043</v>
      </c>
      <c r="E122" s="6">
        <v>3</v>
      </c>
      <c r="F122" s="6">
        <v>64.739999999999995</v>
      </c>
      <c r="G122" s="6">
        <v>194.22</v>
      </c>
      <c r="H122" s="6">
        <v>0</v>
      </c>
      <c r="I122" s="6">
        <v>0</v>
      </c>
    </row>
    <row r="123" spans="2:9" ht="15.75" customHeight="1" x14ac:dyDescent="0.25">
      <c r="B123" s="6" t="s">
        <v>2144</v>
      </c>
      <c r="C123" s="6" t="s">
        <v>2145</v>
      </c>
      <c r="D123" s="6" t="s">
        <v>2043</v>
      </c>
      <c r="E123" s="6">
        <v>3</v>
      </c>
      <c r="F123" s="6">
        <v>64.739999999999995</v>
      </c>
      <c r="G123" s="6">
        <v>194.22</v>
      </c>
      <c r="H123" s="6">
        <v>0</v>
      </c>
      <c r="I123" s="6">
        <v>0</v>
      </c>
    </row>
    <row r="124" spans="2:9" ht="15.75" customHeight="1" x14ac:dyDescent="0.25">
      <c r="B124" s="6" t="s">
        <v>2146</v>
      </c>
      <c r="C124" s="6" t="s">
        <v>2147</v>
      </c>
      <c r="D124" s="6" t="s">
        <v>2043</v>
      </c>
      <c r="E124" s="6">
        <v>1</v>
      </c>
      <c r="F124" s="6">
        <v>64.739999999999995</v>
      </c>
      <c r="G124" s="6">
        <v>64.739999999999995</v>
      </c>
      <c r="H124" s="6">
        <v>0</v>
      </c>
      <c r="I124" s="6">
        <v>0</v>
      </c>
    </row>
    <row r="125" spans="2:9" ht="15.75" customHeight="1" x14ac:dyDescent="0.25">
      <c r="B125" s="6" t="s">
        <v>2148</v>
      </c>
      <c r="C125" s="6" t="s">
        <v>2149</v>
      </c>
      <c r="D125" s="6" t="s">
        <v>2043</v>
      </c>
      <c r="E125" s="6">
        <v>3</v>
      </c>
      <c r="F125" s="6">
        <v>64.739999999999995</v>
      </c>
      <c r="G125" s="6">
        <v>194.22</v>
      </c>
      <c r="H125" s="6">
        <v>0</v>
      </c>
      <c r="I125" s="6">
        <v>0</v>
      </c>
    </row>
    <row r="126" spans="2:9" ht="15.75" customHeight="1" x14ac:dyDescent="0.25">
      <c r="B126" s="6" t="s">
        <v>2150</v>
      </c>
      <c r="C126" s="6" t="s">
        <v>2151</v>
      </c>
      <c r="D126" s="6" t="s">
        <v>2043</v>
      </c>
      <c r="E126" s="6">
        <v>4</v>
      </c>
      <c r="F126" s="6">
        <v>64.739999999999995</v>
      </c>
      <c r="G126" s="6">
        <v>258.95999999999998</v>
      </c>
      <c r="H126" s="6">
        <v>0</v>
      </c>
      <c r="I126" s="6">
        <v>0</v>
      </c>
    </row>
    <row r="127" spans="2:9" ht="15.75" customHeight="1" x14ac:dyDescent="0.25">
      <c r="B127" s="6" t="s">
        <v>2152</v>
      </c>
      <c r="C127" s="6" t="s">
        <v>2153</v>
      </c>
      <c r="D127" s="6" t="s">
        <v>2043</v>
      </c>
      <c r="E127" s="6">
        <v>8</v>
      </c>
      <c r="F127" s="6">
        <v>64.739999999999995</v>
      </c>
      <c r="G127" s="6">
        <v>517.91999999999996</v>
      </c>
      <c r="H127" s="6">
        <v>0</v>
      </c>
      <c r="I127" s="6">
        <v>0</v>
      </c>
    </row>
    <row r="128" spans="2:9" ht="15.75" customHeight="1" x14ac:dyDescent="0.25">
      <c r="B128" s="6" t="s">
        <v>2154</v>
      </c>
      <c r="C128" s="6" t="s">
        <v>2155</v>
      </c>
      <c r="D128" s="6" t="s">
        <v>2043</v>
      </c>
      <c r="E128" s="6">
        <v>33</v>
      </c>
      <c r="F128" s="6">
        <v>64.739999999999995</v>
      </c>
      <c r="G128" s="6">
        <v>2136.42</v>
      </c>
      <c r="H128" s="6">
        <v>0</v>
      </c>
      <c r="I128" s="6">
        <v>0</v>
      </c>
    </row>
    <row r="129" spans="2:9" ht="15.75" customHeight="1" x14ac:dyDescent="0.25">
      <c r="B129" s="6" t="s">
        <v>2156</v>
      </c>
      <c r="C129" s="6" t="s">
        <v>2157</v>
      </c>
      <c r="D129" s="6" t="s">
        <v>2043</v>
      </c>
      <c r="E129" s="6">
        <v>9</v>
      </c>
      <c r="F129" s="6">
        <v>64.739999999999995</v>
      </c>
      <c r="G129" s="6">
        <v>582.66</v>
      </c>
      <c r="H129" s="6">
        <v>0</v>
      </c>
      <c r="I129" s="6">
        <v>0</v>
      </c>
    </row>
    <row r="130" spans="2:9" ht="15.75" customHeight="1" x14ac:dyDescent="0.25">
      <c r="B130" s="6" t="s">
        <v>2158</v>
      </c>
      <c r="C130" s="6" t="s">
        <v>2159</v>
      </c>
      <c r="D130" s="6" t="s">
        <v>2043</v>
      </c>
      <c r="E130" s="6">
        <v>2</v>
      </c>
      <c r="F130" s="6">
        <v>64.739999999999995</v>
      </c>
      <c r="G130" s="6">
        <v>129.47999999999999</v>
      </c>
      <c r="H130" s="6">
        <v>0</v>
      </c>
      <c r="I130" s="6">
        <v>0</v>
      </c>
    </row>
    <row r="131" spans="2:9" ht="15.75" customHeight="1" x14ac:dyDescent="0.25">
      <c r="B131" s="6" t="s">
        <v>2160</v>
      </c>
      <c r="C131" s="6" t="s">
        <v>2161</v>
      </c>
      <c r="D131" s="6" t="s">
        <v>2043</v>
      </c>
      <c r="E131" s="6">
        <v>8</v>
      </c>
      <c r="F131" s="6">
        <v>64.739999999999995</v>
      </c>
      <c r="G131" s="6">
        <v>517.91999999999996</v>
      </c>
      <c r="H131" s="6">
        <v>0</v>
      </c>
      <c r="I131" s="6">
        <v>0</v>
      </c>
    </row>
    <row r="132" spans="2:9" ht="15.75" customHeight="1" x14ac:dyDescent="0.25">
      <c r="B132" s="6" t="s">
        <v>2162</v>
      </c>
      <c r="C132" s="6" t="s">
        <v>2163</v>
      </c>
      <c r="D132" s="6" t="s">
        <v>2043</v>
      </c>
      <c r="E132" s="6">
        <v>21</v>
      </c>
      <c r="F132" s="6">
        <v>64.739999999999995</v>
      </c>
      <c r="G132" s="6">
        <v>1359.54</v>
      </c>
      <c r="H132" s="6">
        <v>0</v>
      </c>
      <c r="I132" s="6">
        <v>0</v>
      </c>
    </row>
    <row r="133" spans="2:9" ht="15.75" customHeight="1" x14ac:dyDescent="0.25">
      <c r="B133" s="6" t="s">
        <v>2164</v>
      </c>
      <c r="C133" s="6" t="s">
        <v>2165</v>
      </c>
      <c r="D133" s="6" t="s">
        <v>2043</v>
      </c>
      <c r="E133" s="6">
        <v>170</v>
      </c>
      <c r="F133" s="6">
        <v>64.22</v>
      </c>
      <c r="G133" s="6">
        <v>10917.4</v>
      </c>
      <c r="H133" s="6">
        <v>0</v>
      </c>
      <c r="I133" s="6">
        <v>0</v>
      </c>
    </row>
    <row r="134" spans="2:9" ht="15.75" customHeight="1" x14ac:dyDescent="0.25">
      <c r="B134" s="6" t="s">
        <v>2166</v>
      </c>
      <c r="C134" s="6" t="s">
        <v>2167</v>
      </c>
      <c r="D134" s="6" t="s">
        <v>2043</v>
      </c>
      <c r="E134" s="6">
        <v>149</v>
      </c>
      <c r="F134" s="6">
        <v>65.260000000000005</v>
      </c>
      <c r="G134" s="6">
        <v>9723.74</v>
      </c>
      <c r="H134" s="6">
        <v>0</v>
      </c>
      <c r="I134" s="6">
        <v>0</v>
      </c>
    </row>
    <row r="135" spans="2:9" ht="15.75" customHeight="1" x14ac:dyDescent="0.25">
      <c r="B135" s="6" t="s">
        <v>2168</v>
      </c>
      <c r="C135" s="6" t="s">
        <v>2169</v>
      </c>
      <c r="D135" s="6" t="s">
        <v>2043</v>
      </c>
      <c r="E135" s="6">
        <v>64</v>
      </c>
      <c r="F135" s="6">
        <v>64.22</v>
      </c>
      <c r="G135" s="6">
        <v>4110.08</v>
      </c>
      <c r="H135" s="6">
        <v>0</v>
      </c>
      <c r="I135" s="6">
        <v>0</v>
      </c>
    </row>
    <row r="136" spans="2:9" ht="15.75" customHeight="1" x14ac:dyDescent="0.25">
      <c r="B136" s="6" t="s">
        <v>2170</v>
      </c>
      <c r="C136" s="6" t="s">
        <v>2171</v>
      </c>
      <c r="D136" s="6" t="s">
        <v>2043</v>
      </c>
      <c r="E136" s="6">
        <v>219</v>
      </c>
      <c r="F136" s="6">
        <v>46.07</v>
      </c>
      <c r="G136" s="6">
        <v>10089.33</v>
      </c>
      <c r="H136" s="6">
        <v>0</v>
      </c>
      <c r="I136" s="6">
        <v>0</v>
      </c>
    </row>
    <row r="137" spans="2:9" ht="15.75" customHeight="1" x14ac:dyDescent="0.25">
      <c r="B137" s="5" t="s">
        <v>108</v>
      </c>
      <c r="C137" s="5" t="s">
        <v>2172</v>
      </c>
      <c r="D137" s="1"/>
      <c r="E137" s="1"/>
      <c r="F137" s="1"/>
      <c r="G137" s="5">
        <v>70281.710000000006</v>
      </c>
      <c r="H137" s="1"/>
      <c r="I137" s="5">
        <v>0</v>
      </c>
    </row>
    <row r="138" spans="2:9" ht="15.75" customHeight="1" x14ac:dyDescent="0.25">
      <c r="B138" s="6" t="s">
        <v>110</v>
      </c>
      <c r="C138" s="6" t="s">
        <v>2173</v>
      </c>
      <c r="D138" s="6" t="s">
        <v>2174</v>
      </c>
      <c r="E138" s="6">
        <v>274</v>
      </c>
      <c r="F138" s="6">
        <v>59.01</v>
      </c>
      <c r="G138" s="6">
        <v>16168.74</v>
      </c>
      <c r="H138" s="6">
        <v>0</v>
      </c>
      <c r="I138" s="6">
        <v>0</v>
      </c>
    </row>
    <row r="139" spans="2:9" ht="15.75" customHeight="1" x14ac:dyDescent="0.25">
      <c r="B139" s="6" t="s">
        <v>684</v>
      </c>
      <c r="C139" s="6" t="s">
        <v>2175</v>
      </c>
      <c r="D139" s="6" t="s">
        <v>2174</v>
      </c>
      <c r="E139" s="6">
        <v>102</v>
      </c>
      <c r="F139" s="6">
        <v>64.25</v>
      </c>
      <c r="G139" s="6">
        <v>6553.5</v>
      </c>
      <c r="H139" s="6">
        <v>0</v>
      </c>
      <c r="I139" s="6">
        <v>0</v>
      </c>
    </row>
    <row r="140" spans="2:9" ht="15.75" customHeight="1" x14ac:dyDescent="0.25">
      <c r="B140" s="6" t="s">
        <v>2176</v>
      </c>
      <c r="C140" s="6" t="s">
        <v>2177</v>
      </c>
      <c r="D140" s="6" t="s">
        <v>2174</v>
      </c>
      <c r="E140" s="6">
        <v>195</v>
      </c>
      <c r="F140" s="6">
        <v>85.52</v>
      </c>
      <c r="G140" s="6">
        <v>16676.400000000001</v>
      </c>
      <c r="H140" s="6">
        <v>0</v>
      </c>
      <c r="I140" s="6">
        <v>0</v>
      </c>
    </row>
    <row r="141" spans="2:9" ht="15.75" customHeight="1" x14ac:dyDescent="0.25">
      <c r="B141" s="6" t="s">
        <v>2178</v>
      </c>
      <c r="C141" s="6" t="s">
        <v>2179</v>
      </c>
      <c r="D141" s="6" t="s">
        <v>2174</v>
      </c>
      <c r="E141" s="6">
        <v>79</v>
      </c>
      <c r="F141" s="6">
        <v>62.41</v>
      </c>
      <c r="G141" s="6">
        <v>4930.3900000000003</v>
      </c>
      <c r="H141" s="6">
        <v>0</v>
      </c>
      <c r="I141" s="6">
        <v>0</v>
      </c>
    </row>
    <row r="142" spans="2:9" ht="15.75" customHeight="1" x14ac:dyDescent="0.25">
      <c r="B142" s="6" t="s">
        <v>2180</v>
      </c>
      <c r="C142" s="6" t="s">
        <v>2181</v>
      </c>
      <c r="D142" s="6" t="s">
        <v>2174</v>
      </c>
      <c r="E142" s="6">
        <v>123</v>
      </c>
      <c r="F142" s="6">
        <v>74.569999999999993</v>
      </c>
      <c r="G142" s="6">
        <v>9172.11</v>
      </c>
      <c r="H142" s="6">
        <v>0</v>
      </c>
      <c r="I142" s="6">
        <v>0</v>
      </c>
    </row>
    <row r="143" spans="2:9" ht="15.75" customHeight="1" x14ac:dyDescent="0.25">
      <c r="B143" s="6" t="s">
        <v>2182</v>
      </c>
      <c r="C143" s="6" t="s">
        <v>2183</v>
      </c>
      <c r="D143" s="6" t="s">
        <v>2174</v>
      </c>
      <c r="E143" s="6">
        <v>7</v>
      </c>
      <c r="F143" s="6">
        <v>88.1</v>
      </c>
      <c r="G143" s="6">
        <v>616.70000000000005</v>
      </c>
      <c r="H143" s="6">
        <v>0</v>
      </c>
      <c r="I143" s="6">
        <v>0</v>
      </c>
    </row>
    <row r="144" spans="2:9" ht="15.75" customHeight="1" x14ac:dyDescent="0.25">
      <c r="B144" s="6" t="s">
        <v>2184</v>
      </c>
      <c r="C144" s="6" t="s">
        <v>2185</v>
      </c>
      <c r="D144" s="6" t="s">
        <v>2174</v>
      </c>
      <c r="E144" s="6">
        <v>101</v>
      </c>
      <c r="F144" s="6">
        <v>77.72</v>
      </c>
      <c r="G144" s="6">
        <v>7849.72</v>
      </c>
      <c r="H144" s="6">
        <v>0</v>
      </c>
      <c r="I144" s="6">
        <v>0</v>
      </c>
    </row>
    <row r="145" spans="2:9" ht="15.75" customHeight="1" x14ac:dyDescent="0.25">
      <c r="B145" s="6" t="s">
        <v>2186</v>
      </c>
      <c r="C145" s="6" t="s">
        <v>2187</v>
      </c>
      <c r="D145" s="6" t="s">
        <v>2174</v>
      </c>
      <c r="E145" s="6">
        <v>11</v>
      </c>
      <c r="F145" s="6">
        <v>95.72</v>
      </c>
      <c r="G145" s="6">
        <v>1052.92</v>
      </c>
      <c r="H145" s="6">
        <v>0</v>
      </c>
      <c r="I145" s="6">
        <v>0</v>
      </c>
    </row>
    <row r="146" spans="2:9" ht="15.75" customHeight="1" x14ac:dyDescent="0.25">
      <c r="B146" s="6" t="s">
        <v>2188</v>
      </c>
      <c r="C146" s="6" t="s">
        <v>2189</v>
      </c>
      <c r="D146" s="6" t="s">
        <v>2174</v>
      </c>
      <c r="E146" s="6">
        <v>32</v>
      </c>
      <c r="F146" s="6">
        <v>92.24</v>
      </c>
      <c r="G146" s="6">
        <v>2951.68</v>
      </c>
      <c r="H146" s="6">
        <v>0</v>
      </c>
      <c r="I146" s="6">
        <v>0</v>
      </c>
    </row>
    <row r="147" spans="2:9" ht="15.75" customHeight="1" x14ac:dyDescent="0.25">
      <c r="B147" s="6" t="s">
        <v>2190</v>
      </c>
      <c r="C147" s="6" t="s">
        <v>2191</v>
      </c>
      <c r="D147" s="6" t="s">
        <v>2174</v>
      </c>
      <c r="E147" s="6">
        <v>49</v>
      </c>
      <c r="F147" s="6">
        <v>87.95</v>
      </c>
      <c r="G147" s="6">
        <v>4309.55</v>
      </c>
      <c r="H147" s="6">
        <v>0</v>
      </c>
      <c r="I147" s="6">
        <v>0</v>
      </c>
    </row>
    <row r="148" spans="2:9" ht="15.75" customHeight="1" x14ac:dyDescent="0.25">
      <c r="B148" s="5" t="s">
        <v>113</v>
      </c>
      <c r="C148" s="5" t="s">
        <v>2192</v>
      </c>
      <c r="D148" s="1"/>
      <c r="E148" s="1"/>
      <c r="F148" s="1"/>
      <c r="G148" s="5">
        <v>165218.03</v>
      </c>
      <c r="H148" s="1"/>
      <c r="I148" s="5">
        <v>0</v>
      </c>
    </row>
    <row r="149" spans="2:9" ht="15.75" customHeight="1" x14ac:dyDescent="0.25">
      <c r="B149" s="6" t="s">
        <v>115</v>
      </c>
      <c r="C149" s="6" t="s">
        <v>2193</v>
      </c>
      <c r="D149" s="6" t="s">
        <v>2174</v>
      </c>
      <c r="E149" s="6">
        <v>224</v>
      </c>
      <c r="F149" s="6">
        <v>128.30000000000001</v>
      </c>
      <c r="G149" s="6">
        <v>28739.200000000001</v>
      </c>
      <c r="H149" s="6">
        <v>0</v>
      </c>
      <c r="I149" s="6">
        <v>0</v>
      </c>
    </row>
    <row r="150" spans="2:9" ht="15.75" customHeight="1" x14ac:dyDescent="0.25">
      <c r="B150" s="6" t="s">
        <v>688</v>
      </c>
      <c r="C150" s="6" t="s">
        <v>2194</v>
      </c>
      <c r="D150" s="6" t="s">
        <v>2174</v>
      </c>
      <c r="E150" s="6">
        <v>561</v>
      </c>
      <c r="F150" s="6">
        <v>108.45</v>
      </c>
      <c r="G150" s="6">
        <v>60840.45</v>
      </c>
      <c r="H150" s="6">
        <v>0</v>
      </c>
      <c r="I150" s="6">
        <v>0</v>
      </c>
    </row>
    <row r="151" spans="2:9" ht="15.75" customHeight="1" x14ac:dyDescent="0.25">
      <c r="B151" s="6" t="s">
        <v>690</v>
      </c>
      <c r="C151" s="6" t="s">
        <v>2195</v>
      </c>
      <c r="D151" s="6" t="s">
        <v>2174</v>
      </c>
      <c r="E151" s="6">
        <v>270</v>
      </c>
      <c r="F151" s="6">
        <v>108.45</v>
      </c>
      <c r="G151" s="6">
        <v>29281.5</v>
      </c>
      <c r="H151" s="6">
        <v>0</v>
      </c>
      <c r="I151" s="6">
        <v>0</v>
      </c>
    </row>
    <row r="152" spans="2:9" ht="15.75" customHeight="1" x14ac:dyDescent="0.25">
      <c r="B152" s="6" t="s">
        <v>692</v>
      </c>
      <c r="C152" s="6" t="s">
        <v>2196</v>
      </c>
      <c r="D152" s="6" t="s">
        <v>2174</v>
      </c>
      <c r="E152" s="6">
        <v>111</v>
      </c>
      <c r="F152" s="6">
        <v>108.55</v>
      </c>
      <c r="G152" s="6">
        <v>12049.05</v>
      </c>
      <c r="H152" s="6">
        <v>0</v>
      </c>
      <c r="I152" s="6">
        <v>0</v>
      </c>
    </row>
    <row r="153" spans="2:9" ht="15.75" customHeight="1" x14ac:dyDescent="0.25">
      <c r="B153" s="6" t="s">
        <v>694</v>
      </c>
      <c r="C153" s="6" t="s">
        <v>2197</v>
      </c>
      <c r="D153" s="6" t="s">
        <v>2174</v>
      </c>
      <c r="E153" s="6">
        <v>67</v>
      </c>
      <c r="F153" s="6">
        <v>127.09</v>
      </c>
      <c r="G153" s="6">
        <v>8515.0300000000007</v>
      </c>
      <c r="H153" s="6">
        <v>0</v>
      </c>
      <c r="I153" s="6">
        <v>0</v>
      </c>
    </row>
    <row r="154" spans="2:9" ht="15.75" customHeight="1" x14ac:dyDescent="0.25">
      <c r="B154" s="6" t="s">
        <v>696</v>
      </c>
      <c r="C154" s="6" t="s">
        <v>2198</v>
      </c>
      <c r="D154" s="6" t="s">
        <v>2174</v>
      </c>
      <c r="E154" s="6">
        <v>106</v>
      </c>
      <c r="F154" s="6">
        <v>165.5</v>
      </c>
      <c r="G154" s="6">
        <v>17543</v>
      </c>
      <c r="H154" s="6">
        <v>0</v>
      </c>
      <c r="I154" s="6">
        <v>0</v>
      </c>
    </row>
    <row r="155" spans="2:9" ht="15.75" customHeight="1" x14ac:dyDescent="0.25">
      <c r="B155" s="6" t="s">
        <v>698</v>
      </c>
      <c r="C155" s="6" t="s">
        <v>2199</v>
      </c>
      <c r="D155" s="6" t="s">
        <v>2174</v>
      </c>
      <c r="E155" s="6">
        <v>26</v>
      </c>
      <c r="F155" s="6">
        <v>108.55</v>
      </c>
      <c r="G155" s="6">
        <v>2822.3</v>
      </c>
      <c r="H155" s="6">
        <v>0</v>
      </c>
      <c r="I155" s="6">
        <v>0</v>
      </c>
    </row>
    <row r="156" spans="2:9" ht="15.75" customHeight="1" x14ac:dyDescent="0.25">
      <c r="B156" s="6" t="s">
        <v>700</v>
      </c>
      <c r="C156" s="6" t="s">
        <v>2200</v>
      </c>
      <c r="D156" s="6" t="s">
        <v>2174</v>
      </c>
      <c r="E156" s="6">
        <v>50</v>
      </c>
      <c r="F156" s="6">
        <v>108.55</v>
      </c>
      <c r="G156" s="6">
        <v>5427.5</v>
      </c>
      <c r="H156" s="6">
        <v>0</v>
      </c>
      <c r="I156" s="6">
        <v>0</v>
      </c>
    </row>
    <row r="157" spans="2:9" ht="15.75" customHeight="1" x14ac:dyDescent="0.25">
      <c r="B157" s="5" t="s">
        <v>117</v>
      </c>
      <c r="C157" s="5" t="s">
        <v>2201</v>
      </c>
      <c r="D157" s="1"/>
      <c r="E157" s="1"/>
      <c r="F157" s="1"/>
      <c r="G157" s="5">
        <v>37719.67</v>
      </c>
      <c r="H157" s="1"/>
      <c r="I157" s="5">
        <v>0</v>
      </c>
    </row>
    <row r="158" spans="2:9" ht="15.75" customHeight="1" x14ac:dyDescent="0.25">
      <c r="B158" s="6" t="s">
        <v>119</v>
      </c>
      <c r="C158" s="6" t="s">
        <v>2202</v>
      </c>
      <c r="D158" s="6" t="s">
        <v>2174</v>
      </c>
      <c r="E158" s="6">
        <v>3</v>
      </c>
      <c r="F158" s="6">
        <v>393.61</v>
      </c>
      <c r="G158" s="6">
        <v>1180.83</v>
      </c>
      <c r="H158" s="6">
        <v>0</v>
      </c>
      <c r="I158" s="6">
        <v>0</v>
      </c>
    </row>
    <row r="159" spans="2:9" ht="15.75" customHeight="1" x14ac:dyDescent="0.25">
      <c r="B159" s="6" t="s">
        <v>121</v>
      </c>
      <c r="C159" s="6" t="s">
        <v>2203</v>
      </c>
      <c r="D159" s="6" t="s">
        <v>2174</v>
      </c>
      <c r="E159" s="6">
        <v>2</v>
      </c>
      <c r="F159" s="6">
        <v>248.6</v>
      </c>
      <c r="G159" s="6">
        <v>497.2</v>
      </c>
      <c r="H159" s="6">
        <v>0</v>
      </c>
      <c r="I159" s="6">
        <v>0</v>
      </c>
    </row>
    <row r="160" spans="2:9" ht="15.75" customHeight="1" x14ac:dyDescent="0.25">
      <c r="B160" s="6" t="s">
        <v>123</v>
      </c>
      <c r="C160" s="6" t="s">
        <v>2204</v>
      </c>
      <c r="D160" s="6" t="s">
        <v>2174</v>
      </c>
      <c r="E160" s="6">
        <v>3</v>
      </c>
      <c r="F160" s="6">
        <v>227.88</v>
      </c>
      <c r="G160" s="6">
        <v>683.64</v>
      </c>
      <c r="H160" s="6">
        <v>0</v>
      </c>
      <c r="I160" s="6">
        <v>0</v>
      </c>
    </row>
    <row r="161" spans="2:9" ht="15.75" customHeight="1" x14ac:dyDescent="0.25">
      <c r="B161" s="6" t="s">
        <v>125</v>
      </c>
      <c r="C161" s="6" t="s">
        <v>2205</v>
      </c>
      <c r="D161" s="6" t="s">
        <v>2174</v>
      </c>
      <c r="E161" s="6">
        <v>3</v>
      </c>
      <c r="F161" s="6">
        <v>207.17</v>
      </c>
      <c r="G161" s="6">
        <v>621.51</v>
      </c>
      <c r="H161" s="6">
        <v>0</v>
      </c>
      <c r="I161" s="6">
        <v>0</v>
      </c>
    </row>
    <row r="162" spans="2:9" ht="15.75" customHeight="1" x14ac:dyDescent="0.25">
      <c r="B162" s="6" t="s">
        <v>127</v>
      </c>
      <c r="C162" s="6" t="s">
        <v>2206</v>
      </c>
      <c r="D162" s="6" t="s">
        <v>2174</v>
      </c>
      <c r="E162" s="6">
        <v>1</v>
      </c>
      <c r="F162" s="6">
        <v>807.95</v>
      </c>
      <c r="G162" s="6">
        <v>807.95</v>
      </c>
      <c r="H162" s="6">
        <v>0</v>
      </c>
      <c r="I162" s="6">
        <v>0</v>
      </c>
    </row>
    <row r="163" spans="2:9" ht="15.75" customHeight="1" x14ac:dyDescent="0.25">
      <c r="B163" s="6" t="s">
        <v>129</v>
      </c>
      <c r="C163" s="6" t="s">
        <v>2207</v>
      </c>
      <c r="D163" s="6" t="s">
        <v>2174</v>
      </c>
      <c r="E163" s="6">
        <v>1</v>
      </c>
      <c r="F163" s="6">
        <v>321.10000000000002</v>
      </c>
      <c r="G163" s="6">
        <v>321.10000000000002</v>
      </c>
      <c r="H163" s="6">
        <v>0</v>
      </c>
      <c r="I163" s="6">
        <v>0</v>
      </c>
    </row>
    <row r="164" spans="2:9" ht="15.75" customHeight="1" x14ac:dyDescent="0.25">
      <c r="B164" s="6" t="s">
        <v>131</v>
      </c>
      <c r="C164" s="6" t="s">
        <v>2208</v>
      </c>
      <c r="D164" s="6" t="s">
        <v>2174</v>
      </c>
      <c r="E164" s="6">
        <v>3</v>
      </c>
      <c r="F164" s="6">
        <v>98.4</v>
      </c>
      <c r="G164" s="6">
        <v>295.2</v>
      </c>
      <c r="H164" s="6">
        <v>0</v>
      </c>
      <c r="I164" s="6">
        <v>0</v>
      </c>
    </row>
    <row r="165" spans="2:9" ht="15.75" customHeight="1" x14ac:dyDescent="0.25">
      <c r="B165" s="6" t="s">
        <v>133</v>
      </c>
      <c r="C165" s="6" t="s">
        <v>2209</v>
      </c>
      <c r="D165" s="6" t="s">
        <v>2174</v>
      </c>
      <c r="E165" s="6">
        <v>1</v>
      </c>
      <c r="F165" s="6">
        <v>113.94</v>
      </c>
      <c r="G165" s="6">
        <v>113.94</v>
      </c>
      <c r="H165" s="6">
        <v>0</v>
      </c>
      <c r="I165" s="6">
        <v>0</v>
      </c>
    </row>
    <row r="166" spans="2:9" ht="15.75" customHeight="1" x14ac:dyDescent="0.25">
      <c r="B166" s="6" t="s">
        <v>2210</v>
      </c>
      <c r="C166" s="6" t="s">
        <v>2211</v>
      </c>
      <c r="D166" s="6" t="s">
        <v>2174</v>
      </c>
      <c r="E166" s="6">
        <v>1</v>
      </c>
      <c r="F166" s="6">
        <v>113.94</v>
      </c>
      <c r="G166" s="6">
        <v>113.94</v>
      </c>
      <c r="H166" s="6">
        <v>0</v>
      </c>
      <c r="I166" s="6">
        <v>0</v>
      </c>
    </row>
    <row r="167" spans="2:9" ht="15.75" customHeight="1" x14ac:dyDescent="0.25">
      <c r="B167" s="6" t="s">
        <v>2212</v>
      </c>
      <c r="C167" s="6" t="s">
        <v>2213</v>
      </c>
      <c r="D167" s="6" t="s">
        <v>2174</v>
      </c>
      <c r="E167" s="6">
        <v>1</v>
      </c>
      <c r="F167" s="6">
        <v>98.4</v>
      </c>
      <c r="G167" s="6">
        <v>98.4</v>
      </c>
      <c r="H167" s="6">
        <v>0</v>
      </c>
      <c r="I167" s="6">
        <v>0</v>
      </c>
    </row>
    <row r="168" spans="2:9" ht="15.75" customHeight="1" x14ac:dyDescent="0.25">
      <c r="B168" s="6" t="s">
        <v>2214</v>
      </c>
      <c r="C168" s="6" t="s">
        <v>2215</v>
      </c>
      <c r="D168" s="6" t="s">
        <v>2174</v>
      </c>
      <c r="E168" s="6">
        <v>1</v>
      </c>
      <c r="F168" s="6">
        <v>98.4</v>
      </c>
      <c r="G168" s="6">
        <v>98.4</v>
      </c>
      <c r="H168" s="6">
        <v>0</v>
      </c>
      <c r="I168" s="6">
        <v>0</v>
      </c>
    </row>
    <row r="169" spans="2:9" ht="15.75" customHeight="1" x14ac:dyDescent="0.25">
      <c r="B169" s="6" t="s">
        <v>2216</v>
      </c>
      <c r="C169" s="6" t="s">
        <v>2217</v>
      </c>
      <c r="D169" s="6" t="s">
        <v>2174</v>
      </c>
      <c r="E169" s="6">
        <v>18</v>
      </c>
      <c r="F169" s="6">
        <v>77.680000000000007</v>
      </c>
      <c r="G169" s="6">
        <v>1398.24</v>
      </c>
      <c r="H169" s="6">
        <v>0</v>
      </c>
      <c r="I169" s="6">
        <v>0</v>
      </c>
    </row>
    <row r="170" spans="2:9" ht="15.75" customHeight="1" x14ac:dyDescent="0.25">
      <c r="B170" s="6" t="s">
        <v>2218</v>
      </c>
      <c r="C170" s="6" t="s">
        <v>2219</v>
      </c>
      <c r="D170" s="6" t="s">
        <v>2174</v>
      </c>
      <c r="E170" s="6">
        <v>18</v>
      </c>
      <c r="F170" s="6">
        <v>124.3</v>
      </c>
      <c r="G170" s="6">
        <v>2237.4</v>
      </c>
      <c r="H170" s="6">
        <v>0</v>
      </c>
      <c r="I170" s="6">
        <v>0</v>
      </c>
    </row>
    <row r="171" spans="2:9" ht="15.75" customHeight="1" x14ac:dyDescent="0.25">
      <c r="B171" s="6" t="s">
        <v>2220</v>
      </c>
      <c r="C171" s="6" t="s">
        <v>2221</v>
      </c>
      <c r="D171" s="6" t="s">
        <v>2174</v>
      </c>
      <c r="E171" s="6">
        <v>18</v>
      </c>
      <c r="F171" s="6">
        <v>98.4</v>
      </c>
      <c r="G171" s="6">
        <v>1771.2</v>
      </c>
      <c r="H171" s="6">
        <v>0</v>
      </c>
      <c r="I171" s="6">
        <v>0</v>
      </c>
    </row>
    <row r="172" spans="2:9" ht="15.75" customHeight="1" x14ac:dyDescent="0.25">
      <c r="B172" s="6" t="s">
        <v>2222</v>
      </c>
      <c r="C172" s="6" t="s">
        <v>2223</v>
      </c>
      <c r="D172" s="6" t="s">
        <v>2174</v>
      </c>
      <c r="E172" s="6">
        <v>2</v>
      </c>
      <c r="F172" s="6">
        <v>101.51</v>
      </c>
      <c r="G172" s="6">
        <v>203.02</v>
      </c>
      <c r="H172" s="6">
        <v>0</v>
      </c>
      <c r="I172" s="6">
        <v>0</v>
      </c>
    </row>
    <row r="173" spans="2:9" ht="15.75" customHeight="1" x14ac:dyDescent="0.25">
      <c r="B173" s="6" t="s">
        <v>2224</v>
      </c>
      <c r="C173" s="6" t="s">
        <v>2225</v>
      </c>
      <c r="D173" s="6" t="s">
        <v>2174</v>
      </c>
      <c r="E173" s="6">
        <v>1</v>
      </c>
      <c r="F173" s="6">
        <v>98.4</v>
      </c>
      <c r="G173" s="6">
        <v>98.4</v>
      </c>
      <c r="H173" s="6">
        <v>0</v>
      </c>
      <c r="I173" s="6">
        <v>0</v>
      </c>
    </row>
    <row r="174" spans="2:9" ht="15.75" customHeight="1" x14ac:dyDescent="0.25">
      <c r="B174" s="6" t="s">
        <v>2226</v>
      </c>
      <c r="C174" s="6" t="s">
        <v>2227</v>
      </c>
      <c r="D174" s="6" t="s">
        <v>2174</v>
      </c>
      <c r="E174" s="6">
        <v>6</v>
      </c>
      <c r="F174" s="6">
        <v>98.4</v>
      </c>
      <c r="G174" s="6">
        <v>590.4</v>
      </c>
      <c r="H174" s="6">
        <v>0</v>
      </c>
      <c r="I174" s="6">
        <v>0</v>
      </c>
    </row>
    <row r="175" spans="2:9" ht="15.75" customHeight="1" x14ac:dyDescent="0.25">
      <c r="B175" s="6" t="s">
        <v>2228</v>
      </c>
      <c r="C175" s="6" t="s">
        <v>2229</v>
      </c>
      <c r="D175" s="6" t="s">
        <v>2174</v>
      </c>
      <c r="E175" s="6">
        <v>1</v>
      </c>
      <c r="F175" s="6">
        <v>93.22</v>
      </c>
      <c r="G175" s="6">
        <v>93.22</v>
      </c>
      <c r="H175" s="6">
        <v>0</v>
      </c>
      <c r="I175" s="6">
        <v>0</v>
      </c>
    </row>
    <row r="176" spans="2:9" ht="15.75" customHeight="1" x14ac:dyDescent="0.25">
      <c r="B176" s="6" t="s">
        <v>2230</v>
      </c>
      <c r="C176" s="6" t="s">
        <v>2231</v>
      </c>
      <c r="D176" s="6" t="s">
        <v>2174</v>
      </c>
      <c r="E176" s="6">
        <v>1</v>
      </c>
      <c r="F176" s="6">
        <v>93.22</v>
      </c>
      <c r="G176" s="6">
        <v>93.22</v>
      </c>
      <c r="H176" s="6">
        <v>0</v>
      </c>
      <c r="I176" s="6">
        <v>0</v>
      </c>
    </row>
    <row r="177" spans="2:9" ht="15.75" customHeight="1" x14ac:dyDescent="0.25">
      <c r="B177" s="6" t="s">
        <v>2232</v>
      </c>
      <c r="C177" s="6" t="s">
        <v>2233</v>
      </c>
      <c r="D177" s="6" t="s">
        <v>2174</v>
      </c>
      <c r="E177" s="6">
        <v>1</v>
      </c>
      <c r="F177" s="6">
        <v>93.22</v>
      </c>
      <c r="G177" s="6">
        <v>93.22</v>
      </c>
      <c r="H177" s="6">
        <v>0</v>
      </c>
      <c r="I177" s="6">
        <v>0</v>
      </c>
    </row>
    <row r="178" spans="2:9" ht="15.75" customHeight="1" x14ac:dyDescent="0.25">
      <c r="B178" s="6" t="s">
        <v>2234</v>
      </c>
      <c r="C178" s="6" t="s">
        <v>2235</v>
      </c>
      <c r="D178" s="6" t="s">
        <v>2174</v>
      </c>
      <c r="E178" s="6">
        <v>1</v>
      </c>
      <c r="F178" s="6">
        <v>124.3</v>
      </c>
      <c r="G178" s="6">
        <v>124.3</v>
      </c>
      <c r="H178" s="6">
        <v>0</v>
      </c>
      <c r="I178" s="6">
        <v>0</v>
      </c>
    </row>
    <row r="179" spans="2:9" ht="15.75" customHeight="1" x14ac:dyDescent="0.25">
      <c r="B179" s="6" t="s">
        <v>2236</v>
      </c>
      <c r="C179" s="6" t="s">
        <v>2237</v>
      </c>
      <c r="D179" s="6" t="s">
        <v>2174</v>
      </c>
      <c r="E179" s="6">
        <v>1</v>
      </c>
      <c r="F179" s="6">
        <v>124.3</v>
      </c>
      <c r="G179" s="6">
        <v>124.3</v>
      </c>
      <c r="H179" s="6">
        <v>0</v>
      </c>
      <c r="I179" s="6">
        <v>0</v>
      </c>
    </row>
    <row r="180" spans="2:9" ht="15.75" customHeight="1" x14ac:dyDescent="0.25">
      <c r="B180" s="6" t="s">
        <v>2238</v>
      </c>
      <c r="C180" s="6" t="s">
        <v>2239</v>
      </c>
      <c r="D180" s="6" t="s">
        <v>2174</v>
      </c>
      <c r="E180" s="6">
        <v>1</v>
      </c>
      <c r="F180" s="6">
        <v>165.73</v>
      </c>
      <c r="G180" s="6">
        <v>165.73</v>
      </c>
      <c r="H180" s="6">
        <v>0</v>
      </c>
      <c r="I180" s="6">
        <v>0</v>
      </c>
    </row>
    <row r="181" spans="2:9" ht="15.75" customHeight="1" x14ac:dyDescent="0.25">
      <c r="B181" s="6" t="s">
        <v>2240</v>
      </c>
      <c r="C181" s="6" t="s">
        <v>2241</v>
      </c>
      <c r="D181" s="6" t="s">
        <v>2174</v>
      </c>
      <c r="E181" s="6">
        <v>49</v>
      </c>
      <c r="F181" s="6">
        <v>111.97</v>
      </c>
      <c r="G181" s="6">
        <v>5486.53</v>
      </c>
      <c r="H181" s="6">
        <v>0</v>
      </c>
      <c r="I181" s="6">
        <v>0</v>
      </c>
    </row>
    <row r="182" spans="2:9" ht="15.75" customHeight="1" x14ac:dyDescent="0.25">
      <c r="B182" s="6" t="s">
        <v>2242</v>
      </c>
      <c r="C182" s="6" t="s">
        <v>2243</v>
      </c>
      <c r="D182" s="6" t="s">
        <v>2174</v>
      </c>
      <c r="E182" s="6">
        <v>50</v>
      </c>
      <c r="F182" s="6">
        <v>67.33</v>
      </c>
      <c r="G182" s="6">
        <v>3366.5</v>
      </c>
      <c r="H182" s="6">
        <v>0</v>
      </c>
      <c r="I182" s="6">
        <v>0</v>
      </c>
    </row>
    <row r="183" spans="2:9" ht="15.75" customHeight="1" x14ac:dyDescent="0.25">
      <c r="B183" s="6" t="s">
        <v>2244</v>
      </c>
      <c r="C183" s="6" t="s">
        <v>2245</v>
      </c>
      <c r="D183" s="6" t="s">
        <v>2174</v>
      </c>
      <c r="E183" s="6">
        <v>50</v>
      </c>
      <c r="F183" s="6">
        <v>63.19</v>
      </c>
      <c r="G183" s="6">
        <v>3159.5</v>
      </c>
      <c r="H183" s="6">
        <v>0</v>
      </c>
      <c r="I183" s="6">
        <v>0</v>
      </c>
    </row>
    <row r="184" spans="2:9" ht="15.75" customHeight="1" x14ac:dyDescent="0.25">
      <c r="B184" s="6" t="s">
        <v>2246</v>
      </c>
      <c r="C184" s="6" t="s">
        <v>2247</v>
      </c>
      <c r="D184" s="6" t="s">
        <v>2174</v>
      </c>
      <c r="E184" s="6">
        <v>50</v>
      </c>
      <c r="F184" s="6">
        <v>67.33</v>
      </c>
      <c r="G184" s="6">
        <v>3366.5</v>
      </c>
      <c r="H184" s="6">
        <v>0</v>
      </c>
      <c r="I184" s="6">
        <v>0</v>
      </c>
    </row>
    <row r="185" spans="2:9" ht="15.75" customHeight="1" x14ac:dyDescent="0.25">
      <c r="B185" s="6" t="s">
        <v>2248</v>
      </c>
      <c r="C185" s="6" t="s">
        <v>2249</v>
      </c>
      <c r="D185" s="6" t="s">
        <v>2174</v>
      </c>
      <c r="E185" s="6">
        <v>71</v>
      </c>
      <c r="F185" s="6">
        <v>67.33</v>
      </c>
      <c r="G185" s="6">
        <v>4780.43</v>
      </c>
      <c r="H185" s="6">
        <v>0</v>
      </c>
      <c r="I185" s="6">
        <v>0</v>
      </c>
    </row>
    <row r="186" spans="2:9" ht="15.75" customHeight="1" x14ac:dyDescent="0.25">
      <c r="B186" s="6" t="s">
        <v>2250</v>
      </c>
      <c r="C186" s="6" t="s">
        <v>2251</v>
      </c>
      <c r="D186" s="6" t="s">
        <v>2174</v>
      </c>
      <c r="E186" s="6">
        <v>49</v>
      </c>
      <c r="F186" s="6">
        <v>49.72</v>
      </c>
      <c r="G186" s="6">
        <v>2436.2800000000002</v>
      </c>
      <c r="H186" s="6">
        <v>0</v>
      </c>
      <c r="I186" s="6">
        <v>0</v>
      </c>
    </row>
    <row r="187" spans="2:9" ht="15.75" customHeight="1" x14ac:dyDescent="0.25">
      <c r="B187" s="6" t="s">
        <v>2252</v>
      </c>
      <c r="C187" s="6" t="s">
        <v>2253</v>
      </c>
      <c r="D187" s="6" t="s">
        <v>2174</v>
      </c>
      <c r="E187" s="6">
        <v>49</v>
      </c>
      <c r="F187" s="6">
        <v>67.33</v>
      </c>
      <c r="G187" s="6">
        <v>3299.17</v>
      </c>
      <c r="H187" s="6">
        <v>0</v>
      </c>
      <c r="I187" s="6">
        <v>0</v>
      </c>
    </row>
    <row r="188" spans="2:9" ht="15.75" customHeight="1" x14ac:dyDescent="0.25">
      <c r="B188" s="5" t="s">
        <v>135</v>
      </c>
      <c r="C188" s="5" t="s">
        <v>2254</v>
      </c>
      <c r="D188" s="1"/>
      <c r="E188" s="1"/>
      <c r="F188" s="1"/>
      <c r="G188" s="5">
        <v>23436.720000000001</v>
      </c>
      <c r="H188" s="1"/>
      <c r="I188" s="5">
        <v>0</v>
      </c>
    </row>
    <row r="189" spans="2:9" ht="15.75" customHeight="1" x14ac:dyDescent="0.25">
      <c r="B189" s="6" t="s">
        <v>137</v>
      </c>
      <c r="C189" s="6" t="s">
        <v>2255</v>
      </c>
      <c r="D189" s="6" t="s">
        <v>2043</v>
      </c>
      <c r="E189" s="6">
        <v>91</v>
      </c>
      <c r="F189" s="6">
        <v>22.71</v>
      </c>
      <c r="G189" s="6">
        <v>2066.61</v>
      </c>
      <c r="H189" s="6">
        <v>0</v>
      </c>
      <c r="I189" s="6">
        <v>0</v>
      </c>
    </row>
    <row r="190" spans="2:9" ht="15.75" customHeight="1" x14ac:dyDescent="0.25">
      <c r="B190" s="6" t="s">
        <v>139</v>
      </c>
      <c r="C190" s="6" t="s">
        <v>2256</v>
      </c>
      <c r="D190" s="6" t="s">
        <v>2043</v>
      </c>
      <c r="E190" s="6">
        <v>162</v>
      </c>
      <c r="F190" s="6">
        <v>22.71</v>
      </c>
      <c r="G190" s="6">
        <v>3679.02</v>
      </c>
      <c r="H190" s="6">
        <v>0</v>
      </c>
      <c r="I190" s="6">
        <v>0</v>
      </c>
    </row>
    <row r="191" spans="2:9" ht="15.75" customHeight="1" x14ac:dyDescent="0.25">
      <c r="B191" s="6" t="s">
        <v>747</v>
      </c>
      <c r="C191" s="6" t="s">
        <v>2257</v>
      </c>
      <c r="D191" s="6" t="s">
        <v>2043</v>
      </c>
      <c r="E191" s="6">
        <v>65</v>
      </c>
      <c r="F191" s="6">
        <v>22.71</v>
      </c>
      <c r="G191" s="6">
        <v>1476.15</v>
      </c>
      <c r="H191" s="6">
        <v>0</v>
      </c>
      <c r="I191" s="6">
        <v>0</v>
      </c>
    </row>
    <row r="192" spans="2:9" ht="15.75" customHeight="1" x14ac:dyDescent="0.25">
      <c r="B192" s="6" t="s">
        <v>859</v>
      </c>
      <c r="C192" s="6" t="s">
        <v>2258</v>
      </c>
      <c r="D192" s="6" t="s">
        <v>2043</v>
      </c>
      <c r="E192" s="6">
        <v>4</v>
      </c>
      <c r="F192" s="6">
        <v>22.71</v>
      </c>
      <c r="G192" s="6">
        <v>90.84</v>
      </c>
      <c r="H192" s="6">
        <v>0</v>
      </c>
      <c r="I192" s="6">
        <v>0</v>
      </c>
    </row>
    <row r="193" spans="2:9" ht="15.75" customHeight="1" x14ac:dyDescent="0.25">
      <c r="B193" s="6" t="s">
        <v>863</v>
      </c>
      <c r="C193" s="6" t="s">
        <v>2259</v>
      </c>
      <c r="D193" s="6" t="s">
        <v>2043</v>
      </c>
      <c r="E193" s="6">
        <v>192</v>
      </c>
      <c r="F193" s="6">
        <v>22.71</v>
      </c>
      <c r="G193" s="6">
        <v>4360.32</v>
      </c>
      <c r="H193" s="6">
        <v>0</v>
      </c>
      <c r="I193" s="6">
        <v>0</v>
      </c>
    </row>
    <row r="194" spans="2:9" ht="15.75" customHeight="1" x14ac:dyDescent="0.25">
      <c r="B194" s="6" t="s">
        <v>915</v>
      </c>
      <c r="C194" s="6" t="s">
        <v>2260</v>
      </c>
      <c r="D194" s="6" t="s">
        <v>2043</v>
      </c>
      <c r="E194" s="6">
        <v>95</v>
      </c>
      <c r="F194" s="6">
        <v>22.71</v>
      </c>
      <c r="G194" s="6">
        <v>2157.4499999999998</v>
      </c>
      <c r="H194" s="6">
        <v>0</v>
      </c>
      <c r="I194" s="6">
        <v>0</v>
      </c>
    </row>
    <row r="195" spans="2:9" ht="15.75" customHeight="1" x14ac:dyDescent="0.25">
      <c r="B195" s="6" t="s">
        <v>949</v>
      </c>
      <c r="C195" s="6" t="s">
        <v>2261</v>
      </c>
      <c r="D195" s="6" t="s">
        <v>2043</v>
      </c>
      <c r="E195" s="6">
        <v>42</v>
      </c>
      <c r="F195" s="6">
        <v>22.71</v>
      </c>
      <c r="G195" s="6">
        <v>953.82</v>
      </c>
      <c r="H195" s="6">
        <v>0</v>
      </c>
      <c r="I195" s="6">
        <v>0</v>
      </c>
    </row>
    <row r="196" spans="2:9" ht="15.75" customHeight="1" x14ac:dyDescent="0.25">
      <c r="B196" s="6" t="s">
        <v>981</v>
      </c>
      <c r="C196" s="6" t="s">
        <v>2262</v>
      </c>
      <c r="D196" s="6" t="s">
        <v>2043</v>
      </c>
      <c r="E196" s="6">
        <v>3</v>
      </c>
      <c r="F196" s="6">
        <v>22.71</v>
      </c>
      <c r="G196" s="6">
        <v>68.13</v>
      </c>
      <c r="H196" s="6">
        <v>0</v>
      </c>
      <c r="I196" s="6">
        <v>0</v>
      </c>
    </row>
    <row r="197" spans="2:9" ht="15.75" customHeight="1" x14ac:dyDescent="0.25">
      <c r="B197" s="6" t="s">
        <v>2263</v>
      </c>
      <c r="C197" s="6" t="s">
        <v>2264</v>
      </c>
      <c r="D197" s="6" t="s">
        <v>2043</v>
      </c>
      <c r="E197" s="6">
        <v>6</v>
      </c>
      <c r="F197" s="6">
        <v>22.71</v>
      </c>
      <c r="G197" s="6">
        <v>136.26</v>
      </c>
      <c r="H197" s="6">
        <v>0</v>
      </c>
      <c r="I197" s="6">
        <v>0</v>
      </c>
    </row>
    <row r="198" spans="2:9" ht="15.75" customHeight="1" x14ac:dyDescent="0.25">
      <c r="B198" s="6" t="s">
        <v>2265</v>
      </c>
      <c r="C198" s="6" t="s">
        <v>2266</v>
      </c>
      <c r="D198" s="6" t="s">
        <v>2043</v>
      </c>
      <c r="E198" s="6">
        <v>3</v>
      </c>
      <c r="F198" s="6">
        <v>22.71</v>
      </c>
      <c r="G198" s="6">
        <v>68.13</v>
      </c>
      <c r="H198" s="6">
        <v>0</v>
      </c>
      <c r="I198" s="6">
        <v>0</v>
      </c>
    </row>
    <row r="199" spans="2:9" ht="15.75" customHeight="1" x14ac:dyDescent="0.25">
      <c r="B199" s="6" t="s">
        <v>2267</v>
      </c>
      <c r="C199" s="6" t="s">
        <v>2268</v>
      </c>
      <c r="D199" s="6" t="s">
        <v>2043</v>
      </c>
      <c r="E199" s="6">
        <v>3</v>
      </c>
      <c r="F199" s="6">
        <v>22.71</v>
      </c>
      <c r="G199" s="6">
        <v>68.13</v>
      </c>
      <c r="H199" s="6">
        <v>0</v>
      </c>
      <c r="I199" s="6">
        <v>0</v>
      </c>
    </row>
    <row r="200" spans="2:9" ht="15.75" customHeight="1" x14ac:dyDescent="0.25">
      <c r="B200" s="6" t="s">
        <v>2269</v>
      </c>
      <c r="C200" s="6" t="s">
        <v>2270</v>
      </c>
      <c r="D200" s="6" t="s">
        <v>2043</v>
      </c>
      <c r="E200" s="6">
        <v>18</v>
      </c>
      <c r="F200" s="6">
        <v>22.71</v>
      </c>
      <c r="G200" s="6">
        <v>408.78</v>
      </c>
      <c r="H200" s="6">
        <v>0</v>
      </c>
      <c r="I200" s="6">
        <v>0</v>
      </c>
    </row>
    <row r="201" spans="2:9" ht="15.75" customHeight="1" x14ac:dyDescent="0.25">
      <c r="B201" s="6" t="s">
        <v>2271</v>
      </c>
      <c r="C201" s="6" t="s">
        <v>2272</v>
      </c>
      <c r="D201" s="6" t="s">
        <v>2043</v>
      </c>
      <c r="E201" s="6">
        <v>21</v>
      </c>
      <c r="F201" s="6">
        <v>22.71</v>
      </c>
      <c r="G201" s="6">
        <v>476.91</v>
      </c>
      <c r="H201" s="6">
        <v>0</v>
      </c>
      <c r="I201" s="6">
        <v>0</v>
      </c>
    </row>
    <row r="202" spans="2:9" ht="15.75" customHeight="1" x14ac:dyDescent="0.25">
      <c r="B202" s="6" t="s">
        <v>2273</v>
      </c>
      <c r="C202" s="6" t="s">
        <v>2274</v>
      </c>
      <c r="D202" s="6" t="s">
        <v>2043</v>
      </c>
      <c r="E202" s="6">
        <v>62</v>
      </c>
      <c r="F202" s="6">
        <v>22.71</v>
      </c>
      <c r="G202" s="6">
        <v>1408.02</v>
      </c>
      <c r="H202" s="6">
        <v>0</v>
      </c>
      <c r="I202" s="6">
        <v>0</v>
      </c>
    </row>
    <row r="203" spans="2:9" ht="15.75" customHeight="1" x14ac:dyDescent="0.25">
      <c r="B203" s="6" t="s">
        <v>2275</v>
      </c>
      <c r="C203" s="6" t="s">
        <v>2276</v>
      </c>
      <c r="D203" s="6" t="s">
        <v>2043</v>
      </c>
      <c r="E203" s="6">
        <v>10</v>
      </c>
      <c r="F203" s="6">
        <v>22.71</v>
      </c>
      <c r="G203" s="6">
        <v>227.1</v>
      </c>
      <c r="H203" s="6">
        <v>0</v>
      </c>
      <c r="I203" s="6">
        <v>0</v>
      </c>
    </row>
    <row r="204" spans="2:9" ht="15.75" customHeight="1" x14ac:dyDescent="0.25">
      <c r="B204" s="6" t="s">
        <v>2277</v>
      </c>
      <c r="C204" s="6" t="s">
        <v>2278</v>
      </c>
      <c r="D204" s="6" t="s">
        <v>2043</v>
      </c>
      <c r="E204" s="6">
        <v>6</v>
      </c>
      <c r="F204" s="6">
        <v>22.71</v>
      </c>
      <c r="G204" s="6">
        <v>136.26</v>
      </c>
      <c r="H204" s="6">
        <v>0</v>
      </c>
      <c r="I204" s="6">
        <v>0</v>
      </c>
    </row>
    <row r="205" spans="2:9" ht="15.75" customHeight="1" x14ac:dyDescent="0.25">
      <c r="B205" s="6" t="s">
        <v>2279</v>
      </c>
      <c r="C205" s="6" t="s">
        <v>2280</v>
      </c>
      <c r="D205" s="6" t="s">
        <v>2043</v>
      </c>
      <c r="E205" s="6">
        <v>1</v>
      </c>
      <c r="F205" s="6">
        <v>22.71</v>
      </c>
      <c r="G205" s="6">
        <v>22.71</v>
      </c>
      <c r="H205" s="6">
        <v>0</v>
      </c>
      <c r="I205" s="6">
        <v>0</v>
      </c>
    </row>
    <row r="206" spans="2:9" ht="15.75" customHeight="1" x14ac:dyDescent="0.25">
      <c r="B206" s="6" t="s">
        <v>2281</v>
      </c>
      <c r="C206" s="6" t="s">
        <v>2282</v>
      </c>
      <c r="D206" s="6" t="s">
        <v>2043</v>
      </c>
      <c r="E206" s="6">
        <v>2</v>
      </c>
      <c r="F206" s="6">
        <v>22.71</v>
      </c>
      <c r="G206" s="6">
        <v>45.42</v>
      </c>
      <c r="H206" s="6">
        <v>0</v>
      </c>
      <c r="I206" s="6">
        <v>0</v>
      </c>
    </row>
    <row r="207" spans="2:9" ht="15.75" customHeight="1" x14ac:dyDescent="0.25">
      <c r="B207" s="6" t="s">
        <v>2283</v>
      </c>
      <c r="C207" s="6" t="s">
        <v>2284</v>
      </c>
      <c r="D207" s="6" t="s">
        <v>2043</v>
      </c>
      <c r="E207" s="6">
        <v>2</v>
      </c>
      <c r="F207" s="6">
        <v>22.71</v>
      </c>
      <c r="G207" s="6">
        <v>45.42</v>
      </c>
      <c r="H207" s="6">
        <v>0</v>
      </c>
      <c r="I207" s="6">
        <v>0</v>
      </c>
    </row>
    <row r="208" spans="2:9" ht="15.75" customHeight="1" x14ac:dyDescent="0.25">
      <c r="B208" s="6" t="s">
        <v>2285</v>
      </c>
      <c r="C208" s="6" t="s">
        <v>2286</v>
      </c>
      <c r="D208" s="6" t="s">
        <v>2043</v>
      </c>
      <c r="E208" s="6">
        <v>3</v>
      </c>
      <c r="F208" s="6">
        <v>22.71</v>
      </c>
      <c r="G208" s="6">
        <v>68.13</v>
      </c>
      <c r="H208" s="6">
        <v>0</v>
      </c>
      <c r="I208" s="6">
        <v>0</v>
      </c>
    </row>
    <row r="209" spans="2:9" ht="15.75" customHeight="1" x14ac:dyDescent="0.25">
      <c r="B209" s="6" t="s">
        <v>2287</v>
      </c>
      <c r="C209" s="6" t="s">
        <v>2288</v>
      </c>
      <c r="D209" s="6" t="s">
        <v>2043</v>
      </c>
      <c r="E209" s="6">
        <v>3</v>
      </c>
      <c r="F209" s="6">
        <v>22.71</v>
      </c>
      <c r="G209" s="6">
        <v>68.13</v>
      </c>
      <c r="H209" s="6">
        <v>0</v>
      </c>
      <c r="I209" s="6">
        <v>0</v>
      </c>
    </row>
    <row r="210" spans="2:9" ht="15.75" customHeight="1" x14ac:dyDescent="0.25">
      <c r="B210" s="6" t="s">
        <v>2289</v>
      </c>
      <c r="C210" s="6" t="s">
        <v>2290</v>
      </c>
      <c r="D210" s="6" t="s">
        <v>2043</v>
      </c>
      <c r="E210" s="6">
        <v>1</v>
      </c>
      <c r="F210" s="6">
        <v>22.71</v>
      </c>
      <c r="G210" s="6">
        <v>22.71</v>
      </c>
      <c r="H210" s="6">
        <v>0</v>
      </c>
      <c r="I210" s="6">
        <v>0</v>
      </c>
    </row>
    <row r="211" spans="2:9" ht="15.75" customHeight="1" x14ac:dyDescent="0.25">
      <c r="B211" s="6" t="s">
        <v>2291</v>
      </c>
      <c r="C211" s="6" t="s">
        <v>2292</v>
      </c>
      <c r="D211" s="6" t="s">
        <v>2043</v>
      </c>
      <c r="E211" s="6">
        <v>3</v>
      </c>
      <c r="F211" s="6">
        <v>22.71</v>
      </c>
      <c r="G211" s="6">
        <v>68.13</v>
      </c>
      <c r="H211" s="6">
        <v>0</v>
      </c>
      <c r="I211" s="6">
        <v>0</v>
      </c>
    </row>
    <row r="212" spans="2:9" ht="15.75" customHeight="1" x14ac:dyDescent="0.25">
      <c r="B212" s="6" t="s">
        <v>2293</v>
      </c>
      <c r="C212" s="6" t="s">
        <v>2294</v>
      </c>
      <c r="D212" s="6" t="s">
        <v>2043</v>
      </c>
      <c r="E212" s="6">
        <v>4</v>
      </c>
      <c r="F212" s="6">
        <v>22.71</v>
      </c>
      <c r="G212" s="6">
        <v>90.84</v>
      </c>
      <c r="H212" s="6">
        <v>0</v>
      </c>
      <c r="I212" s="6">
        <v>0</v>
      </c>
    </row>
    <row r="213" spans="2:9" ht="15.75" customHeight="1" x14ac:dyDescent="0.25">
      <c r="B213" s="6" t="s">
        <v>2295</v>
      </c>
      <c r="C213" s="6" t="s">
        <v>2296</v>
      </c>
      <c r="D213" s="6" t="s">
        <v>2043</v>
      </c>
      <c r="E213" s="6">
        <v>8</v>
      </c>
      <c r="F213" s="6">
        <v>22.71</v>
      </c>
      <c r="G213" s="6">
        <v>181.68</v>
      </c>
      <c r="H213" s="6">
        <v>0</v>
      </c>
      <c r="I213" s="6">
        <v>0</v>
      </c>
    </row>
    <row r="214" spans="2:9" ht="15.75" customHeight="1" x14ac:dyDescent="0.25">
      <c r="B214" s="6" t="s">
        <v>2297</v>
      </c>
      <c r="C214" s="6" t="s">
        <v>2298</v>
      </c>
      <c r="D214" s="6" t="s">
        <v>2043</v>
      </c>
      <c r="E214" s="6">
        <v>33</v>
      </c>
      <c r="F214" s="6">
        <v>22.71</v>
      </c>
      <c r="G214" s="6">
        <v>749.43</v>
      </c>
      <c r="H214" s="6">
        <v>0</v>
      </c>
      <c r="I214" s="6">
        <v>0</v>
      </c>
    </row>
    <row r="215" spans="2:9" ht="15.75" customHeight="1" x14ac:dyDescent="0.25">
      <c r="B215" s="6" t="s">
        <v>2299</v>
      </c>
      <c r="C215" s="6" t="s">
        <v>2300</v>
      </c>
      <c r="D215" s="6" t="s">
        <v>2043</v>
      </c>
      <c r="E215" s="6">
        <v>9</v>
      </c>
      <c r="F215" s="6">
        <v>22.71</v>
      </c>
      <c r="G215" s="6">
        <v>204.39</v>
      </c>
      <c r="H215" s="6">
        <v>0</v>
      </c>
      <c r="I215" s="6">
        <v>0</v>
      </c>
    </row>
    <row r="216" spans="2:9" ht="15.75" customHeight="1" x14ac:dyDescent="0.25">
      <c r="B216" s="6" t="s">
        <v>2301</v>
      </c>
      <c r="C216" s="6" t="s">
        <v>2302</v>
      </c>
      <c r="D216" s="6" t="s">
        <v>2043</v>
      </c>
      <c r="E216" s="6">
        <v>2</v>
      </c>
      <c r="F216" s="6">
        <v>22.71</v>
      </c>
      <c r="G216" s="6">
        <v>45.42</v>
      </c>
      <c r="H216" s="6">
        <v>0</v>
      </c>
      <c r="I216" s="6">
        <v>0</v>
      </c>
    </row>
    <row r="217" spans="2:9" ht="15.75" customHeight="1" x14ac:dyDescent="0.25">
      <c r="B217" s="6" t="s">
        <v>2303</v>
      </c>
      <c r="C217" s="6" t="s">
        <v>2304</v>
      </c>
      <c r="D217" s="6" t="s">
        <v>2043</v>
      </c>
      <c r="E217" s="6">
        <v>8</v>
      </c>
      <c r="F217" s="6">
        <v>22.71</v>
      </c>
      <c r="G217" s="6">
        <v>181.68</v>
      </c>
      <c r="H217" s="6">
        <v>0</v>
      </c>
      <c r="I217" s="6">
        <v>0</v>
      </c>
    </row>
    <row r="218" spans="2:9" ht="15.75" customHeight="1" x14ac:dyDescent="0.25">
      <c r="B218" s="6" t="s">
        <v>2305</v>
      </c>
      <c r="C218" s="6" t="s">
        <v>2306</v>
      </c>
      <c r="D218" s="6" t="s">
        <v>2043</v>
      </c>
      <c r="E218" s="6">
        <v>21</v>
      </c>
      <c r="F218" s="6">
        <v>22.71</v>
      </c>
      <c r="G218" s="6">
        <v>476.91</v>
      </c>
      <c r="H218" s="6">
        <v>0</v>
      </c>
      <c r="I218" s="6">
        <v>0</v>
      </c>
    </row>
    <row r="219" spans="2:9" ht="15.75" customHeight="1" x14ac:dyDescent="0.25">
      <c r="B219" s="6" t="s">
        <v>2307</v>
      </c>
      <c r="C219" s="6" t="s">
        <v>2167</v>
      </c>
      <c r="D219" s="6" t="s">
        <v>2043</v>
      </c>
      <c r="E219" s="6">
        <v>149</v>
      </c>
      <c r="F219" s="6">
        <v>22.71</v>
      </c>
      <c r="G219" s="6">
        <v>3383.79</v>
      </c>
      <c r="H219" s="6">
        <v>0</v>
      </c>
      <c r="I219" s="6">
        <v>0</v>
      </c>
    </row>
    <row r="220" spans="2:9" ht="15.75" customHeight="1" x14ac:dyDescent="0.25">
      <c r="B220" s="5" t="s">
        <v>1077</v>
      </c>
      <c r="C220" s="5" t="s">
        <v>2308</v>
      </c>
      <c r="D220" s="1"/>
      <c r="E220" s="1"/>
      <c r="F220" s="1"/>
      <c r="G220" s="5">
        <v>15602.34</v>
      </c>
      <c r="H220" s="1"/>
      <c r="I220" s="5">
        <v>0</v>
      </c>
    </row>
    <row r="221" spans="2:9" ht="15.75" customHeight="1" x14ac:dyDescent="0.25">
      <c r="B221" s="7" t="s">
        <v>1079</v>
      </c>
      <c r="C221" s="7" t="s">
        <v>2309</v>
      </c>
      <c r="D221" s="1"/>
      <c r="E221" s="1"/>
      <c r="F221" s="1"/>
      <c r="G221" s="7">
        <v>15602.34</v>
      </c>
      <c r="H221" s="1"/>
      <c r="I221" s="7">
        <v>0</v>
      </c>
    </row>
    <row r="222" spans="2:9" ht="15.75" customHeight="1" x14ac:dyDescent="0.25">
      <c r="B222" s="6" t="s">
        <v>1081</v>
      </c>
      <c r="C222" s="6" t="s">
        <v>2310</v>
      </c>
      <c r="D222" s="6" t="s">
        <v>558</v>
      </c>
      <c r="E222" s="6">
        <v>50</v>
      </c>
      <c r="F222" s="6">
        <v>70.44</v>
      </c>
      <c r="G222" s="6">
        <v>3522</v>
      </c>
      <c r="H222" s="6">
        <v>0</v>
      </c>
      <c r="I222" s="6">
        <v>0</v>
      </c>
    </row>
    <row r="223" spans="2:9" ht="15.75" customHeight="1" x14ac:dyDescent="0.25">
      <c r="B223" s="6" t="s">
        <v>1083</v>
      </c>
      <c r="C223" s="6" t="s">
        <v>2311</v>
      </c>
      <c r="D223" s="6" t="s">
        <v>2043</v>
      </c>
      <c r="E223" s="6">
        <v>1</v>
      </c>
      <c r="F223" s="6">
        <v>1709.12</v>
      </c>
      <c r="G223" s="6">
        <v>1709.12</v>
      </c>
      <c r="H223" s="6">
        <v>0</v>
      </c>
      <c r="I223" s="6">
        <v>0</v>
      </c>
    </row>
    <row r="224" spans="2:9" ht="15.75" customHeight="1" x14ac:dyDescent="0.25">
      <c r="B224" s="6" t="s">
        <v>1085</v>
      </c>
      <c r="C224" s="6" t="s">
        <v>2312</v>
      </c>
      <c r="D224" s="6" t="s">
        <v>2043</v>
      </c>
      <c r="E224" s="6">
        <v>2</v>
      </c>
      <c r="F224" s="6">
        <v>1709.12</v>
      </c>
      <c r="G224" s="6">
        <v>3418.24</v>
      </c>
      <c r="H224" s="6">
        <v>0</v>
      </c>
      <c r="I224" s="6">
        <v>0</v>
      </c>
    </row>
    <row r="225" spans="2:9" ht="15.75" customHeight="1" x14ac:dyDescent="0.25">
      <c r="B225" s="6" t="s">
        <v>1087</v>
      </c>
      <c r="C225" s="6" t="s">
        <v>2313</v>
      </c>
      <c r="D225" s="6" t="s">
        <v>558</v>
      </c>
      <c r="E225" s="6">
        <v>48</v>
      </c>
      <c r="F225" s="6">
        <v>15.54</v>
      </c>
      <c r="G225" s="6">
        <v>745.92</v>
      </c>
      <c r="H225" s="6">
        <v>0</v>
      </c>
      <c r="I225" s="6">
        <v>0</v>
      </c>
    </row>
    <row r="226" spans="2:9" ht="15.75" customHeight="1" x14ac:dyDescent="0.25">
      <c r="B226" s="6" t="s">
        <v>1089</v>
      </c>
      <c r="C226" s="6" t="s">
        <v>2314</v>
      </c>
      <c r="D226" s="6" t="s">
        <v>2315</v>
      </c>
      <c r="E226" s="6">
        <v>1</v>
      </c>
      <c r="F226" s="6">
        <v>46.62</v>
      </c>
      <c r="G226" s="6">
        <v>46.62</v>
      </c>
      <c r="H226" s="6">
        <v>0</v>
      </c>
      <c r="I226" s="6">
        <v>0</v>
      </c>
    </row>
    <row r="227" spans="2:9" ht="15.75" customHeight="1" x14ac:dyDescent="0.25">
      <c r="B227" s="6" t="s">
        <v>1091</v>
      </c>
      <c r="C227" s="6" t="s">
        <v>2316</v>
      </c>
      <c r="D227" s="6" t="s">
        <v>2315</v>
      </c>
      <c r="E227" s="6">
        <v>1</v>
      </c>
      <c r="F227" s="6">
        <v>46.62</v>
      </c>
      <c r="G227" s="6">
        <v>46.62</v>
      </c>
      <c r="H227" s="6">
        <v>0</v>
      </c>
      <c r="I227" s="6">
        <v>0</v>
      </c>
    </row>
    <row r="228" spans="2:9" ht="15.75" customHeight="1" x14ac:dyDescent="0.25">
      <c r="B228" s="6" t="s">
        <v>1093</v>
      </c>
      <c r="C228" s="6" t="s">
        <v>2317</v>
      </c>
      <c r="D228" s="6" t="s">
        <v>558</v>
      </c>
      <c r="E228" s="6">
        <v>31.5</v>
      </c>
      <c r="F228" s="6">
        <v>84.94</v>
      </c>
      <c r="G228" s="6">
        <v>2675.61</v>
      </c>
      <c r="H228" s="6">
        <v>0</v>
      </c>
      <c r="I228" s="6">
        <v>0</v>
      </c>
    </row>
    <row r="229" spans="2:9" ht="15.75" customHeight="1" x14ac:dyDescent="0.25">
      <c r="B229" s="6" t="s">
        <v>2318</v>
      </c>
      <c r="C229" s="6" t="s">
        <v>2319</v>
      </c>
      <c r="D229" s="6" t="s">
        <v>558</v>
      </c>
      <c r="E229" s="6">
        <v>38.1</v>
      </c>
      <c r="F229" s="6">
        <v>84.94</v>
      </c>
      <c r="G229" s="6">
        <v>3236.21</v>
      </c>
      <c r="H229" s="6">
        <v>0</v>
      </c>
      <c r="I229" s="6">
        <v>0</v>
      </c>
    </row>
    <row r="230" spans="2:9" ht="15.75" customHeight="1" x14ac:dyDescent="0.25">
      <c r="B230" s="6" t="s">
        <v>2320</v>
      </c>
      <c r="C230" s="6" t="s">
        <v>2321</v>
      </c>
      <c r="D230" s="6" t="s">
        <v>558</v>
      </c>
      <c r="E230" s="6">
        <v>5</v>
      </c>
      <c r="F230" s="6">
        <v>40.4</v>
      </c>
      <c r="G230" s="6">
        <v>202</v>
      </c>
      <c r="H230" s="6">
        <v>0</v>
      </c>
      <c r="I230" s="6">
        <v>0</v>
      </c>
    </row>
    <row r="231" spans="2:9" ht="15.75" customHeight="1" x14ac:dyDescent="0.25">
      <c r="B231" s="5" t="s">
        <v>1153</v>
      </c>
      <c r="C231" s="5" t="s">
        <v>2322</v>
      </c>
      <c r="D231" s="1"/>
      <c r="E231" s="1"/>
      <c r="F231" s="1"/>
      <c r="G231" s="5">
        <v>165229.06</v>
      </c>
      <c r="H231" s="1"/>
      <c r="I231" s="5">
        <v>0</v>
      </c>
    </row>
    <row r="232" spans="2:9" ht="15.75" customHeight="1" x14ac:dyDescent="0.25">
      <c r="B232" s="7" t="s">
        <v>1155</v>
      </c>
      <c r="C232" s="7" t="s">
        <v>2323</v>
      </c>
      <c r="D232" s="1"/>
      <c r="E232" s="1"/>
      <c r="F232" s="1"/>
      <c r="G232" s="7">
        <v>110674.02</v>
      </c>
      <c r="H232" s="1"/>
      <c r="I232" s="7">
        <v>0</v>
      </c>
    </row>
    <row r="233" spans="2:9" ht="15.75" customHeight="1" x14ac:dyDescent="0.25">
      <c r="B233" s="8" t="s">
        <v>1157</v>
      </c>
      <c r="C233" s="8" t="s">
        <v>2324</v>
      </c>
      <c r="D233" s="1"/>
      <c r="E233" s="1"/>
      <c r="F233" s="1"/>
      <c r="G233" s="8">
        <v>35609.050000000003</v>
      </c>
      <c r="H233" s="1"/>
      <c r="I233" s="8">
        <v>0</v>
      </c>
    </row>
    <row r="234" spans="2:9" ht="15.75" customHeight="1" x14ac:dyDescent="0.25">
      <c r="B234" s="6" t="s">
        <v>2325</v>
      </c>
      <c r="C234" s="6" t="s">
        <v>2326</v>
      </c>
      <c r="D234" s="6" t="s">
        <v>2043</v>
      </c>
      <c r="E234" s="6">
        <v>58</v>
      </c>
      <c r="F234" s="6">
        <v>114.46</v>
      </c>
      <c r="G234" s="6">
        <v>6638.68</v>
      </c>
      <c r="H234" s="6">
        <v>0</v>
      </c>
      <c r="I234" s="6">
        <v>0</v>
      </c>
    </row>
    <row r="235" spans="2:9" ht="15.75" customHeight="1" x14ac:dyDescent="0.25">
      <c r="B235" s="6" t="s">
        <v>2327</v>
      </c>
      <c r="C235" s="6" t="s">
        <v>2328</v>
      </c>
      <c r="D235" s="6" t="s">
        <v>2043</v>
      </c>
      <c r="E235" s="6">
        <v>99</v>
      </c>
      <c r="F235" s="6">
        <v>96.2</v>
      </c>
      <c r="G235" s="6">
        <v>9523.7999999999993</v>
      </c>
      <c r="H235" s="6">
        <v>0</v>
      </c>
      <c r="I235" s="6">
        <v>0</v>
      </c>
    </row>
    <row r="236" spans="2:9" ht="15.75" customHeight="1" x14ac:dyDescent="0.25">
      <c r="B236" s="6" t="s">
        <v>2329</v>
      </c>
      <c r="C236" s="6" t="s">
        <v>2330</v>
      </c>
      <c r="D236" s="6" t="s">
        <v>2043</v>
      </c>
      <c r="E236" s="6">
        <v>175</v>
      </c>
      <c r="F236" s="6">
        <v>109.17</v>
      </c>
      <c r="G236" s="6">
        <v>19104.75</v>
      </c>
      <c r="H236" s="6">
        <v>0</v>
      </c>
      <c r="I236" s="6">
        <v>0</v>
      </c>
    </row>
    <row r="237" spans="2:9" ht="15.75" customHeight="1" x14ac:dyDescent="0.25">
      <c r="B237" s="6" t="s">
        <v>2331</v>
      </c>
      <c r="C237" s="6" t="s">
        <v>2332</v>
      </c>
      <c r="D237" s="6" t="s">
        <v>2043</v>
      </c>
      <c r="E237" s="6">
        <v>1</v>
      </c>
      <c r="F237" s="6">
        <v>124.3</v>
      </c>
      <c r="G237" s="6">
        <v>124.3</v>
      </c>
      <c r="H237" s="6">
        <v>0</v>
      </c>
      <c r="I237" s="6">
        <v>0</v>
      </c>
    </row>
    <row r="238" spans="2:9" ht="15.75" customHeight="1" x14ac:dyDescent="0.25">
      <c r="B238" s="6" t="s">
        <v>2333</v>
      </c>
      <c r="C238" s="6" t="s">
        <v>2334</v>
      </c>
      <c r="D238" s="6" t="s">
        <v>2043</v>
      </c>
      <c r="E238" s="6">
        <v>1</v>
      </c>
      <c r="F238" s="6">
        <v>124.3</v>
      </c>
      <c r="G238" s="6">
        <v>124.3</v>
      </c>
      <c r="H238" s="6">
        <v>0</v>
      </c>
      <c r="I238" s="6">
        <v>0</v>
      </c>
    </row>
    <row r="239" spans="2:9" ht="15.75" customHeight="1" x14ac:dyDescent="0.25">
      <c r="B239" s="6" t="s">
        <v>2335</v>
      </c>
      <c r="C239" s="6" t="s">
        <v>2336</v>
      </c>
      <c r="D239" s="6" t="s">
        <v>2043</v>
      </c>
      <c r="E239" s="6">
        <v>1</v>
      </c>
      <c r="F239" s="6">
        <v>93.22</v>
      </c>
      <c r="G239" s="6">
        <v>93.22</v>
      </c>
      <c r="H239" s="6">
        <v>0</v>
      </c>
      <c r="I239" s="6">
        <v>0</v>
      </c>
    </row>
    <row r="240" spans="2:9" ht="15.75" customHeight="1" x14ac:dyDescent="0.25">
      <c r="B240" s="8" t="s">
        <v>1159</v>
      </c>
      <c r="C240" s="8" t="s">
        <v>2337</v>
      </c>
      <c r="D240" s="1"/>
      <c r="E240" s="1"/>
      <c r="F240" s="1"/>
      <c r="G240" s="8">
        <v>11459.46</v>
      </c>
      <c r="H240" s="1"/>
      <c r="I240" s="8">
        <v>0</v>
      </c>
    </row>
    <row r="241" spans="2:9" ht="15.75" customHeight="1" x14ac:dyDescent="0.25">
      <c r="B241" s="6" t="s">
        <v>2338</v>
      </c>
      <c r="C241" s="6" t="s">
        <v>2339</v>
      </c>
      <c r="D241" s="6" t="s">
        <v>2043</v>
      </c>
      <c r="E241" s="6">
        <v>16</v>
      </c>
      <c r="F241" s="6">
        <v>77.69</v>
      </c>
      <c r="G241" s="6">
        <v>1243.04</v>
      </c>
      <c r="H241" s="6">
        <v>0</v>
      </c>
      <c r="I241" s="6">
        <v>0</v>
      </c>
    </row>
    <row r="242" spans="2:9" ht="15.75" customHeight="1" x14ac:dyDescent="0.25">
      <c r="B242" s="6" t="s">
        <v>2340</v>
      </c>
      <c r="C242" s="6" t="s">
        <v>2341</v>
      </c>
      <c r="D242" s="6" t="s">
        <v>2043</v>
      </c>
      <c r="E242" s="6">
        <v>11</v>
      </c>
      <c r="F242" s="6">
        <v>150.19999999999999</v>
      </c>
      <c r="G242" s="6">
        <v>1652.2</v>
      </c>
      <c r="H242" s="6">
        <v>0</v>
      </c>
      <c r="I242" s="6">
        <v>0</v>
      </c>
    </row>
    <row r="243" spans="2:9" ht="15.75" customHeight="1" x14ac:dyDescent="0.25">
      <c r="B243" s="6" t="s">
        <v>2342</v>
      </c>
      <c r="C243" s="6" t="s">
        <v>2343</v>
      </c>
      <c r="D243" s="6" t="s">
        <v>2043</v>
      </c>
      <c r="E243" s="6">
        <v>23</v>
      </c>
      <c r="F243" s="6">
        <v>253.77</v>
      </c>
      <c r="G243" s="6">
        <v>5836.71</v>
      </c>
      <c r="H243" s="6">
        <v>0</v>
      </c>
      <c r="I243" s="6">
        <v>0</v>
      </c>
    </row>
    <row r="244" spans="2:9" ht="15.75" customHeight="1" x14ac:dyDescent="0.25">
      <c r="B244" s="6" t="s">
        <v>2344</v>
      </c>
      <c r="C244" s="6" t="s">
        <v>2345</v>
      </c>
      <c r="D244" s="6" t="s">
        <v>2043</v>
      </c>
      <c r="E244" s="6">
        <v>1</v>
      </c>
      <c r="F244" s="6">
        <v>27.45</v>
      </c>
      <c r="G244" s="6">
        <v>27.45</v>
      </c>
      <c r="H244" s="6">
        <v>0</v>
      </c>
      <c r="I244" s="6">
        <v>0</v>
      </c>
    </row>
    <row r="245" spans="2:9" ht="15.75" customHeight="1" x14ac:dyDescent="0.25">
      <c r="B245" s="6" t="s">
        <v>2346</v>
      </c>
      <c r="C245" s="6" t="s">
        <v>2347</v>
      </c>
      <c r="D245" s="6" t="s">
        <v>2043</v>
      </c>
      <c r="E245" s="6">
        <v>66</v>
      </c>
      <c r="F245" s="6">
        <v>40.909999999999997</v>
      </c>
      <c r="G245" s="6">
        <v>2700.06</v>
      </c>
      <c r="H245" s="6">
        <v>0</v>
      </c>
      <c r="I245" s="6">
        <v>0</v>
      </c>
    </row>
    <row r="246" spans="2:9" ht="15.75" customHeight="1" x14ac:dyDescent="0.25">
      <c r="B246" s="8" t="s">
        <v>1161</v>
      </c>
      <c r="C246" s="8" t="s">
        <v>2348</v>
      </c>
      <c r="D246" s="1"/>
      <c r="E246" s="1"/>
      <c r="F246" s="1"/>
      <c r="G246" s="8">
        <v>63605.51</v>
      </c>
      <c r="H246" s="1"/>
      <c r="I246" s="8">
        <v>0</v>
      </c>
    </row>
    <row r="247" spans="2:9" ht="15.75" customHeight="1" x14ac:dyDescent="0.25">
      <c r="B247" s="6" t="s">
        <v>2349</v>
      </c>
      <c r="C247" s="6" t="s">
        <v>2350</v>
      </c>
      <c r="D247" s="6" t="s">
        <v>474</v>
      </c>
      <c r="E247" s="6">
        <v>1348.5</v>
      </c>
      <c r="F247" s="6">
        <v>9.64</v>
      </c>
      <c r="G247" s="6">
        <v>12999.54</v>
      </c>
      <c r="H247" s="6">
        <v>0</v>
      </c>
      <c r="I247" s="6">
        <v>0</v>
      </c>
    </row>
    <row r="248" spans="2:9" ht="15.75" customHeight="1" x14ac:dyDescent="0.25">
      <c r="B248" s="6" t="s">
        <v>2351</v>
      </c>
      <c r="C248" s="6" t="s">
        <v>2352</v>
      </c>
      <c r="D248" s="6" t="s">
        <v>474</v>
      </c>
      <c r="E248" s="6">
        <v>3616.2</v>
      </c>
      <c r="F248" s="6">
        <v>12.54</v>
      </c>
      <c r="G248" s="6">
        <v>45347.15</v>
      </c>
      <c r="H248" s="6">
        <v>0</v>
      </c>
      <c r="I248" s="6">
        <v>0</v>
      </c>
    </row>
    <row r="249" spans="2:9" ht="15.75" customHeight="1" x14ac:dyDescent="0.25">
      <c r="B249" s="6" t="s">
        <v>2353</v>
      </c>
      <c r="C249" s="6" t="s">
        <v>2354</v>
      </c>
      <c r="D249" s="6" t="s">
        <v>474</v>
      </c>
      <c r="E249" s="6">
        <v>2</v>
      </c>
      <c r="F249" s="6">
        <v>21.75</v>
      </c>
      <c r="G249" s="6">
        <v>43.5</v>
      </c>
      <c r="H249" s="6">
        <v>0</v>
      </c>
      <c r="I249" s="6">
        <v>0</v>
      </c>
    </row>
    <row r="250" spans="2:9" ht="15.75" customHeight="1" x14ac:dyDescent="0.25">
      <c r="B250" s="6" t="s">
        <v>2355</v>
      </c>
      <c r="C250" s="6" t="s">
        <v>2356</v>
      </c>
      <c r="D250" s="6" t="s">
        <v>474</v>
      </c>
      <c r="E250" s="6">
        <v>36.5</v>
      </c>
      <c r="F250" s="6">
        <v>39.880000000000003</v>
      </c>
      <c r="G250" s="6">
        <v>1455.62</v>
      </c>
      <c r="H250" s="6">
        <v>0</v>
      </c>
      <c r="I250" s="6">
        <v>0</v>
      </c>
    </row>
    <row r="251" spans="2:9" ht="15.75" customHeight="1" x14ac:dyDescent="0.25">
      <c r="B251" s="6" t="s">
        <v>2357</v>
      </c>
      <c r="C251" s="6" t="s">
        <v>2358</v>
      </c>
      <c r="D251" s="6" t="s">
        <v>474</v>
      </c>
      <c r="E251" s="6">
        <v>52.8</v>
      </c>
      <c r="F251" s="6">
        <v>24.34</v>
      </c>
      <c r="G251" s="6">
        <v>1285.1500000000001</v>
      </c>
      <c r="H251" s="6">
        <v>0</v>
      </c>
      <c r="I251" s="6">
        <v>0</v>
      </c>
    </row>
    <row r="252" spans="2:9" ht="15.75" customHeight="1" x14ac:dyDescent="0.25">
      <c r="B252" s="6" t="s">
        <v>2359</v>
      </c>
      <c r="C252" s="6" t="s">
        <v>2360</v>
      </c>
      <c r="D252" s="6" t="s">
        <v>474</v>
      </c>
      <c r="E252" s="6">
        <v>97.5</v>
      </c>
      <c r="F252" s="6">
        <v>25.38</v>
      </c>
      <c r="G252" s="6">
        <v>2474.5500000000002</v>
      </c>
      <c r="H252" s="6">
        <v>0</v>
      </c>
      <c r="I252" s="6">
        <v>0</v>
      </c>
    </row>
    <row r="253" spans="2:9" ht="15.75" customHeight="1" x14ac:dyDescent="0.25">
      <c r="B253" s="7" t="s">
        <v>1163</v>
      </c>
      <c r="C253" s="7" t="s">
        <v>2361</v>
      </c>
      <c r="D253" s="1"/>
      <c r="E253" s="1"/>
      <c r="F253" s="1"/>
      <c r="G253" s="7">
        <v>42594.33</v>
      </c>
      <c r="H253" s="1"/>
      <c r="I253" s="7">
        <v>0</v>
      </c>
    </row>
    <row r="254" spans="2:9" ht="15.75" customHeight="1" x14ac:dyDescent="0.25">
      <c r="B254" s="8" t="s">
        <v>1165</v>
      </c>
      <c r="C254" s="8" t="s">
        <v>2362</v>
      </c>
      <c r="D254" s="1"/>
      <c r="E254" s="1"/>
      <c r="F254" s="1"/>
      <c r="G254" s="8">
        <v>23227.66</v>
      </c>
      <c r="H254" s="1"/>
      <c r="I254" s="8">
        <v>0</v>
      </c>
    </row>
    <row r="255" spans="2:9" ht="15.75" customHeight="1" x14ac:dyDescent="0.25">
      <c r="B255" s="6" t="s">
        <v>2363</v>
      </c>
      <c r="C255" s="6" t="s">
        <v>2364</v>
      </c>
      <c r="D255" s="6" t="s">
        <v>2043</v>
      </c>
      <c r="E255" s="6">
        <v>179</v>
      </c>
      <c r="F255" s="6">
        <v>61.12</v>
      </c>
      <c r="G255" s="6">
        <v>10940.48</v>
      </c>
      <c r="H255" s="6">
        <v>0</v>
      </c>
      <c r="I255" s="6">
        <v>0</v>
      </c>
    </row>
    <row r="256" spans="2:9" ht="15.75" customHeight="1" x14ac:dyDescent="0.25">
      <c r="B256" s="6" t="s">
        <v>2365</v>
      </c>
      <c r="C256" s="6" t="s">
        <v>2366</v>
      </c>
      <c r="D256" s="6" t="s">
        <v>2043</v>
      </c>
      <c r="E256" s="6">
        <v>126</v>
      </c>
      <c r="F256" s="6">
        <v>61.12</v>
      </c>
      <c r="G256" s="6">
        <v>7701.12</v>
      </c>
      <c r="H256" s="6">
        <v>0</v>
      </c>
      <c r="I256" s="6">
        <v>0</v>
      </c>
    </row>
    <row r="257" spans="2:9" ht="15.75" customHeight="1" x14ac:dyDescent="0.25">
      <c r="B257" s="6" t="s">
        <v>2367</v>
      </c>
      <c r="C257" s="6" t="s">
        <v>2368</v>
      </c>
      <c r="D257" s="6" t="s">
        <v>2043</v>
      </c>
      <c r="E257" s="6">
        <v>24</v>
      </c>
      <c r="F257" s="6">
        <v>61.12</v>
      </c>
      <c r="G257" s="6">
        <v>1466.88</v>
      </c>
      <c r="H257" s="6">
        <v>0</v>
      </c>
      <c r="I257" s="6">
        <v>0</v>
      </c>
    </row>
    <row r="258" spans="2:9" ht="15.75" customHeight="1" x14ac:dyDescent="0.25">
      <c r="B258" s="6" t="s">
        <v>2369</v>
      </c>
      <c r="C258" s="6" t="s">
        <v>2370</v>
      </c>
      <c r="D258" s="6" t="s">
        <v>2043</v>
      </c>
      <c r="E258" s="6">
        <v>49</v>
      </c>
      <c r="F258" s="6">
        <v>61.12</v>
      </c>
      <c r="G258" s="6">
        <v>2994.88</v>
      </c>
      <c r="H258" s="6">
        <v>0</v>
      </c>
      <c r="I258" s="6">
        <v>0</v>
      </c>
    </row>
    <row r="259" spans="2:9" ht="15.75" customHeight="1" x14ac:dyDescent="0.25">
      <c r="B259" s="6" t="s">
        <v>2371</v>
      </c>
      <c r="C259" s="6" t="s">
        <v>2372</v>
      </c>
      <c r="D259" s="6" t="s">
        <v>2043</v>
      </c>
      <c r="E259" s="6">
        <v>1</v>
      </c>
      <c r="F259" s="6">
        <v>124.3</v>
      </c>
      <c r="G259" s="6">
        <v>124.3</v>
      </c>
      <c r="H259" s="6">
        <v>0</v>
      </c>
      <c r="I259" s="6">
        <v>0</v>
      </c>
    </row>
    <row r="260" spans="2:9" ht="15.75" customHeight="1" x14ac:dyDescent="0.25">
      <c r="B260" s="8" t="s">
        <v>1167</v>
      </c>
      <c r="C260" s="8" t="s">
        <v>2337</v>
      </c>
      <c r="D260" s="1"/>
      <c r="E260" s="1"/>
      <c r="F260" s="1"/>
      <c r="G260" s="8">
        <v>1856.75</v>
      </c>
      <c r="H260" s="1"/>
      <c r="I260" s="8">
        <v>0</v>
      </c>
    </row>
    <row r="261" spans="2:9" ht="15.75" customHeight="1" x14ac:dyDescent="0.25">
      <c r="B261" s="6" t="s">
        <v>2373</v>
      </c>
      <c r="C261" s="6" t="s">
        <v>2374</v>
      </c>
      <c r="D261" s="6" t="s">
        <v>2043</v>
      </c>
      <c r="E261" s="6">
        <v>6</v>
      </c>
      <c r="F261" s="6">
        <v>28.49</v>
      </c>
      <c r="G261" s="6">
        <v>170.94</v>
      </c>
      <c r="H261" s="6">
        <v>0</v>
      </c>
      <c r="I261" s="6">
        <v>0</v>
      </c>
    </row>
    <row r="262" spans="2:9" ht="15.75" customHeight="1" x14ac:dyDescent="0.25">
      <c r="B262" s="6" t="s">
        <v>2375</v>
      </c>
      <c r="C262" s="6" t="s">
        <v>2376</v>
      </c>
      <c r="D262" s="6" t="s">
        <v>2043</v>
      </c>
      <c r="E262" s="6">
        <v>27</v>
      </c>
      <c r="F262" s="6">
        <v>40.909999999999997</v>
      </c>
      <c r="G262" s="6">
        <v>1104.57</v>
      </c>
      <c r="H262" s="6">
        <v>0</v>
      </c>
      <c r="I262" s="6">
        <v>0</v>
      </c>
    </row>
    <row r="263" spans="2:9" ht="15.75" customHeight="1" x14ac:dyDescent="0.25">
      <c r="B263" s="6" t="s">
        <v>2377</v>
      </c>
      <c r="C263" s="6" t="s">
        <v>2378</v>
      </c>
      <c r="D263" s="6" t="s">
        <v>2043</v>
      </c>
      <c r="E263" s="6">
        <v>22</v>
      </c>
      <c r="F263" s="6">
        <v>26.42</v>
      </c>
      <c r="G263" s="6">
        <v>581.24</v>
      </c>
      <c r="H263" s="6">
        <v>0</v>
      </c>
      <c r="I263" s="6">
        <v>0</v>
      </c>
    </row>
    <row r="264" spans="2:9" ht="15.75" customHeight="1" x14ac:dyDescent="0.25">
      <c r="B264" s="8" t="s">
        <v>1169</v>
      </c>
      <c r="C264" s="8" t="s">
        <v>2348</v>
      </c>
      <c r="D264" s="1"/>
      <c r="E264" s="1"/>
      <c r="F264" s="1"/>
      <c r="G264" s="8">
        <v>17509.919999999998</v>
      </c>
      <c r="H264" s="1"/>
      <c r="I264" s="8">
        <v>0</v>
      </c>
    </row>
    <row r="265" spans="2:9" ht="15.75" customHeight="1" x14ac:dyDescent="0.25">
      <c r="B265" s="6" t="s">
        <v>2379</v>
      </c>
      <c r="C265" s="6" t="s">
        <v>2350</v>
      </c>
      <c r="D265" s="6" t="s">
        <v>474</v>
      </c>
      <c r="E265" s="6">
        <v>1745.3</v>
      </c>
      <c r="F265" s="6">
        <v>9.64</v>
      </c>
      <c r="G265" s="6">
        <v>16824.689999999999</v>
      </c>
      <c r="H265" s="6">
        <v>0</v>
      </c>
      <c r="I265" s="6">
        <v>0</v>
      </c>
    </row>
    <row r="266" spans="2:9" ht="15.75" customHeight="1" x14ac:dyDescent="0.25">
      <c r="B266" s="6" t="s">
        <v>2380</v>
      </c>
      <c r="C266" s="6" t="s">
        <v>2352</v>
      </c>
      <c r="D266" s="6" t="s">
        <v>474</v>
      </c>
      <c r="E266" s="6">
        <v>30.5</v>
      </c>
      <c r="F266" s="6">
        <v>12.54</v>
      </c>
      <c r="G266" s="6">
        <v>382.47</v>
      </c>
      <c r="H266" s="6">
        <v>0</v>
      </c>
      <c r="I266" s="6">
        <v>0</v>
      </c>
    </row>
    <row r="267" spans="2:9" ht="15.75" customHeight="1" x14ac:dyDescent="0.25">
      <c r="B267" s="6" t="s">
        <v>2381</v>
      </c>
      <c r="C267" s="6" t="s">
        <v>2382</v>
      </c>
      <c r="D267" s="6" t="s">
        <v>474</v>
      </c>
      <c r="E267" s="6">
        <v>17.399999999999999</v>
      </c>
      <c r="F267" s="6">
        <v>17.399999999999999</v>
      </c>
      <c r="G267" s="6">
        <v>302.76</v>
      </c>
      <c r="H267" s="6">
        <v>0</v>
      </c>
      <c r="I267" s="6">
        <v>0</v>
      </c>
    </row>
    <row r="268" spans="2:9" ht="15.75" customHeight="1" x14ac:dyDescent="0.25">
      <c r="B268" s="7" t="s">
        <v>1173</v>
      </c>
      <c r="C268" s="7" t="s">
        <v>2383</v>
      </c>
      <c r="D268" s="1"/>
      <c r="E268" s="1"/>
      <c r="F268" s="1"/>
      <c r="G268" s="7">
        <v>11960.71</v>
      </c>
      <c r="H268" s="1"/>
      <c r="I268" s="7">
        <v>0</v>
      </c>
    </row>
    <row r="269" spans="2:9" ht="15.75" customHeight="1" x14ac:dyDescent="0.25">
      <c r="B269" s="8" t="s">
        <v>1175</v>
      </c>
      <c r="C269" s="8" t="s">
        <v>2362</v>
      </c>
      <c r="D269" s="1"/>
      <c r="E269" s="1"/>
      <c r="F269" s="1"/>
      <c r="G269" s="8">
        <v>2142.29</v>
      </c>
      <c r="H269" s="1"/>
      <c r="I269" s="8">
        <v>0</v>
      </c>
    </row>
    <row r="270" spans="2:9" ht="15.75" customHeight="1" x14ac:dyDescent="0.25">
      <c r="B270" s="6" t="s">
        <v>2384</v>
      </c>
      <c r="C270" s="6" t="s">
        <v>2385</v>
      </c>
      <c r="D270" s="6" t="s">
        <v>2043</v>
      </c>
      <c r="E270" s="6">
        <v>26</v>
      </c>
      <c r="F270" s="6">
        <v>61.12</v>
      </c>
      <c r="G270" s="6">
        <v>1589.12</v>
      </c>
      <c r="H270" s="6">
        <v>0</v>
      </c>
      <c r="I270" s="6">
        <v>0</v>
      </c>
    </row>
    <row r="271" spans="2:9" ht="15.75" customHeight="1" x14ac:dyDescent="0.25">
      <c r="B271" s="6" t="s">
        <v>2386</v>
      </c>
      <c r="C271" s="6" t="s">
        <v>2387</v>
      </c>
      <c r="D271" s="6" t="s">
        <v>2043</v>
      </c>
      <c r="E271" s="6">
        <v>6</v>
      </c>
      <c r="F271" s="6">
        <v>61.12</v>
      </c>
      <c r="G271" s="6">
        <v>366.72</v>
      </c>
      <c r="H271" s="6">
        <v>0</v>
      </c>
      <c r="I271" s="6">
        <v>0</v>
      </c>
    </row>
    <row r="272" spans="2:9" ht="15.75" customHeight="1" x14ac:dyDescent="0.25">
      <c r="B272" s="6" t="s">
        <v>2388</v>
      </c>
      <c r="C272" s="6" t="s">
        <v>2389</v>
      </c>
      <c r="D272" s="6" t="s">
        <v>2043</v>
      </c>
      <c r="E272" s="6">
        <v>1</v>
      </c>
      <c r="F272" s="6">
        <v>62.15</v>
      </c>
      <c r="G272" s="6">
        <v>62.15</v>
      </c>
      <c r="H272" s="6">
        <v>0</v>
      </c>
      <c r="I272" s="6">
        <v>0</v>
      </c>
    </row>
    <row r="273" spans="2:9" ht="15.75" customHeight="1" x14ac:dyDescent="0.25">
      <c r="B273" s="6" t="s">
        <v>2390</v>
      </c>
      <c r="C273" s="6" t="s">
        <v>2391</v>
      </c>
      <c r="D273" s="6" t="s">
        <v>2043</v>
      </c>
      <c r="E273" s="6">
        <v>1</v>
      </c>
      <c r="F273" s="6">
        <v>124.3</v>
      </c>
      <c r="G273" s="6">
        <v>124.3</v>
      </c>
      <c r="H273" s="6">
        <v>0</v>
      </c>
      <c r="I273" s="6">
        <v>0</v>
      </c>
    </row>
    <row r="274" spans="2:9" ht="15.75" customHeight="1" x14ac:dyDescent="0.25">
      <c r="B274" s="8" t="s">
        <v>1177</v>
      </c>
      <c r="C274" s="8" t="s">
        <v>2337</v>
      </c>
      <c r="D274" s="1"/>
      <c r="E274" s="1"/>
      <c r="F274" s="1"/>
      <c r="G274" s="8">
        <v>2713.11</v>
      </c>
      <c r="H274" s="1"/>
      <c r="I274" s="8">
        <v>0</v>
      </c>
    </row>
    <row r="275" spans="2:9" ht="15.75" customHeight="1" x14ac:dyDescent="0.25">
      <c r="B275" s="6" t="s">
        <v>2392</v>
      </c>
      <c r="C275" s="6" t="s">
        <v>2374</v>
      </c>
      <c r="D275" s="6" t="s">
        <v>2043</v>
      </c>
      <c r="E275" s="6">
        <v>61</v>
      </c>
      <c r="F275" s="6">
        <v>28.49</v>
      </c>
      <c r="G275" s="6">
        <v>1737.89</v>
      </c>
      <c r="H275" s="6">
        <v>0</v>
      </c>
      <c r="I275" s="6">
        <v>0</v>
      </c>
    </row>
    <row r="276" spans="2:9" ht="15.75" customHeight="1" x14ac:dyDescent="0.25">
      <c r="B276" s="6" t="s">
        <v>2393</v>
      </c>
      <c r="C276" s="6" t="s">
        <v>2376</v>
      </c>
      <c r="D276" s="6" t="s">
        <v>2043</v>
      </c>
      <c r="E276" s="6">
        <v>2</v>
      </c>
      <c r="F276" s="6">
        <v>40.909999999999997</v>
      </c>
      <c r="G276" s="6">
        <v>81.819999999999993</v>
      </c>
      <c r="H276" s="6">
        <v>0</v>
      </c>
      <c r="I276" s="6">
        <v>0</v>
      </c>
    </row>
    <row r="277" spans="2:9" ht="15.75" customHeight="1" x14ac:dyDescent="0.25">
      <c r="B277" s="6" t="s">
        <v>2394</v>
      </c>
      <c r="C277" s="6" t="s">
        <v>2395</v>
      </c>
      <c r="D277" s="6" t="s">
        <v>2043</v>
      </c>
      <c r="E277" s="6">
        <v>15</v>
      </c>
      <c r="F277" s="6">
        <v>59.56</v>
      </c>
      <c r="G277" s="6">
        <v>893.4</v>
      </c>
      <c r="H277" s="6">
        <v>0</v>
      </c>
      <c r="I277" s="6">
        <v>0</v>
      </c>
    </row>
    <row r="278" spans="2:9" ht="15.75" customHeight="1" x14ac:dyDescent="0.25">
      <c r="B278" s="8" t="s">
        <v>2396</v>
      </c>
      <c r="C278" s="8" t="s">
        <v>2348</v>
      </c>
      <c r="D278" s="1"/>
      <c r="E278" s="1"/>
      <c r="F278" s="1"/>
      <c r="G278" s="8">
        <v>7105.31</v>
      </c>
      <c r="H278" s="1"/>
      <c r="I278" s="8">
        <v>0</v>
      </c>
    </row>
    <row r="279" spans="2:9" ht="15.75" customHeight="1" x14ac:dyDescent="0.25">
      <c r="B279" s="6" t="s">
        <v>2397</v>
      </c>
      <c r="C279" s="6" t="s">
        <v>2350</v>
      </c>
      <c r="D279" s="6" t="s">
        <v>474</v>
      </c>
      <c r="E279" s="6">
        <v>526</v>
      </c>
      <c r="F279" s="6">
        <v>9.64</v>
      </c>
      <c r="G279" s="6">
        <v>5070.6400000000003</v>
      </c>
      <c r="H279" s="6">
        <v>0</v>
      </c>
      <c r="I279" s="6">
        <v>0</v>
      </c>
    </row>
    <row r="280" spans="2:9" ht="15.75" customHeight="1" x14ac:dyDescent="0.25">
      <c r="B280" s="6" t="s">
        <v>2398</v>
      </c>
      <c r="C280" s="6" t="s">
        <v>2352</v>
      </c>
      <c r="D280" s="6" t="s">
        <v>474</v>
      </c>
      <c r="E280" s="6">
        <v>16</v>
      </c>
      <c r="F280" s="6">
        <v>12.54</v>
      </c>
      <c r="G280" s="6">
        <v>200.64</v>
      </c>
      <c r="H280" s="6">
        <v>0</v>
      </c>
      <c r="I280" s="6">
        <v>0</v>
      </c>
    </row>
    <row r="281" spans="2:9" ht="15.75" customHeight="1" x14ac:dyDescent="0.25">
      <c r="B281" s="6" t="s">
        <v>2399</v>
      </c>
      <c r="C281" s="6" t="s">
        <v>2400</v>
      </c>
      <c r="D281" s="6" t="s">
        <v>474</v>
      </c>
      <c r="E281" s="6">
        <v>3.5</v>
      </c>
      <c r="F281" s="6">
        <v>14.71</v>
      </c>
      <c r="G281" s="6">
        <v>51.49</v>
      </c>
      <c r="H281" s="6">
        <v>0</v>
      </c>
      <c r="I281" s="6">
        <v>0</v>
      </c>
    </row>
    <row r="282" spans="2:9" ht="15.75" customHeight="1" x14ac:dyDescent="0.25">
      <c r="B282" s="6" t="s">
        <v>2401</v>
      </c>
      <c r="C282" s="6" t="s">
        <v>2354</v>
      </c>
      <c r="D282" s="6" t="s">
        <v>474</v>
      </c>
      <c r="E282" s="6">
        <v>32.700000000000003</v>
      </c>
      <c r="F282" s="6">
        <v>21.75</v>
      </c>
      <c r="G282" s="6">
        <v>711.23</v>
      </c>
      <c r="H282" s="6">
        <v>0</v>
      </c>
      <c r="I282" s="6">
        <v>0</v>
      </c>
    </row>
    <row r="283" spans="2:9" ht="15.75" customHeight="1" x14ac:dyDescent="0.25">
      <c r="B283" s="6" t="s">
        <v>2402</v>
      </c>
      <c r="C283" s="6" t="s">
        <v>2403</v>
      </c>
      <c r="D283" s="6" t="s">
        <v>474</v>
      </c>
      <c r="E283" s="6">
        <v>8.1999999999999993</v>
      </c>
      <c r="F283" s="6">
        <v>13.67</v>
      </c>
      <c r="G283" s="6">
        <v>112.09</v>
      </c>
      <c r="H283" s="6">
        <v>0</v>
      </c>
      <c r="I283" s="6">
        <v>0</v>
      </c>
    </row>
    <row r="284" spans="2:9" ht="15.75" customHeight="1" x14ac:dyDescent="0.25">
      <c r="B284" s="6" t="s">
        <v>2404</v>
      </c>
      <c r="C284" s="6" t="s">
        <v>2382</v>
      </c>
      <c r="D284" s="6" t="s">
        <v>474</v>
      </c>
      <c r="E284" s="6">
        <v>12</v>
      </c>
      <c r="F284" s="6">
        <v>17.399999999999999</v>
      </c>
      <c r="G284" s="6">
        <v>208.8</v>
      </c>
      <c r="H284" s="6">
        <v>0</v>
      </c>
      <c r="I284" s="6">
        <v>0</v>
      </c>
    </row>
    <row r="285" spans="2:9" ht="15.75" customHeight="1" x14ac:dyDescent="0.25">
      <c r="B285" s="6" t="s">
        <v>2405</v>
      </c>
      <c r="C285" s="6" t="s">
        <v>2358</v>
      </c>
      <c r="D285" s="6" t="s">
        <v>474</v>
      </c>
      <c r="E285" s="6">
        <v>15</v>
      </c>
      <c r="F285" s="6">
        <v>24.34</v>
      </c>
      <c r="G285" s="6">
        <v>365.1</v>
      </c>
      <c r="H285" s="6">
        <v>0</v>
      </c>
      <c r="I285" s="6">
        <v>0</v>
      </c>
    </row>
    <row r="286" spans="2:9" ht="15.75" customHeight="1" x14ac:dyDescent="0.25">
      <c r="B286" s="6" t="s">
        <v>2406</v>
      </c>
      <c r="C286" s="6" t="s">
        <v>2407</v>
      </c>
      <c r="D286" s="6" t="s">
        <v>474</v>
      </c>
      <c r="E286" s="6">
        <v>9</v>
      </c>
      <c r="F286" s="6">
        <v>29.52</v>
      </c>
      <c r="G286" s="6">
        <v>265.68</v>
      </c>
      <c r="H286" s="6">
        <v>0</v>
      </c>
      <c r="I286" s="6">
        <v>0</v>
      </c>
    </row>
    <row r="287" spans="2:9" ht="15.75" customHeight="1" x14ac:dyDescent="0.25">
      <c r="B287" s="6" t="s">
        <v>2408</v>
      </c>
      <c r="C287" s="6" t="s">
        <v>2360</v>
      </c>
      <c r="D287" s="6" t="s">
        <v>474</v>
      </c>
      <c r="E287" s="6">
        <v>3</v>
      </c>
      <c r="F287" s="6">
        <v>39.880000000000003</v>
      </c>
      <c r="G287" s="6">
        <v>119.64</v>
      </c>
      <c r="H287" s="6">
        <v>0</v>
      </c>
      <c r="I287" s="6">
        <v>0</v>
      </c>
    </row>
    <row r="288" spans="2:9" ht="15.75" customHeight="1" x14ac:dyDescent="0.25">
      <c r="B288" s="5" t="s">
        <v>1219</v>
      </c>
      <c r="C288" s="5" t="s">
        <v>2409</v>
      </c>
      <c r="D288" s="1"/>
      <c r="E288" s="1"/>
      <c r="F288" s="1"/>
      <c r="G288" s="5">
        <v>7509.75</v>
      </c>
      <c r="H288" s="1"/>
      <c r="I288" s="5">
        <v>0</v>
      </c>
    </row>
    <row r="289" spans="2:9" ht="15.75" customHeight="1" x14ac:dyDescent="0.25">
      <c r="B289" s="6" t="s">
        <v>1221</v>
      </c>
      <c r="C289" s="6" t="s">
        <v>2410</v>
      </c>
      <c r="D289" s="6" t="s">
        <v>1152</v>
      </c>
      <c r="E289" s="6">
        <v>1</v>
      </c>
      <c r="F289" s="6">
        <v>6732.88</v>
      </c>
      <c r="G289" s="6">
        <v>6732.88</v>
      </c>
      <c r="H289" s="6">
        <v>0</v>
      </c>
      <c r="I289" s="6">
        <v>0</v>
      </c>
    </row>
    <row r="290" spans="2:9" ht="15.75" customHeight="1" x14ac:dyDescent="0.25">
      <c r="B290" s="6" t="s">
        <v>1227</v>
      </c>
      <c r="C290" s="6" t="s">
        <v>2411</v>
      </c>
      <c r="D290" s="6" t="s">
        <v>1152</v>
      </c>
      <c r="E290" s="6">
        <v>1</v>
      </c>
      <c r="F290" s="6">
        <v>776.87</v>
      </c>
      <c r="G290" s="6">
        <v>776.87</v>
      </c>
      <c r="H290" s="6">
        <v>0</v>
      </c>
      <c r="I290" s="6">
        <v>0</v>
      </c>
    </row>
    <row r="291" spans="2:9" ht="15.75" customHeight="1" x14ac:dyDescent="0.25">
      <c r="B291" s="5" t="s">
        <v>1237</v>
      </c>
      <c r="C291" s="5" t="s">
        <v>2412</v>
      </c>
      <c r="D291" s="1"/>
      <c r="E291" s="1"/>
      <c r="F291" s="1"/>
      <c r="G291" s="5">
        <v>45213.77</v>
      </c>
      <c r="H291" s="1"/>
      <c r="I291" s="5">
        <v>0</v>
      </c>
    </row>
    <row r="292" spans="2:9" ht="15.75" customHeight="1" x14ac:dyDescent="0.25">
      <c r="B292" s="7" t="s">
        <v>1239</v>
      </c>
      <c r="C292" s="7" t="s">
        <v>2413</v>
      </c>
      <c r="D292" s="1"/>
      <c r="E292" s="1"/>
      <c r="F292" s="1"/>
      <c r="G292" s="7">
        <v>7341.9</v>
      </c>
      <c r="H292" s="1"/>
      <c r="I292" s="7">
        <v>0</v>
      </c>
    </row>
    <row r="293" spans="2:9" ht="15.75" customHeight="1" x14ac:dyDescent="0.25">
      <c r="B293" s="6" t="s">
        <v>1241</v>
      </c>
      <c r="C293" s="6" t="s">
        <v>2414</v>
      </c>
      <c r="D293" s="6" t="s">
        <v>2043</v>
      </c>
      <c r="E293" s="6">
        <v>2</v>
      </c>
      <c r="F293" s="6">
        <v>64.739999999999995</v>
      </c>
      <c r="G293" s="6">
        <v>129.47999999999999</v>
      </c>
      <c r="H293" s="6">
        <v>0</v>
      </c>
      <c r="I293" s="6">
        <v>0</v>
      </c>
    </row>
    <row r="294" spans="2:9" ht="15.75" customHeight="1" x14ac:dyDescent="0.25">
      <c r="B294" s="6" t="s">
        <v>1243</v>
      </c>
      <c r="C294" s="6" t="s">
        <v>2415</v>
      </c>
      <c r="D294" s="6" t="s">
        <v>2043</v>
      </c>
      <c r="E294" s="6">
        <v>4</v>
      </c>
      <c r="F294" s="6">
        <v>64.739999999999995</v>
      </c>
      <c r="G294" s="6">
        <v>258.95999999999998</v>
      </c>
      <c r="H294" s="6">
        <v>0</v>
      </c>
      <c r="I294" s="6">
        <v>0</v>
      </c>
    </row>
    <row r="295" spans="2:9" ht="15.75" customHeight="1" x14ac:dyDescent="0.25">
      <c r="B295" s="6" t="s">
        <v>1245</v>
      </c>
      <c r="C295" s="6" t="s">
        <v>2416</v>
      </c>
      <c r="D295" s="6" t="s">
        <v>2043</v>
      </c>
      <c r="E295" s="6">
        <v>172</v>
      </c>
      <c r="F295" s="6">
        <v>26.42</v>
      </c>
      <c r="G295" s="6">
        <v>4544.24</v>
      </c>
      <c r="H295" s="6">
        <v>0</v>
      </c>
      <c r="I295" s="6">
        <v>0</v>
      </c>
    </row>
    <row r="296" spans="2:9" ht="15.75" customHeight="1" x14ac:dyDescent="0.25">
      <c r="B296" s="6" t="s">
        <v>1247</v>
      </c>
      <c r="C296" s="6" t="s">
        <v>2417</v>
      </c>
      <c r="D296" s="6" t="s">
        <v>2043</v>
      </c>
      <c r="E296" s="6">
        <v>48</v>
      </c>
      <c r="F296" s="6">
        <v>28.49</v>
      </c>
      <c r="G296" s="6">
        <v>1367.52</v>
      </c>
      <c r="H296" s="6">
        <v>0</v>
      </c>
      <c r="I296" s="6">
        <v>0</v>
      </c>
    </row>
    <row r="297" spans="2:9" ht="15.75" customHeight="1" x14ac:dyDescent="0.25">
      <c r="B297" s="6" t="s">
        <v>1249</v>
      </c>
      <c r="C297" s="6" t="s">
        <v>2418</v>
      </c>
      <c r="D297" s="6" t="s">
        <v>2043</v>
      </c>
      <c r="E297" s="6">
        <v>4</v>
      </c>
      <c r="F297" s="6">
        <v>35.42</v>
      </c>
      <c r="G297" s="6">
        <v>141.68</v>
      </c>
      <c r="H297" s="6">
        <v>0</v>
      </c>
      <c r="I297" s="6">
        <v>0</v>
      </c>
    </row>
    <row r="298" spans="2:9" ht="15.75" customHeight="1" x14ac:dyDescent="0.25">
      <c r="B298" s="6" t="s">
        <v>1251</v>
      </c>
      <c r="C298" s="6" t="s">
        <v>2419</v>
      </c>
      <c r="D298" s="6" t="s">
        <v>2043</v>
      </c>
      <c r="E298" s="6">
        <v>22</v>
      </c>
      <c r="F298" s="6">
        <v>40.909999999999997</v>
      </c>
      <c r="G298" s="6">
        <v>900.02</v>
      </c>
      <c r="H298" s="6">
        <v>0</v>
      </c>
      <c r="I298" s="6">
        <v>0</v>
      </c>
    </row>
    <row r="299" spans="2:9" ht="15.75" customHeight="1" x14ac:dyDescent="0.25">
      <c r="B299" s="7" t="s">
        <v>1293</v>
      </c>
      <c r="C299" s="7" t="s">
        <v>2420</v>
      </c>
      <c r="D299" s="1"/>
      <c r="E299" s="1"/>
      <c r="F299" s="1"/>
      <c r="G299" s="7">
        <v>20707.400000000001</v>
      </c>
      <c r="H299" s="1"/>
      <c r="I299" s="7">
        <v>0</v>
      </c>
    </row>
    <row r="300" spans="2:9" ht="15.75" customHeight="1" x14ac:dyDescent="0.25">
      <c r="B300" s="6" t="s">
        <v>1295</v>
      </c>
      <c r="C300" s="6" t="s">
        <v>2421</v>
      </c>
      <c r="D300" s="6" t="s">
        <v>2043</v>
      </c>
      <c r="E300" s="6">
        <v>50</v>
      </c>
      <c r="F300" s="6">
        <v>64.23</v>
      </c>
      <c r="G300" s="6">
        <v>3211.5</v>
      </c>
      <c r="H300" s="6">
        <v>0</v>
      </c>
      <c r="I300" s="6">
        <v>0</v>
      </c>
    </row>
    <row r="301" spans="2:9" ht="15.75" customHeight="1" x14ac:dyDescent="0.25">
      <c r="B301" s="6" t="s">
        <v>1297</v>
      </c>
      <c r="C301" s="6" t="s">
        <v>2422</v>
      </c>
      <c r="D301" s="6" t="s">
        <v>2043</v>
      </c>
      <c r="E301" s="6">
        <v>50</v>
      </c>
      <c r="F301" s="6">
        <v>105.85</v>
      </c>
      <c r="G301" s="6">
        <v>5292.5</v>
      </c>
      <c r="H301" s="6">
        <v>0</v>
      </c>
      <c r="I301" s="6">
        <v>0</v>
      </c>
    </row>
    <row r="302" spans="2:9" ht="15.75" customHeight="1" x14ac:dyDescent="0.25">
      <c r="B302" s="6" t="s">
        <v>1299</v>
      </c>
      <c r="C302" s="6" t="s">
        <v>2423</v>
      </c>
      <c r="D302" s="6" t="s">
        <v>2043</v>
      </c>
      <c r="E302" s="6">
        <v>58</v>
      </c>
      <c r="F302" s="6">
        <v>105.85</v>
      </c>
      <c r="G302" s="6">
        <v>6139.3</v>
      </c>
      <c r="H302" s="6">
        <v>0</v>
      </c>
      <c r="I302" s="6">
        <v>0</v>
      </c>
    </row>
    <row r="303" spans="2:9" ht="15.75" customHeight="1" x14ac:dyDescent="0.25">
      <c r="B303" s="6" t="s">
        <v>1301</v>
      </c>
      <c r="C303" s="6" t="s">
        <v>2424</v>
      </c>
      <c r="D303" s="6" t="s">
        <v>2043</v>
      </c>
      <c r="E303" s="6">
        <v>3</v>
      </c>
      <c r="F303" s="6">
        <v>145.69999999999999</v>
      </c>
      <c r="G303" s="6">
        <v>437.1</v>
      </c>
      <c r="H303" s="6">
        <v>0</v>
      </c>
      <c r="I303" s="6">
        <v>0</v>
      </c>
    </row>
    <row r="304" spans="2:9" ht="15.75" customHeight="1" x14ac:dyDescent="0.25">
      <c r="B304" s="6" t="s">
        <v>1303</v>
      </c>
      <c r="C304" s="6" t="s">
        <v>2425</v>
      </c>
      <c r="D304" s="6" t="s">
        <v>2043</v>
      </c>
      <c r="E304" s="6">
        <v>34</v>
      </c>
      <c r="F304" s="6">
        <v>165.5</v>
      </c>
      <c r="G304" s="6">
        <v>5627</v>
      </c>
      <c r="H304" s="6">
        <v>0</v>
      </c>
      <c r="I304" s="6">
        <v>0</v>
      </c>
    </row>
    <row r="305" spans="2:9" ht="15.75" customHeight="1" x14ac:dyDescent="0.25">
      <c r="B305" s="7" t="s">
        <v>1401</v>
      </c>
      <c r="C305" s="7" t="s">
        <v>2426</v>
      </c>
      <c r="D305" s="1"/>
      <c r="E305" s="1"/>
      <c r="F305" s="1"/>
      <c r="G305" s="7">
        <v>2661.32</v>
      </c>
      <c r="H305" s="1"/>
      <c r="I305" s="7">
        <v>0</v>
      </c>
    </row>
    <row r="306" spans="2:9" ht="15.75" customHeight="1" x14ac:dyDescent="0.25">
      <c r="B306" s="6" t="s">
        <v>1402</v>
      </c>
      <c r="C306" s="6" t="s">
        <v>2416</v>
      </c>
      <c r="D306" s="6" t="s">
        <v>2043</v>
      </c>
      <c r="E306" s="6">
        <v>54</v>
      </c>
      <c r="F306" s="6">
        <v>26.42</v>
      </c>
      <c r="G306" s="6">
        <v>1426.68</v>
      </c>
      <c r="H306" s="6">
        <v>0</v>
      </c>
      <c r="I306" s="6">
        <v>0</v>
      </c>
    </row>
    <row r="307" spans="2:9" ht="15.75" customHeight="1" x14ac:dyDescent="0.25">
      <c r="B307" s="6" t="s">
        <v>1404</v>
      </c>
      <c r="C307" s="6" t="s">
        <v>2417</v>
      </c>
      <c r="D307" s="6" t="s">
        <v>2043</v>
      </c>
      <c r="E307" s="6">
        <v>9</v>
      </c>
      <c r="F307" s="6">
        <v>28.49</v>
      </c>
      <c r="G307" s="6">
        <v>256.41000000000003</v>
      </c>
      <c r="H307" s="6">
        <v>0</v>
      </c>
      <c r="I307" s="6">
        <v>0</v>
      </c>
    </row>
    <row r="308" spans="2:9" ht="15.75" customHeight="1" x14ac:dyDescent="0.25">
      <c r="B308" s="6" t="s">
        <v>1406</v>
      </c>
      <c r="C308" s="6" t="s">
        <v>2419</v>
      </c>
      <c r="D308" s="6" t="s">
        <v>2043</v>
      </c>
      <c r="E308" s="6">
        <v>21</v>
      </c>
      <c r="F308" s="6">
        <v>40.909999999999997</v>
      </c>
      <c r="G308" s="6">
        <v>859.11</v>
      </c>
      <c r="H308" s="6">
        <v>0</v>
      </c>
      <c r="I308" s="6">
        <v>0</v>
      </c>
    </row>
    <row r="309" spans="2:9" ht="15.75" customHeight="1" x14ac:dyDescent="0.25">
      <c r="B309" s="6" t="s">
        <v>1408</v>
      </c>
      <c r="C309" s="6" t="s">
        <v>2427</v>
      </c>
      <c r="D309" s="6" t="s">
        <v>2043</v>
      </c>
      <c r="E309" s="6">
        <v>2</v>
      </c>
      <c r="F309" s="6">
        <v>59.56</v>
      </c>
      <c r="G309" s="6">
        <v>119.12</v>
      </c>
      <c r="H309" s="6">
        <v>0</v>
      </c>
      <c r="I309" s="6">
        <v>0</v>
      </c>
    </row>
    <row r="310" spans="2:9" ht="15.75" customHeight="1" x14ac:dyDescent="0.25">
      <c r="B310" s="7" t="s">
        <v>1414</v>
      </c>
      <c r="C310" s="7" t="s">
        <v>2428</v>
      </c>
      <c r="D310" s="1"/>
      <c r="E310" s="1"/>
      <c r="F310" s="1"/>
      <c r="G310" s="7">
        <v>1626.25</v>
      </c>
      <c r="H310" s="1"/>
      <c r="I310" s="7">
        <v>0</v>
      </c>
    </row>
    <row r="311" spans="2:9" ht="15.75" customHeight="1" x14ac:dyDescent="0.25">
      <c r="B311" s="6" t="s">
        <v>1416</v>
      </c>
      <c r="C311" s="6" t="s">
        <v>2429</v>
      </c>
      <c r="D311" s="6" t="s">
        <v>2043</v>
      </c>
      <c r="E311" s="6">
        <v>1</v>
      </c>
      <c r="F311" s="6">
        <v>98.4</v>
      </c>
      <c r="G311" s="6">
        <v>98.4</v>
      </c>
      <c r="H311" s="6">
        <v>0</v>
      </c>
      <c r="I311" s="6">
        <v>0</v>
      </c>
    </row>
    <row r="312" spans="2:9" ht="15.75" customHeight="1" x14ac:dyDescent="0.25">
      <c r="B312" s="6" t="s">
        <v>1418</v>
      </c>
      <c r="C312" s="6" t="s">
        <v>2430</v>
      </c>
      <c r="D312" s="6" t="s">
        <v>2043</v>
      </c>
      <c r="E312" s="6">
        <v>6</v>
      </c>
      <c r="F312" s="6">
        <v>98.4</v>
      </c>
      <c r="G312" s="6">
        <v>590.4</v>
      </c>
      <c r="H312" s="6">
        <v>0</v>
      </c>
      <c r="I312" s="6">
        <v>0</v>
      </c>
    </row>
    <row r="313" spans="2:9" ht="15.75" customHeight="1" x14ac:dyDescent="0.25">
      <c r="B313" s="6" t="s">
        <v>1420</v>
      </c>
      <c r="C313" s="6" t="s">
        <v>2431</v>
      </c>
      <c r="D313" s="6" t="s">
        <v>2043</v>
      </c>
      <c r="E313" s="6">
        <v>1</v>
      </c>
      <c r="F313" s="6">
        <v>98.4</v>
      </c>
      <c r="G313" s="6">
        <v>98.4</v>
      </c>
      <c r="H313" s="6">
        <v>0</v>
      </c>
      <c r="I313" s="6">
        <v>0</v>
      </c>
    </row>
    <row r="314" spans="2:9" ht="15.75" customHeight="1" x14ac:dyDescent="0.25">
      <c r="B314" s="6" t="s">
        <v>1422</v>
      </c>
      <c r="C314" s="6" t="s">
        <v>2432</v>
      </c>
      <c r="D314" s="6" t="s">
        <v>2043</v>
      </c>
      <c r="E314" s="6">
        <v>1</v>
      </c>
      <c r="F314" s="6">
        <v>124.3</v>
      </c>
      <c r="G314" s="6">
        <v>124.3</v>
      </c>
      <c r="H314" s="6">
        <v>0</v>
      </c>
      <c r="I314" s="6">
        <v>0</v>
      </c>
    </row>
    <row r="315" spans="2:9" ht="15.75" customHeight="1" x14ac:dyDescent="0.25">
      <c r="B315" s="6" t="s">
        <v>1424</v>
      </c>
      <c r="C315" s="6" t="s">
        <v>2433</v>
      </c>
      <c r="D315" s="6" t="s">
        <v>2043</v>
      </c>
      <c r="E315" s="6">
        <v>1</v>
      </c>
      <c r="F315" s="6">
        <v>124.3</v>
      </c>
      <c r="G315" s="6">
        <v>124.3</v>
      </c>
      <c r="H315" s="6">
        <v>0</v>
      </c>
      <c r="I315" s="6">
        <v>0</v>
      </c>
    </row>
    <row r="316" spans="2:9" ht="15.75" customHeight="1" x14ac:dyDescent="0.25">
      <c r="B316" s="6" t="s">
        <v>1426</v>
      </c>
      <c r="C316" s="6" t="s">
        <v>2434</v>
      </c>
      <c r="D316" s="6" t="s">
        <v>2043</v>
      </c>
      <c r="E316" s="6">
        <v>1</v>
      </c>
      <c r="F316" s="6">
        <v>124.3</v>
      </c>
      <c r="G316" s="6">
        <v>124.3</v>
      </c>
      <c r="H316" s="6">
        <v>0</v>
      </c>
      <c r="I316" s="6">
        <v>0</v>
      </c>
    </row>
    <row r="317" spans="2:9" ht="15.75" customHeight="1" x14ac:dyDescent="0.25">
      <c r="B317" s="6" t="s">
        <v>1428</v>
      </c>
      <c r="C317" s="6" t="s">
        <v>2435</v>
      </c>
      <c r="D317" s="6" t="s">
        <v>2043</v>
      </c>
      <c r="E317" s="6">
        <v>1</v>
      </c>
      <c r="F317" s="6">
        <v>124.3</v>
      </c>
      <c r="G317" s="6">
        <v>124.3</v>
      </c>
      <c r="H317" s="6">
        <v>0</v>
      </c>
      <c r="I317" s="6">
        <v>0</v>
      </c>
    </row>
    <row r="318" spans="2:9" ht="15.75" customHeight="1" x14ac:dyDescent="0.25">
      <c r="B318" s="6" t="s">
        <v>1430</v>
      </c>
      <c r="C318" s="6" t="s">
        <v>2436</v>
      </c>
      <c r="D318" s="6" t="s">
        <v>2043</v>
      </c>
      <c r="E318" s="6">
        <v>2</v>
      </c>
      <c r="F318" s="6">
        <v>113.95</v>
      </c>
      <c r="G318" s="6">
        <v>227.9</v>
      </c>
      <c r="H318" s="6">
        <v>0</v>
      </c>
      <c r="I318" s="6">
        <v>0</v>
      </c>
    </row>
    <row r="319" spans="2:9" ht="15.75" customHeight="1" x14ac:dyDescent="0.25">
      <c r="B319" s="6" t="s">
        <v>1432</v>
      </c>
      <c r="C319" s="6" t="s">
        <v>2437</v>
      </c>
      <c r="D319" s="6" t="s">
        <v>2043</v>
      </c>
      <c r="E319" s="6">
        <v>1</v>
      </c>
      <c r="F319" s="6">
        <v>113.95</v>
      </c>
      <c r="G319" s="6">
        <v>113.95</v>
      </c>
      <c r="H319" s="6">
        <v>0</v>
      </c>
      <c r="I319" s="6">
        <v>0</v>
      </c>
    </row>
    <row r="320" spans="2:9" ht="15.75" customHeight="1" x14ac:dyDescent="0.25">
      <c r="B320" s="7" t="s">
        <v>2438</v>
      </c>
      <c r="C320" s="7" t="s">
        <v>2439</v>
      </c>
      <c r="D320" s="1"/>
      <c r="E320" s="1"/>
      <c r="F320" s="1"/>
      <c r="G320" s="7">
        <v>505.03</v>
      </c>
      <c r="H320" s="1"/>
      <c r="I320" s="7">
        <v>0</v>
      </c>
    </row>
    <row r="321" spans="2:9" ht="15.75" customHeight="1" x14ac:dyDescent="0.25">
      <c r="B321" s="6" t="s">
        <v>2440</v>
      </c>
      <c r="C321" s="6" t="s">
        <v>2441</v>
      </c>
      <c r="D321" s="6" t="s">
        <v>2043</v>
      </c>
      <c r="E321" s="6">
        <v>2</v>
      </c>
      <c r="F321" s="6">
        <v>67.33</v>
      </c>
      <c r="G321" s="6">
        <v>134.66</v>
      </c>
      <c r="H321" s="6">
        <v>0</v>
      </c>
      <c r="I321" s="6">
        <v>0</v>
      </c>
    </row>
    <row r="322" spans="2:9" ht="15.75" customHeight="1" x14ac:dyDescent="0.25">
      <c r="B322" s="6" t="s">
        <v>2442</v>
      </c>
      <c r="C322" s="6" t="s">
        <v>2443</v>
      </c>
      <c r="D322" s="6" t="s">
        <v>2043</v>
      </c>
      <c r="E322" s="6">
        <v>13</v>
      </c>
      <c r="F322" s="6">
        <v>28.49</v>
      </c>
      <c r="G322" s="6">
        <v>370.37</v>
      </c>
      <c r="H322" s="6">
        <v>0</v>
      </c>
      <c r="I322" s="6">
        <v>0</v>
      </c>
    </row>
    <row r="323" spans="2:9" ht="15.75" customHeight="1" x14ac:dyDescent="0.25">
      <c r="B323" s="7" t="s">
        <v>2444</v>
      </c>
      <c r="C323" s="7" t="s">
        <v>2445</v>
      </c>
      <c r="D323" s="1"/>
      <c r="E323" s="1"/>
      <c r="F323" s="1"/>
      <c r="G323" s="7">
        <v>12371.87</v>
      </c>
      <c r="H323" s="1"/>
      <c r="I323" s="7">
        <v>0</v>
      </c>
    </row>
    <row r="324" spans="2:9" ht="15.75" customHeight="1" x14ac:dyDescent="0.25">
      <c r="B324" s="6" t="s">
        <v>2446</v>
      </c>
      <c r="C324" s="6" t="s">
        <v>2447</v>
      </c>
      <c r="D324" s="6" t="s">
        <v>2043</v>
      </c>
      <c r="E324" s="6">
        <v>12</v>
      </c>
      <c r="F324" s="6">
        <v>227.88</v>
      </c>
      <c r="G324" s="6">
        <v>2734.56</v>
      </c>
      <c r="H324" s="6">
        <v>0</v>
      </c>
      <c r="I324" s="6">
        <v>0</v>
      </c>
    </row>
    <row r="325" spans="2:9" ht="15.75" customHeight="1" x14ac:dyDescent="0.25">
      <c r="B325" s="6" t="s">
        <v>2448</v>
      </c>
      <c r="C325" s="6" t="s">
        <v>2449</v>
      </c>
      <c r="D325" s="6" t="s">
        <v>2043</v>
      </c>
      <c r="E325" s="6">
        <v>1</v>
      </c>
      <c r="F325" s="6">
        <v>466.12</v>
      </c>
      <c r="G325" s="6">
        <v>466.12</v>
      </c>
      <c r="H325" s="6">
        <v>0</v>
      </c>
      <c r="I325" s="6">
        <v>0</v>
      </c>
    </row>
    <row r="326" spans="2:9" ht="15.75" customHeight="1" x14ac:dyDescent="0.25">
      <c r="B326" s="6" t="s">
        <v>2450</v>
      </c>
      <c r="C326" s="6" t="s">
        <v>2451</v>
      </c>
      <c r="D326" s="6" t="s">
        <v>2043</v>
      </c>
      <c r="E326" s="6">
        <v>1</v>
      </c>
      <c r="F326" s="6">
        <v>642.21</v>
      </c>
      <c r="G326" s="6">
        <v>642.21</v>
      </c>
      <c r="H326" s="6">
        <v>0</v>
      </c>
      <c r="I326" s="6">
        <v>0</v>
      </c>
    </row>
    <row r="327" spans="2:9" ht="15.75" customHeight="1" x14ac:dyDescent="0.25">
      <c r="B327" s="6" t="s">
        <v>2452</v>
      </c>
      <c r="C327" s="6" t="s">
        <v>2453</v>
      </c>
      <c r="D327" s="6" t="s">
        <v>474</v>
      </c>
      <c r="E327" s="6">
        <v>32.5</v>
      </c>
      <c r="F327" s="6">
        <v>84.94</v>
      </c>
      <c r="G327" s="6">
        <v>2760.55</v>
      </c>
      <c r="H327" s="6">
        <v>0</v>
      </c>
      <c r="I327" s="6">
        <v>0</v>
      </c>
    </row>
    <row r="328" spans="2:9" ht="15.75" customHeight="1" x14ac:dyDescent="0.25">
      <c r="B328" s="6" t="s">
        <v>2454</v>
      </c>
      <c r="C328" s="6" t="s">
        <v>2455</v>
      </c>
      <c r="D328" s="6" t="s">
        <v>474</v>
      </c>
      <c r="E328" s="6">
        <v>33.700000000000003</v>
      </c>
      <c r="F328" s="6">
        <v>70.430000000000007</v>
      </c>
      <c r="G328" s="6">
        <v>2373.4899999999998</v>
      </c>
      <c r="H328" s="6">
        <v>0</v>
      </c>
      <c r="I328" s="6">
        <v>0</v>
      </c>
    </row>
    <row r="329" spans="2:9" ht="15.75" customHeight="1" x14ac:dyDescent="0.25">
      <c r="B329" s="6" t="s">
        <v>2456</v>
      </c>
      <c r="C329" s="6" t="s">
        <v>2457</v>
      </c>
      <c r="D329" s="6" t="s">
        <v>474</v>
      </c>
      <c r="E329" s="6">
        <v>67</v>
      </c>
      <c r="F329" s="6">
        <v>22.78</v>
      </c>
      <c r="G329" s="6">
        <v>1526.26</v>
      </c>
      <c r="H329" s="6">
        <v>0</v>
      </c>
      <c r="I329" s="6">
        <v>0</v>
      </c>
    </row>
    <row r="330" spans="2:9" ht="15.75" customHeight="1" x14ac:dyDescent="0.25">
      <c r="B330" s="6" t="s">
        <v>2458</v>
      </c>
      <c r="C330" s="6" t="s">
        <v>2459</v>
      </c>
      <c r="D330" s="6" t="s">
        <v>485</v>
      </c>
      <c r="E330" s="6">
        <v>22</v>
      </c>
      <c r="F330" s="6">
        <v>84.94</v>
      </c>
      <c r="G330" s="6">
        <v>1868.68</v>
      </c>
      <c r="H330" s="6">
        <v>0</v>
      </c>
      <c r="I330" s="6">
        <v>0</v>
      </c>
    </row>
    <row r="331" spans="2:9" ht="15.75" customHeight="1" x14ac:dyDescent="0.25">
      <c r="B331" s="1"/>
      <c r="C331" s="1"/>
      <c r="D331" s="1"/>
      <c r="E331" s="1"/>
      <c r="F331" s="1"/>
      <c r="G331" s="1"/>
      <c r="H331" s="1"/>
      <c r="I331" s="1"/>
    </row>
    <row r="332" spans="2:9" ht="15.75" customHeight="1" x14ac:dyDescent="0.25">
      <c r="B332" s="1"/>
      <c r="C332" s="1"/>
      <c r="D332" s="1"/>
      <c r="E332" s="1"/>
      <c r="F332" s="1"/>
      <c r="G332" s="1"/>
      <c r="H332" s="1"/>
      <c r="I332" s="1"/>
    </row>
    <row r="333" spans="2:9" ht="15.75" customHeight="1" x14ac:dyDescent="0.25">
      <c r="B333" s="1"/>
      <c r="C333" s="1"/>
      <c r="D333" s="1"/>
      <c r="E333" s="1"/>
      <c r="F333" s="1"/>
      <c r="G333" s="1"/>
      <c r="H333" s="1"/>
      <c r="I333" s="1"/>
    </row>
    <row r="334" spans="2:9" ht="15.75" customHeight="1" x14ac:dyDescent="0.25">
      <c r="B334" s="1"/>
      <c r="C334" s="1"/>
      <c r="D334" s="1"/>
      <c r="E334" s="1"/>
      <c r="F334" s="1"/>
      <c r="G334" s="1"/>
      <c r="H334" s="1"/>
      <c r="I334" s="1"/>
    </row>
    <row r="335" spans="2:9" ht="15.75" customHeight="1" x14ac:dyDescent="0.25">
      <c r="B335" s="1"/>
      <c r="C335" s="1"/>
      <c r="D335" s="1"/>
      <c r="E335" s="1"/>
      <c r="F335" s="1"/>
      <c r="G335" s="1"/>
      <c r="H335" s="1"/>
      <c r="I335" s="1"/>
    </row>
    <row r="336" spans="2:9" ht="15.75" customHeight="1" x14ac:dyDescent="0.25">
      <c r="B336" s="1"/>
      <c r="C336" s="1"/>
      <c r="D336" s="1"/>
      <c r="E336" s="1"/>
      <c r="F336" s="1"/>
      <c r="G336" s="1"/>
      <c r="H336" s="1"/>
      <c r="I336" s="1"/>
    </row>
    <row r="337" spans="2:9" ht="15.75" customHeight="1" x14ac:dyDescent="0.25">
      <c r="B337" s="1"/>
      <c r="C337" s="1"/>
      <c r="D337" s="1"/>
      <c r="E337" s="1"/>
      <c r="F337" s="1"/>
      <c r="G337" s="1"/>
      <c r="H337" s="1"/>
      <c r="I337" s="1"/>
    </row>
    <row r="338" spans="2:9" ht="15.75" customHeight="1" x14ac:dyDescent="0.25">
      <c r="B338" s="1"/>
      <c r="C338" s="1"/>
      <c r="D338" s="1"/>
      <c r="E338" s="1"/>
      <c r="F338" s="1"/>
      <c r="G338" s="1"/>
      <c r="H338" s="1"/>
      <c r="I338" s="1"/>
    </row>
    <row r="339" spans="2:9" ht="15.75" customHeight="1" x14ac:dyDescent="0.25">
      <c r="B339" s="1"/>
      <c r="C339" s="1"/>
      <c r="D339" s="1"/>
      <c r="E339" s="1"/>
      <c r="F339" s="1"/>
      <c r="G339" s="1"/>
      <c r="H339" s="1"/>
      <c r="I339" s="1"/>
    </row>
    <row r="340" spans="2:9" ht="15.75" customHeight="1" x14ac:dyDescent="0.25">
      <c r="B340" s="1"/>
      <c r="C340" s="1"/>
      <c r="D340" s="1"/>
      <c r="E340" s="1"/>
      <c r="F340" s="1"/>
      <c r="G340" s="1"/>
      <c r="H340" s="1"/>
      <c r="I340" s="1"/>
    </row>
    <row r="341" spans="2:9" ht="15.75" customHeight="1" x14ac:dyDescent="0.25">
      <c r="B341" s="1"/>
      <c r="C341" s="1"/>
      <c r="D341" s="1"/>
      <c r="E341" s="1"/>
      <c r="F341" s="1"/>
      <c r="G341" s="1"/>
      <c r="H341" s="1"/>
      <c r="I341" s="1"/>
    </row>
    <row r="342" spans="2:9" ht="15.75" customHeight="1" x14ac:dyDescent="0.25">
      <c r="B342" s="1"/>
      <c r="C342" s="1"/>
      <c r="D342" s="1"/>
      <c r="E342" s="1"/>
      <c r="F342" s="1"/>
      <c r="G342" s="1"/>
      <c r="H342" s="1"/>
      <c r="I342" s="1"/>
    </row>
    <row r="343" spans="2:9" ht="15.75" customHeight="1" x14ac:dyDescent="0.25">
      <c r="B343" s="1"/>
      <c r="C343" s="1"/>
      <c r="D343" s="1"/>
      <c r="E343" s="1"/>
      <c r="F343" s="1"/>
      <c r="G343" s="1"/>
      <c r="H343" s="1"/>
      <c r="I343" s="1"/>
    </row>
    <row r="344" spans="2:9" ht="15.75" customHeight="1" x14ac:dyDescent="0.25">
      <c r="B344" s="1"/>
      <c r="C344" s="1"/>
      <c r="D344" s="1"/>
      <c r="E344" s="1"/>
      <c r="F344" s="1"/>
      <c r="G344" s="1"/>
      <c r="H344" s="1"/>
      <c r="I344" s="1"/>
    </row>
    <row r="345" spans="2:9" ht="15.75" customHeight="1" x14ac:dyDescent="0.25">
      <c r="B345" s="1"/>
      <c r="C345" s="1"/>
      <c r="D345" s="1"/>
      <c r="E345" s="1"/>
      <c r="F345" s="1"/>
      <c r="G345" s="1"/>
      <c r="H345" s="1"/>
      <c r="I345" s="1"/>
    </row>
    <row r="346" spans="2:9" ht="15.75" customHeight="1" x14ac:dyDescent="0.25">
      <c r="B346" s="1"/>
      <c r="C346" s="1"/>
      <c r="D346" s="1"/>
      <c r="E346" s="1"/>
      <c r="F346" s="1"/>
      <c r="G346" s="1"/>
      <c r="H346" s="1"/>
      <c r="I346" s="1"/>
    </row>
    <row r="347" spans="2:9" ht="15.75" customHeight="1" x14ac:dyDescent="0.25">
      <c r="B347" s="1"/>
      <c r="C347" s="1"/>
      <c r="D347" s="1"/>
      <c r="E347" s="1"/>
      <c r="F347" s="1"/>
      <c r="G347" s="1"/>
      <c r="H347" s="1"/>
      <c r="I347" s="1"/>
    </row>
    <row r="348" spans="2:9" ht="15.75" customHeight="1" x14ac:dyDescent="0.25">
      <c r="B348" s="1"/>
      <c r="C348" s="1"/>
      <c r="D348" s="1"/>
      <c r="E348" s="1"/>
      <c r="F348" s="1"/>
      <c r="G348" s="1"/>
      <c r="H348" s="1"/>
      <c r="I348" s="1"/>
    </row>
    <row r="349" spans="2:9" ht="15.75" customHeight="1" x14ac:dyDescent="0.25">
      <c r="B349" s="1"/>
      <c r="C349" s="1"/>
      <c r="D349" s="1"/>
      <c r="E349" s="1"/>
      <c r="F349" s="1"/>
      <c r="G349" s="1"/>
      <c r="H349" s="1"/>
      <c r="I349" s="1"/>
    </row>
    <row r="350" spans="2:9" ht="15.75" customHeight="1" x14ac:dyDescent="0.25">
      <c r="B350" s="1"/>
      <c r="C350" s="1"/>
      <c r="D350" s="1"/>
      <c r="E350" s="1"/>
      <c r="F350" s="1"/>
      <c r="G350" s="1"/>
      <c r="H350" s="1"/>
      <c r="I350" s="1"/>
    </row>
    <row r="351" spans="2:9" ht="15.75" customHeight="1" x14ac:dyDescent="0.25">
      <c r="B351" s="1"/>
      <c r="C351" s="1"/>
      <c r="D351" s="1"/>
      <c r="E351" s="1"/>
      <c r="F351" s="1"/>
      <c r="G351" s="1"/>
      <c r="H351" s="1"/>
      <c r="I351" s="1"/>
    </row>
    <row r="352" spans="2:9" ht="15.75" customHeight="1" x14ac:dyDescent="0.25">
      <c r="B352" s="1"/>
      <c r="C352" s="1"/>
      <c r="D352" s="1"/>
      <c r="E352" s="1"/>
      <c r="F352" s="1"/>
      <c r="G352" s="1"/>
      <c r="H352" s="1"/>
      <c r="I352" s="1"/>
    </row>
    <row r="353" spans="2:9" ht="15.75" customHeight="1" x14ac:dyDescent="0.25">
      <c r="B353" s="1"/>
      <c r="C353" s="1"/>
      <c r="D353" s="1"/>
      <c r="E353" s="1"/>
      <c r="F353" s="1"/>
      <c r="G353" s="1"/>
      <c r="H353" s="1"/>
      <c r="I353" s="1"/>
    </row>
    <row r="354" spans="2:9" ht="15.75" customHeight="1" x14ac:dyDescent="0.25">
      <c r="B354" s="1"/>
      <c r="C354" s="1"/>
      <c r="D354" s="1"/>
      <c r="E354" s="1"/>
      <c r="F354" s="1"/>
      <c r="G354" s="1"/>
      <c r="H354" s="1"/>
      <c r="I354" s="1"/>
    </row>
    <row r="355" spans="2:9" ht="15.75" customHeight="1" x14ac:dyDescent="0.25">
      <c r="B355" s="1"/>
      <c r="C355" s="1"/>
      <c r="D355" s="1"/>
      <c r="E355" s="1"/>
      <c r="F355" s="1"/>
      <c r="G355" s="1"/>
      <c r="H355" s="1"/>
      <c r="I355" s="1"/>
    </row>
    <row r="356" spans="2:9" ht="15.75" customHeight="1" x14ac:dyDescent="0.25">
      <c r="B356" s="1"/>
      <c r="C356" s="1"/>
      <c r="D356" s="1"/>
      <c r="E356" s="1"/>
      <c r="F356" s="1"/>
      <c r="G356" s="1"/>
      <c r="H356" s="1"/>
      <c r="I356" s="1"/>
    </row>
    <row r="357" spans="2:9" ht="15.75" customHeight="1" x14ac:dyDescent="0.25">
      <c r="B357" s="1"/>
      <c r="C357" s="1"/>
      <c r="D357" s="1"/>
      <c r="E357" s="1"/>
      <c r="F357" s="1"/>
      <c r="G357" s="1"/>
      <c r="H357" s="1"/>
      <c r="I357" s="1"/>
    </row>
    <row r="358" spans="2:9" ht="15.75" customHeight="1" x14ac:dyDescent="0.25">
      <c r="B358" s="1"/>
      <c r="C358" s="1"/>
      <c r="D358" s="1"/>
      <c r="E358" s="1"/>
      <c r="F358" s="1"/>
      <c r="G358" s="1"/>
      <c r="H358" s="1"/>
      <c r="I358" s="1"/>
    </row>
    <row r="359" spans="2:9" ht="15.75" customHeight="1" x14ac:dyDescent="0.25">
      <c r="B359" s="1"/>
      <c r="C359" s="1"/>
      <c r="D359" s="1"/>
      <c r="E359" s="1"/>
      <c r="F359" s="1"/>
      <c r="G359" s="1"/>
      <c r="H359" s="1"/>
      <c r="I359" s="1"/>
    </row>
    <row r="360" spans="2:9" ht="15.75" customHeight="1" x14ac:dyDescent="0.25">
      <c r="B360" s="1"/>
      <c r="C360" s="1"/>
      <c r="D360" s="1"/>
      <c r="E360" s="1"/>
      <c r="F360" s="1"/>
      <c r="G360" s="1"/>
      <c r="H360" s="1"/>
      <c r="I360" s="1"/>
    </row>
    <row r="361" spans="2:9" ht="15.75" customHeight="1" x14ac:dyDescent="0.25">
      <c r="B361" s="1"/>
      <c r="C361" s="1"/>
      <c r="D361" s="1"/>
      <c r="E361" s="1"/>
      <c r="F361" s="1"/>
      <c r="G361" s="1"/>
      <c r="H361" s="1"/>
      <c r="I361" s="1"/>
    </row>
    <row r="362" spans="2:9" ht="15.75" customHeight="1" x14ac:dyDescent="0.25">
      <c r="B362" s="1"/>
      <c r="C362" s="1"/>
      <c r="D362" s="1"/>
      <c r="E362" s="1"/>
      <c r="F362" s="1"/>
      <c r="G362" s="1"/>
      <c r="H362" s="1"/>
      <c r="I362" s="1"/>
    </row>
    <row r="363" spans="2:9" ht="15.75" customHeight="1" x14ac:dyDescent="0.25">
      <c r="B363" s="1"/>
      <c r="C363" s="1"/>
      <c r="D363" s="1"/>
      <c r="E363" s="1"/>
      <c r="F363" s="1"/>
      <c r="G363" s="1"/>
      <c r="H363" s="1"/>
      <c r="I363" s="1"/>
    </row>
    <row r="364" spans="2:9" ht="15.75" customHeight="1" x14ac:dyDescent="0.25">
      <c r="B364" s="1"/>
      <c r="C364" s="1"/>
      <c r="D364" s="1"/>
      <c r="E364" s="1"/>
      <c r="F364" s="1"/>
      <c r="G364" s="1"/>
      <c r="H364" s="1"/>
      <c r="I364" s="1"/>
    </row>
    <row r="365" spans="2:9" ht="15.75" customHeight="1" x14ac:dyDescent="0.25">
      <c r="B365" s="1"/>
      <c r="C365" s="1"/>
      <c r="D365" s="1"/>
      <c r="E365" s="1"/>
      <c r="F365" s="1"/>
      <c r="G365" s="1"/>
      <c r="H365" s="1"/>
      <c r="I365" s="1"/>
    </row>
    <row r="366" spans="2:9" ht="15.75" customHeight="1" x14ac:dyDescent="0.25">
      <c r="B366" s="1"/>
      <c r="C366" s="1"/>
      <c r="D366" s="1"/>
      <c r="E366" s="1"/>
      <c r="F366" s="1"/>
      <c r="G366" s="1"/>
      <c r="H366" s="1"/>
      <c r="I366" s="1"/>
    </row>
    <row r="367" spans="2:9" ht="15.75" customHeight="1" x14ac:dyDescent="0.25">
      <c r="B367" s="1"/>
      <c r="C367" s="1"/>
      <c r="D367" s="1"/>
      <c r="E367" s="1"/>
      <c r="F367" s="1"/>
      <c r="G367" s="1"/>
      <c r="H367" s="1"/>
      <c r="I367" s="1"/>
    </row>
    <row r="368" spans="2:9" ht="15.75" customHeight="1" x14ac:dyDescent="0.25">
      <c r="B368" s="1"/>
      <c r="C368" s="1"/>
      <c r="D368" s="1"/>
      <c r="E368" s="1"/>
      <c r="F368" s="1"/>
      <c r="G368" s="1"/>
      <c r="H368" s="1"/>
      <c r="I368" s="1"/>
    </row>
    <row r="369" spans="2:9" ht="15.75" customHeight="1" x14ac:dyDescent="0.25">
      <c r="B369" s="1"/>
      <c r="C369" s="1"/>
      <c r="D369" s="1"/>
      <c r="E369" s="1"/>
      <c r="F369" s="1"/>
      <c r="G369" s="1"/>
      <c r="H369" s="1"/>
      <c r="I369" s="1"/>
    </row>
    <row r="370" spans="2:9" ht="15.75" customHeight="1" x14ac:dyDescent="0.25">
      <c r="B370" s="1"/>
      <c r="C370" s="1"/>
      <c r="D370" s="1"/>
      <c r="E370" s="1"/>
      <c r="F370" s="1"/>
      <c r="G370" s="1"/>
      <c r="H370" s="1"/>
      <c r="I370" s="1"/>
    </row>
    <row r="371" spans="2:9" ht="15.75" customHeight="1" x14ac:dyDescent="0.25">
      <c r="B371" s="1"/>
      <c r="C371" s="1"/>
      <c r="D371" s="1"/>
      <c r="E371" s="1"/>
      <c r="F371" s="1"/>
      <c r="G371" s="1"/>
      <c r="H371" s="1"/>
      <c r="I371" s="1"/>
    </row>
    <row r="372" spans="2:9" ht="15.75" customHeight="1" x14ac:dyDescent="0.25">
      <c r="B372" s="1"/>
      <c r="C372" s="1"/>
      <c r="D372" s="1"/>
      <c r="E372" s="1"/>
      <c r="F372" s="1"/>
      <c r="G372" s="1"/>
      <c r="H372" s="1"/>
      <c r="I372" s="1"/>
    </row>
    <row r="373" spans="2:9" ht="15.75" customHeight="1" x14ac:dyDescent="0.25">
      <c r="B373" s="1"/>
      <c r="C373" s="1"/>
      <c r="D373" s="1"/>
      <c r="E373" s="1"/>
      <c r="F373" s="1"/>
      <c r="G373" s="1"/>
      <c r="H373" s="1"/>
      <c r="I373" s="1"/>
    </row>
    <row r="374" spans="2:9" ht="15.75" customHeight="1" x14ac:dyDescent="0.25">
      <c r="B374" s="1"/>
      <c r="C374" s="1"/>
      <c r="D374" s="1"/>
      <c r="E374" s="1"/>
      <c r="F374" s="1"/>
      <c r="G374" s="1"/>
      <c r="H374" s="1"/>
      <c r="I374" s="1"/>
    </row>
    <row r="375" spans="2:9" ht="15.75" customHeight="1" x14ac:dyDescent="0.25">
      <c r="B375" s="1"/>
      <c r="C375" s="1"/>
      <c r="D375" s="1"/>
      <c r="E375" s="1"/>
      <c r="F375" s="1"/>
      <c r="G375" s="1"/>
      <c r="H375" s="1"/>
      <c r="I375" s="1"/>
    </row>
    <row r="376" spans="2:9" ht="15.75" customHeight="1" x14ac:dyDescent="0.25">
      <c r="B376" s="1"/>
      <c r="C376" s="1"/>
      <c r="D376" s="1"/>
      <c r="E376" s="1"/>
      <c r="F376" s="1"/>
      <c r="G376" s="1"/>
      <c r="H376" s="1"/>
      <c r="I376" s="1"/>
    </row>
    <row r="377" spans="2:9" ht="15.75" customHeight="1" x14ac:dyDescent="0.25">
      <c r="B377" s="1"/>
      <c r="C377" s="1"/>
      <c r="D377" s="1"/>
      <c r="E377" s="1"/>
      <c r="F377" s="1"/>
      <c r="G377" s="1"/>
      <c r="H377" s="1"/>
      <c r="I377" s="1"/>
    </row>
    <row r="378" spans="2:9" ht="15.75" customHeight="1" x14ac:dyDescent="0.25">
      <c r="B378" s="1"/>
      <c r="C378" s="1"/>
      <c r="D378" s="1"/>
      <c r="E378" s="1"/>
      <c r="F378" s="1"/>
      <c r="G378" s="1"/>
      <c r="H378" s="1"/>
      <c r="I378" s="1"/>
    </row>
    <row r="379" spans="2:9" ht="15.75" customHeight="1" x14ac:dyDescent="0.25">
      <c r="B379" s="1"/>
      <c r="C379" s="1"/>
      <c r="D379" s="1"/>
      <c r="E379" s="1"/>
      <c r="F379" s="1"/>
      <c r="G379" s="1"/>
      <c r="H379" s="1"/>
      <c r="I379" s="1"/>
    </row>
    <row r="380" spans="2:9" ht="15.75" customHeight="1" x14ac:dyDescent="0.25">
      <c r="B380" s="1"/>
      <c r="C380" s="1"/>
      <c r="D380" s="1"/>
      <c r="E380" s="1"/>
      <c r="F380" s="1"/>
      <c r="G380" s="1"/>
      <c r="H380" s="1"/>
      <c r="I380" s="1"/>
    </row>
    <row r="381" spans="2:9" ht="15.75" customHeight="1" x14ac:dyDescent="0.25">
      <c r="B381" s="1"/>
      <c r="C381" s="1"/>
      <c r="D381" s="1"/>
      <c r="E381" s="1"/>
      <c r="F381" s="1"/>
      <c r="G381" s="1"/>
      <c r="H381" s="1"/>
      <c r="I381" s="1"/>
    </row>
    <row r="382" spans="2:9" ht="15.75" customHeight="1" x14ac:dyDescent="0.25">
      <c r="B382" s="1"/>
      <c r="C382" s="1"/>
      <c r="D382" s="1"/>
      <c r="E382" s="1"/>
      <c r="F382" s="1"/>
      <c r="G382" s="1"/>
      <c r="H382" s="1"/>
      <c r="I382" s="1"/>
    </row>
    <row r="383" spans="2:9" ht="15.75" customHeight="1" x14ac:dyDescent="0.25">
      <c r="B383" s="1"/>
      <c r="C383" s="1"/>
      <c r="D383" s="1"/>
      <c r="E383" s="1"/>
      <c r="F383" s="1"/>
      <c r="G383" s="1"/>
      <c r="H383" s="1"/>
      <c r="I383" s="1"/>
    </row>
    <row r="384" spans="2:9" ht="15.75" customHeight="1" x14ac:dyDescent="0.25">
      <c r="B384" s="1"/>
      <c r="C384" s="1"/>
      <c r="D384" s="1"/>
      <c r="E384" s="1"/>
      <c r="F384" s="1"/>
      <c r="G384" s="1"/>
      <c r="H384" s="1"/>
      <c r="I384" s="1"/>
    </row>
    <row r="385" spans="2:9" ht="15.75" customHeight="1" x14ac:dyDescent="0.25">
      <c r="B385" s="1"/>
      <c r="C385" s="1"/>
      <c r="D385" s="1"/>
      <c r="E385" s="1"/>
      <c r="F385" s="1"/>
      <c r="G385" s="1"/>
      <c r="H385" s="1"/>
      <c r="I385" s="1"/>
    </row>
    <row r="386" spans="2:9" ht="15.75" customHeight="1" x14ac:dyDescent="0.25">
      <c r="B386" s="1"/>
      <c r="C386" s="1"/>
      <c r="D386" s="1"/>
      <c r="E386" s="1"/>
      <c r="F386" s="1"/>
      <c r="G386" s="1"/>
      <c r="H386" s="1"/>
      <c r="I386" s="1"/>
    </row>
    <row r="387" spans="2:9" ht="15.75" customHeight="1" x14ac:dyDescent="0.25">
      <c r="B387" s="1"/>
      <c r="C387" s="1"/>
      <c r="D387" s="1"/>
      <c r="E387" s="1"/>
      <c r="F387" s="1"/>
      <c r="G387" s="1"/>
      <c r="H387" s="1"/>
      <c r="I387" s="1"/>
    </row>
    <row r="388" spans="2:9" ht="15.75" customHeight="1" x14ac:dyDescent="0.25">
      <c r="B388" s="1"/>
      <c r="C388" s="1"/>
      <c r="D388" s="1"/>
      <c r="E388" s="1"/>
      <c r="F388" s="1"/>
      <c r="G388" s="1"/>
      <c r="H388" s="1"/>
      <c r="I388" s="1"/>
    </row>
    <row r="389" spans="2:9" ht="15.75" customHeight="1" x14ac:dyDescent="0.25">
      <c r="B389" s="1"/>
      <c r="C389" s="1"/>
      <c r="D389" s="1"/>
      <c r="E389" s="1"/>
      <c r="F389" s="1"/>
      <c r="G389" s="1"/>
      <c r="H389" s="1"/>
      <c r="I389" s="1"/>
    </row>
    <row r="390" spans="2:9" ht="15.75" customHeight="1" x14ac:dyDescent="0.25">
      <c r="B390" s="1"/>
      <c r="C390" s="1"/>
      <c r="D390" s="1"/>
      <c r="E390" s="1"/>
      <c r="F390" s="1"/>
      <c r="G390" s="1"/>
      <c r="H390" s="1"/>
      <c r="I390" s="1"/>
    </row>
    <row r="391" spans="2:9" ht="15.75" customHeight="1" x14ac:dyDescent="0.25">
      <c r="B391" s="1"/>
      <c r="C391" s="1"/>
      <c r="D391" s="1"/>
      <c r="E391" s="1"/>
      <c r="F391" s="1"/>
      <c r="G391" s="1"/>
      <c r="H391" s="1"/>
      <c r="I391" s="1"/>
    </row>
    <row r="392" spans="2:9" ht="15.75" customHeight="1" x14ac:dyDescent="0.25">
      <c r="B392" s="1"/>
      <c r="C392" s="1"/>
      <c r="D392" s="1"/>
      <c r="E392" s="1"/>
      <c r="F392" s="1"/>
      <c r="G392" s="1"/>
      <c r="H392" s="1"/>
      <c r="I392" s="1"/>
    </row>
    <row r="393" spans="2:9" ht="15.75" customHeight="1" x14ac:dyDescent="0.25">
      <c r="B393" s="1"/>
      <c r="C393" s="1"/>
      <c r="D393" s="1"/>
      <c r="E393" s="1"/>
      <c r="F393" s="1"/>
      <c r="G393" s="1"/>
      <c r="H393" s="1"/>
      <c r="I393" s="1"/>
    </row>
    <row r="394" spans="2:9" ht="15.75" customHeight="1" x14ac:dyDescent="0.25">
      <c r="B394" s="1"/>
      <c r="C394" s="1"/>
      <c r="D394" s="1"/>
      <c r="E394" s="1"/>
      <c r="F394" s="1"/>
      <c r="G394" s="1"/>
      <c r="H394" s="1"/>
      <c r="I394" s="1"/>
    </row>
    <row r="395" spans="2:9" ht="15.75" customHeight="1" x14ac:dyDescent="0.25">
      <c r="B395" s="1"/>
      <c r="C395" s="1"/>
      <c r="D395" s="1"/>
      <c r="E395" s="1"/>
      <c r="F395" s="1"/>
      <c r="G395" s="1"/>
      <c r="H395" s="1"/>
      <c r="I395" s="1"/>
    </row>
    <row r="396" spans="2:9" ht="15.75" customHeight="1" x14ac:dyDescent="0.25">
      <c r="B396" s="1"/>
      <c r="C396" s="1"/>
      <c r="D396" s="1"/>
      <c r="E396" s="1"/>
      <c r="F396" s="1"/>
      <c r="G396" s="1"/>
      <c r="H396" s="1"/>
      <c r="I396" s="1"/>
    </row>
    <row r="397" spans="2:9" ht="15.75" customHeight="1" x14ac:dyDescent="0.25">
      <c r="B397" s="1"/>
      <c r="C397" s="1"/>
      <c r="D397" s="1"/>
      <c r="E397" s="1"/>
      <c r="F397" s="1"/>
      <c r="G397" s="1"/>
      <c r="H397" s="1"/>
      <c r="I397" s="1"/>
    </row>
    <row r="398" spans="2:9" ht="15.75" customHeight="1" x14ac:dyDescent="0.25">
      <c r="B398" s="1"/>
      <c r="C398" s="1"/>
      <c r="D398" s="1"/>
      <c r="E398" s="1"/>
      <c r="F398" s="1"/>
      <c r="G398" s="1"/>
      <c r="H398" s="1"/>
      <c r="I398" s="1"/>
    </row>
    <row r="399" spans="2:9" ht="15.75" customHeight="1" x14ac:dyDescent="0.25">
      <c r="B399" s="1"/>
      <c r="C399" s="1"/>
      <c r="D399" s="1"/>
      <c r="E399" s="1"/>
      <c r="F399" s="1"/>
      <c r="G399" s="1"/>
      <c r="H399" s="1"/>
      <c r="I399" s="1"/>
    </row>
    <row r="400" spans="2:9" ht="15.75" customHeight="1" x14ac:dyDescent="0.25">
      <c r="B400" s="1"/>
      <c r="C400" s="1"/>
      <c r="D400" s="1"/>
      <c r="E400" s="1"/>
      <c r="F400" s="1"/>
      <c r="G400" s="1"/>
      <c r="H400" s="1"/>
      <c r="I400" s="1"/>
    </row>
    <row r="401" spans="2:9" ht="15.75" customHeight="1" x14ac:dyDescent="0.25">
      <c r="B401" s="1"/>
      <c r="C401" s="1"/>
      <c r="D401" s="1"/>
      <c r="E401" s="1"/>
      <c r="F401" s="1"/>
      <c r="G401" s="1"/>
      <c r="H401" s="1"/>
      <c r="I401" s="1"/>
    </row>
    <row r="402" spans="2:9" ht="15.75" customHeight="1" x14ac:dyDescent="0.25">
      <c r="B402" s="1"/>
      <c r="C402" s="1"/>
      <c r="D402" s="1"/>
      <c r="E402" s="1"/>
      <c r="F402" s="1"/>
      <c r="G402" s="1"/>
      <c r="H402" s="1"/>
      <c r="I402" s="1"/>
    </row>
    <row r="403" spans="2:9" ht="15.75" customHeight="1" x14ac:dyDescent="0.25">
      <c r="B403" s="1"/>
      <c r="C403" s="1"/>
      <c r="D403" s="1"/>
      <c r="E403" s="1"/>
      <c r="F403" s="1"/>
      <c r="G403" s="1"/>
      <c r="H403" s="1"/>
      <c r="I403" s="1"/>
    </row>
    <row r="404" spans="2:9" ht="15.75" customHeight="1" x14ac:dyDescent="0.25">
      <c r="B404" s="1"/>
      <c r="C404" s="1"/>
      <c r="D404" s="1"/>
      <c r="E404" s="1"/>
      <c r="F404" s="1"/>
      <c r="G404" s="1"/>
      <c r="H404" s="1"/>
      <c r="I404" s="1"/>
    </row>
    <row r="405" spans="2:9" ht="15.75" customHeight="1" x14ac:dyDescent="0.25">
      <c r="B405" s="1"/>
      <c r="C405" s="1"/>
      <c r="D405" s="1"/>
      <c r="E405" s="1"/>
      <c r="F405" s="1"/>
      <c r="G405" s="1"/>
      <c r="H405" s="1"/>
      <c r="I405" s="1"/>
    </row>
    <row r="406" spans="2:9" ht="15.75" customHeight="1" x14ac:dyDescent="0.25">
      <c r="B406" s="1"/>
      <c r="C406" s="1"/>
      <c r="D406" s="1"/>
      <c r="E406" s="1"/>
      <c r="F406" s="1"/>
      <c r="G406" s="1"/>
      <c r="H406" s="1"/>
      <c r="I406" s="1"/>
    </row>
    <row r="407" spans="2:9" ht="15.75" customHeight="1" x14ac:dyDescent="0.25">
      <c r="B407" s="1"/>
      <c r="C407" s="1"/>
      <c r="D407" s="1"/>
      <c r="E407" s="1"/>
      <c r="F407" s="1"/>
      <c r="G407" s="1"/>
      <c r="H407" s="1"/>
      <c r="I407" s="1"/>
    </row>
    <row r="408" spans="2:9" ht="15.75" customHeight="1" x14ac:dyDescent="0.25">
      <c r="B408" s="1"/>
      <c r="C408" s="1"/>
      <c r="D408" s="1"/>
      <c r="E408" s="1"/>
      <c r="F408" s="1"/>
      <c r="G408" s="1"/>
      <c r="H408" s="1"/>
      <c r="I408" s="1"/>
    </row>
    <row r="409" spans="2:9" ht="15.75" customHeight="1" x14ac:dyDescent="0.25">
      <c r="B409" s="1"/>
      <c r="C409" s="1"/>
      <c r="D409" s="1"/>
      <c r="E409" s="1"/>
      <c r="F409" s="1"/>
      <c r="G409" s="1"/>
      <c r="H409" s="1"/>
      <c r="I409" s="1"/>
    </row>
    <row r="410" spans="2:9" ht="15.75" customHeight="1" x14ac:dyDescent="0.25">
      <c r="B410" s="1"/>
      <c r="C410" s="1"/>
      <c r="D410" s="1"/>
      <c r="E410" s="1"/>
      <c r="F410" s="1"/>
      <c r="G410" s="1"/>
      <c r="H410" s="1"/>
      <c r="I410" s="1"/>
    </row>
    <row r="411" spans="2:9" ht="15.75" customHeight="1" x14ac:dyDescent="0.25">
      <c r="B411" s="1"/>
      <c r="C411" s="1"/>
      <c r="D411" s="1"/>
      <c r="E411" s="1"/>
      <c r="F411" s="1"/>
      <c r="G411" s="1"/>
      <c r="H411" s="1"/>
      <c r="I411" s="1"/>
    </row>
    <row r="412" spans="2:9" ht="15.75" customHeight="1" x14ac:dyDescent="0.25">
      <c r="B412" s="1"/>
      <c r="C412" s="1"/>
      <c r="D412" s="1"/>
      <c r="E412" s="1"/>
      <c r="F412" s="1"/>
      <c r="G412" s="1"/>
      <c r="H412" s="1"/>
      <c r="I412" s="1"/>
    </row>
    <row r="413" spans="2:9" ht="15.75" customHeight="1" x14ac:dyDescent="0.25">
      <c r="B413" s="1"/>
      <c r="C413" s="1"/>
      <c r="D413" s="1"/>
      <c r="E413" s="1"/>
      <c r="F413" s="1"/>
      <c r="G413" s="1"/>
      <c r="H413" s="1"/>
      <c r="I413" s="1"/>
    </row>
    <row r="414" spans="2:9" ht="15.75" customHeight="1" x14ac:dyDescent="0.25">
      <c r="B414" s="1"/>
      <c r="C414" s="1"/>
      <c r="D414" s="1"/>
      <c r="E414" s="1"/>
      <c r="F414" s="1"/>
      <c r="G414" s="1"/>
      <c r="H414" s="1"/>
      <c r="I414" s="1"/>
    </row>
    <row r="415" spans="2:9" ht="15.75" customHeight="1" x14ac:dyDescent="0.25">
      <c r="B415" s="1"/>
      <c r="C415" s="1"/>
      <c r="D415" s="1"/>
      <c r="E415" s="1"/>
      <c r="F415" s="1"/>
      <c r="G415" s="1"/>
      <c r="H415" s="1"/>
      <c r="I415" s="1"/>
    </row>
    <row r="416" spans="2:9" ht="15.75" customHeight="1" x14ac:dyDescent="0.25">
      <c r="B416" s="1"/>
      <c r="C416" s="1"/>
      <c r="D416" s="1"/>
      <c r="E416" s="1"/>
      <c r="F416" s="1"/>
      <c r="G416" s="1"/>
      <c r="H416" s="1"/>
      <c r="I416" s="1"/>
    </row>
    <row r="417" spans="2:9" ht="15.75" customHeight="1" x14ac:dyDescent="0.25">
      <c r="B417" s="1"/>
      <c r="C417" s="1"/>
      <c r="D417" s="1"/>
      <c r="E417" s="1"/>
      <c r="F417" s="1"/>
      <c r="G417" s="1"/>
      <c r="H417" s="1"/>
      <c r="I417" s="1"/>
    </row>
    <row r="418" spans="2:9" ht="15.75" customHeight="1" x14ac:dyDescent="0.25">
      <c r="B418" s="1"/>
      <c r="C418" s="1"/>
      <c r="D418" s="1"/>
      <c r="E418" s="1"/>
      <c r="F418" s="1"/>
      <c r="G418" s="1"/>
      <c r="H418" s="1"/>
      <c r="I418" s="1"/>
    </row>
    <row r="419" spans="2:9" ht="15.75" customHeight="1" x14ac:dyDescent="0.25">
      <c r="B419" s="1"/>
      <c r="C419" s="1"/>
      <c r="D419" s="1"/>
      <c r="E419" s="1"/>
      <c r="F419" s="1"/>
      <c r="G419" s="1"/>
      <c r="H419" s="1"/>
      <c r="I419" s="1"/>
    </row>
    <row r="420" spans="2:9" ht="15.75" customHeight="1" x14ac:dyDescent="0.25">
      <c r="B420" s="1"/>
      <c r="C420" s="1"/>
      <c r="D420" s="1"/>
      <c r="E420" s="1"/>
      <c r="F420" s="1"/>
      <c r="G420" s="1"/>
      <c r="H420" s="1"/>
      <c r="I420" s="1"/>
    </row>
    <row r="421" spans="2:9" ht="15.75" customHeight="1" x14ac:dyDescent="0.25">
      <c r="B421" s="1"/>
      <c r="C421" s="1"/>
      <c r="D421" s="1"/>
      <c r="E421" s="1"/>
      <c r="F421" s="1"/>
      <c r="G421" s="1"/>
      <c r="H421" s="1"/>
      <c r="I421" s="1"/>
    </row>
    <row r="422" spans="2:9" ht="15.75" customHeight="1" x14ac:dyDescent="0.25">
      <c r="B422" s="1"/>
      <c r="C422" s="1"/>
      <c r="D422" s="1"/>
      <c r="E422" s="1"/>
      <c r="F422" s="1"/>
      <c r="G422" s="1"/>
      <c r="H422" s="1"/>
      <c r="I422" s="1"/>
    </row>
    <row r="423" spans="2:9" ht="15.75" customHeight="1" x14ac:dyDescent="0.25">
      <c r="B423" s="1"/>
      <c r="C423" s="1"/>
      <c r="D423" s="1"/>
      <c r="E423" s="1"/>
      <c r="F423" s="1"/>
      <c r="G423" s="1"/>
      <c r="H423" s="1"/>
      <c r="I423" s="1"/>
    </row>
    <row r="424" spans="2:9" ht="15.75" customHeight="1" x14ac:dyDescent="0.25">
      <c r="B424" s="1"/>
      <c r="C424" s="1"/>
      <c r="D424" s="1"/>
      <c r="E424" s="1"/>
      <c r="F424" s="1"/>
      <c r="G424" s="1"/>
      <c r="H424" s="1"/>
      <c r="I424" s="1"/>
    </row>
    <row r="425" spans="2:9" ht="15.75" customHeight="1" x14ac:dyDescent="0.25">
      <c r="B425" s="1"/>
      <c r="C425" s="1"/>
      <c r="D425" s="1"/>
      <c r="E425" s="1"/>
      <c r="F425" s="1"/>
      <c r="G425" s="1"/>
      <c r="H425" s="1"/>
      <c r="I425" s="1"/>
    </row>
    <row r="426" spans="2:9" ht="15.75" customHeight="1" x14ac:dyDescent="0.25">
      <c r="B426" s="1"/>
      <c r="C426" s="1"/>
      <c r="D426" s="1"/>
      <c r="E426" s="1"/>
      <c r="F426" s="1"/>
      <c r="G426" s="1"/>
      <c r="H426" s="1"/>
      <c r="I426" s="1"/>
    </row>
    <row r="427" spans="2:9" ht="15.75" customHeight="1" x14ac:dyDescent="0.25">
      <c r="B427" s="1"/>
      <c r="C427" s="1"/>
      <c r="D427" s="1"/>
      <c r="E427" s="1"/>
      <c r="F427" s="1"/>
      <c r="G427" s="1"/>
      <c r="H427" s="1"/>
      <c r="I427" s="1"/>
    </row>
    <row r="428" spans="2:9" ht="15.75" customHeight="1" x14ac:dyDescent="0.25">
      <c r="B428" s="1"/>
      <c r="C428" s="1"/>
      <c r="D428" s="1"/>
      <c r="E428" s="1"/>
      <c r="F428" s="1"/>
      <c r="G428" s="1"/>
      <c r="H428" s="1"/>
      <c r="I428" s="1"/>
    </row>
    <row r="429" spans="2:9" ht="15.75" customHeight="1" x14ac:dyDescent="0.25">
      <c r="B429" s="1"/>
      <c r="C429" s="1"/>
      <c r="D429" s="1"/>
      <c r="E429" s="1"/>
      <c r="F429" s="1"/>
      <c r="G429" s="1"/>
      <c r="H429" s="1"/>
      <c r="I429" s="1"/>
    </row>
    <row r="430" spans="2:9" ht="15.75" customHeight="1" x14ac:dyDescent="0.25">
      <c r="B430" s="1"/>
      <c r="C430" s="1"/>
      <c r="D430" s="1"/>
      <c r="E430" s="1"/>
      <c r="F430" s="1"/>
      <c r="G430" s="1"/>
      <c r="H430" s="1"/>
      <c r="I430" s="1"/>
    </row>
    <row r="431" spans="2:9" ht="15.75" customHeight="1" x14ac:dyDescent="0.25">
      <c r="B431" s="1"/>
      <c r="C431" s="1"/>
      <c r="D431" s="1"/>
      <c r="E431" s="1"/>
      <c r="F431" s="1"/>
      <c r="G431" s="1"/>
      <c r="H431" s="1"/>
      <c r="I431" s="1"/>
    </row>
    <row r="432" spans="2:9" ht="15.75" customHeight="1" x14ac:dyDescent="0.25">
      <c r="B432" s="1"/>
      <c r="C432" s="1"/>
      <c r="D432" s="1"/>
      <c r="E432" s="1"/>
      <c r="F432" s="1"/>
      <c r="G432" s="1"/>
      <c r="H432" s="1"/>
      <c r="I432" s="1"/>
    </row>
    <row r="433" spans="2:9" ht="15.75" customHeight="1" x14ac:dyDescent="0.25">
      <c r="B433" s="1"/>
      <c r="C433" s="1"/>
      <c r="D433" s="1"/>
      <c r="E433" s="1"/>
      <c r="F433" s="1"/>
      <c r="G433" s="1"/>
      <c r="H433" s="1"/>
      <c r="I433" s="1"/>
    </row>
    <row r="434" spans="2:9" ht="15.75" customHeight="1" x14ac:dyDescent="0.25">
      <c r="B434" s="1"/>
      <c r="C434" s="1"/>
      <c r="D434" s="1"/>
      <c r="E434" s="1"/>
      <c r="F434" s="1"/>
      <c r="G434" s="1"/>
      <c r="H434" s="1"/>
      <c r="I434" s="1"/>
    </row>
    <row r="435" spans="2:9" ht="15.75" customHeight="1" x14ac:dyDescent="0.25">
      <c r="B435" s="1"/>
      <c r="C435" s="1"/>
      <c r="D435" s="1"/>
      <c r="E435" s="1"/>
      <c r="F435" s="1"/>
      <c r="G435" s="1"/>
      <c r="H435" s="1"/>
      <c r="I435" s="1"/>
    </row>
    <row r="436" spans="2:9" ht="15.75" customHeight="1" x14ac:dyDescent="0.25">
      <c r="B436" s="1"/>
      <c r="C436" s="1"/>
      <c r="D436" s="1"/>
      <c r="E436" s="1"/>
      <c r="F436" s="1"/>
      <c r="G436" s="1"/>
      <c r="H436" s="1"/>
      <c r="I436" s="1"/>
    </row>
    <row r="437" spans="2:9" ht="15.75" customHeight="1" x14ac:dyDescent="0.25">
      <c r="B437" s="1"/>
      <c r="C437" s="1"/>
      <c r="D437" s="1"/>
      <c r="E437" s="1"/>
      <c r="F437" s="1"/>
      <c r="G437" s="1"/>
      <c r="H437" s="1"/>
      <c r="I437" s="1"/>
    </row>
    <row r="438" spans="2:9" ht="15.75" customHeight="1" x14ac:dyDescent="0.25">
      <c r="B438" s="1"/>
      <c r="C438" s="1"/>
      <c r="D438" s="1"/>
      <c r="E438" s="1"/>
      <c r="F438" s="1"/>
      <c r="G438" s="1"/>
      <c r="H438" s="1"/>
      <c r="I438" s="1"/>
    </row>
    <row r="439" spans="2:9" ht="15.75" customHeight="1" x14ac:dyDescent="0.25">
      <c r="B439" s="1"/>
      <c r="C439" s="1"/>
      <c r="D439" s="1"/>
      <c r="E439" s="1"/>
      <c r="F439" s="1"/>
      <c r="G439" s="1"/>
      <c r="H439" s="1"/>
      <c r="I439" s="1"/>
    </row>
    <row r="440" spans="2:9" ht="15.75" customHeight="1" x14ac:dyDescent="0.25">
      <c r="B440" s="1"/>
      <c r="C440" s="1"/>
      <c r="D440" s="1"/>
      <c r="E440" s="1"/>
      <c r="F440" s="1"/>
      <c r="G440" s="1"/>
      <c r="H440" s="1"/>
      <c r="I440" s="1"/>
    </row>
    <row r="441" spans="2:9" ht="15.75" customHeight="1" x14ac:dyDescent="0.25">
      <c r="B441" s="1"/>
      <c r="C441" s="1"/>
      <c r="D441" s="1"/>
      <c r="E441" s="1"/>
      <c r="F441" s="1"/>
      <c r="G441" s="1"/>
      <c r="H441" s="1"/>
      <c r="I441" s="1"/>
    </row>
    <row r="442" spans="2:9" ht="15.75" customHeight="1" x14ac:dyDescent="0.25">
      <c r="B442" s="1"/>
      <c r="C442" s="1"/>
      <c r="D442" s="1"/>
      <c r="E442" s="1"/>
      <c r="F442" s="1"/>
      <c r="G442" s="1"/>
      <c r="H442" s="1"/>
      <c r="I442" s="1"/>
    </row>
    <row r="443" spans="2:9" ht="15.75" customHeight="1" x14ac:dyDescent="0.25">
      <c r="B443" s="1"/>
      <c r="C443" s="1"/>
      <c r="D443" s="1"/>
      <c r="E443" s="1"/>
      <c r="F443" s="1"/>
      <c r="G443" s="1"/>
      <c r="H443" s="1"/>
      <c r="I443" s="1"/>
    </row>
    <row r="444" spans="2:9" ht="15.75" customHeight="1" x14ac:dyDescent="0.25">
      <c r="B444" s="1"/>
      <c r="C444" s="1"/>
      <c r="D444" s="1"/>
      <c r="E444" s="1"/>
      <c r="F444" s="1"/>
      <c r="G444" s="1"/>
      <c r="H444" s="1"/>
      <c r="I444" s="1"/>
    </row>
    <row r="445" spans="2:9" ht="15.75" customHeight="1" x14ac:dyDescent="0.25">
      <c r="B445" s="1"/>
      <c r="C445" s="1"/>
      <c r="D445" s="1"/>
      <c r="E445" s="1"/>
      <c r="F445" s="1"/>
      <c r="G445" s="1"/>
      <c r="H445" s="1"/>
      <c r="I445" s="1"/>
    </row>
    <row r="446" spans="2:9" ht="15.75" customHeight="1" x14ac:dyDescent="0.25">
      <c r="B446" s="1"/>
      <c r="C446" s="1"/>
      <c r="D446" s="1"/>
      <c r="E446" s="1"/>
      <c r="F446" s="1"/>
      <c r="G446" s="1"/>
      <c r="H446" s="1"/>
      <c r="I446" s="1"/>
    </row>
    <row r="447" spans="2:9" ht="15.75" customHeight="1" x14ac:dyDescent="0.25">
      <c r="B447" s="1"/>
      <c r="C447" s="1"/>
      <c r="D447" s="1"/>
      <c r="E447" s="1"/>
      <c r="F447" s="1"/>
      <c r="G447" s="1"/>
      <c r="H447" s="1"/>
      <c r="I447" s="1"/>
    </row>
    <row r="448" spans="2:9" ht="15.75" customHeight="1" x14ac:dyDescent="0.25">
      <c r="B448" s="1"/>
      <c r="C448" s="1"/>
      <c r="D448" s="1"/>
      <c r="E448" s="1"/>
      <c r="F448" s="1"/>
      <c r="G448" s="1"/>
      <c r="H448" s="1"/>
      <c r="I448" s="1"/>
    </row>
    <row r="449" spans="2:9" ht="15.75" customHeight="1" x14ac:dyDescent="0.25">
      <c r="B449" s="1"/>
      <c r="C449" s="1"/>
      <c r="D449" s="1"/>
      <c r="E449" s="1"/>
      <c r="F449" s="1"/>
      <c r="G449" s="1"/>
      <c r="H449" s="1"/>
      <c r="I449" s="1"/>
    </row>
    <row r="450" spans="2:9" ht="15.75" customHeight="1" x14ac:dyDescent="0.25">
      <c r="B450" s="1"/>
      <c r="C450" s="1"/>
      <c r="D450" s="1"/>
      <c r="E450" s="1"/>
      <c r="F450" s="1"/>
      <c r="G450" s="1"/>
      <c r="H450" s="1"/>
      <c r="I450" s="1"/>
    </row>
    <row r="451" spans="2:9" ht="15.75" customHeight="1" x14ac:dyDescent="0.25">
      <c r="B451" s="1"/>
      <c r="C451" s="1"/>
      <c r="D451" s="1"/>
      <c r="E451" s="1"/>
      <c r="F451" s="1"/>
      <c r="G451" s="1"/>
      <c r="H451" s="1"/>
      <c r="I451" s="1"/>
    </row>
    <row r="452" spans="2:9" ht="15.75" customHeight="1" x14ac:dyDescent="0.25">
      <c r="B452" s="1"/>
      <c r="C452" s="1"/>
      <c r="D452" s="1"/>
      <c r="E452" s="1"/>
      <c r="F452" s="1"/>
      <c r="G452" s="1"/>
      <c r="H452" s="1"/>
      <c r="I452" s="1"/>
    </row>
    <row r="453" spans="2:9" ht="15.75" customHeight="1" x14ac:dyDescent="0.25">
      <c r="B453" s="1"/>
      <c r="C453" s="1"/>
      <c r="D453" s="1"/>
      <c r="E453" s="1"/>
      <c r="F453" s="1"/>
      <c r="G453" s="1"/>
      <c r="H453" s="1"/>
      <c r="I453" s="1"/>
    </row>
    <row r="454" spans="2:9" ht="15.75" customHeight="1" x14ac:dyDescent="0.25">
      <c r="B454" s="1"/>
      <c r="C454" s="1"/>
      <c r="D454" s="1"/>
      <c r="E454" s="1"/>
      <c r="F454" s="1"/>
      <c r="G454" s="1"/>
      <c r="H454" s="1"/>
      <c r="I454" s="1"/>
    </row>
    <row r="455" spans="2:9" ht="15.75" customHeight="1" x14ac:dyDescent="0.25">
      <c r="B455" s="1"/>
      <c r="C455" s="1"/>
      <c r="D455" s="1"/>
      <c r="E455" s="1"/>
      <c r="F455" s="1"/>
      <c r="G455" s="1"/>
      <c r="H455" s="1"/>
      <c r="I455" s="1"/>
    </row>
    <row r="456" spans="2:9" ht="15.75" customHeight="1" x14ac:dyDescent="0.25">
      <c r="B456" s="1"/>
      <c r="C456" s="1"/>
      <c r="D456" s="1"/>
      <c r="E456" s="1"/>
      <c r="F456" s="1"/>
      <c r="G456" s="1"/>
      <c r="H456" s="1"/>
      <c r="I456" s="1"/>
    </row>
    <row r="457" spans="2:9" ht="15.75" customHeight="1" x14ac:dyDescent="0.25">
      <c r="B457" s="1"/>
      <c r="C457" s="1"/>
      <c r="D457" s="1"/>
      <c r="E457" s="1"/>
      <c r="F457" s="1"/>
      <c r="G457" s="1"/>
      <c r="H457" s="1"/>
      <c r="I457" s="1"/>
    </row>
    <row r="458" spans="2:9" ht="15.75" customHeight="1" x14ac:dyDescent="0.25">
      <c r="B458" s="1"/>
      <c r="C458" s="1"/>
      <c r="D458" s="1"/>
      <c r="E458" s="1"/>
      <c r="F458" s="1"/>
      <c r="G458" s="1"/>
      <c r="H458" s="1"/>
      <c r="I458" s="1"/>
    </row>
    <row r="459" spans="2:9" ht="15.75" customHeight="1" x14ac:dyDescent="0.25">
      <c r="B459" s="1"/>
      <c r="C459" s="1"/>
      <c r="D459" s="1"/>
      <c r="E459" s="1"/>
      <c r="F459" s="1"/>
      <c r="G459" s="1"/>
      <c r="H459" s="1"/>
      <c r="I459" s="1"/>
    </row>
    <row r="460" spans="2:9" ht="15.75" customHeight="1" x14ac:dyDescent="0.25">
      <c r="B460" s="1"/>
      <c r="C460" s="1"/>
      <c r="D460" s="1"/>
      <c r="E460" s="1"/>
      <c r="F460" s="1"/>
      <c r="G460" s="1"/>
      <c r="H460" s="1"/>
      <c r="I460" s="1"/>
    </row>
    <row r="461" spans="2:9" ht="15.75" customHeight="1" x14ac:dyDescent="0.25">
      <c r="B461" s="1"/>
      <c r="C461" s="1"/>
      <c r="D461" s="1"/>
      <c r="E461" s="1"/>
      <c r="F461" s="1"/>
      <c r="G461" s="1"/>
      <c r="H461" s="1"/>
      <c r="I461" s="1"/>
    </row>
    <row r="462" spans="2:9" ht="15.75" customHeight="1" x14ac:dyDescent="0.25">
      <c r="B462" s="1"/>
      <c r="C462" s="1"/>
      <c r="D462" s="1"/>
      <c r="E462" s="1"/>
      <c r="F462" s="1"/>
      <c r="G462" s="1"/>
      <c r="H462" s="1"/>
      <c r="I462" s="1"/>
    </row>
    <row r="463" spans="2:9" ht="15.75" customHeight="1" x14ac:dyDescent="0.25">
      <c r="B463" s="1"/>
      <c r="C463" s="1"/>
      <c r="D463" s="1"/>
      <c r="E463" s="1"/>
      <c r="F463" s="1"/>
      <c r="G463" s="1"/>
      <c r="H463" s="1"/>
      <c r="I463" s="1"/>
    </row>
    <row r="464" spans="2:9" ht="15.75" customHeight="1" x14ac:dyDescent="0.25">
      <c r="B464" s="1"/>
      <c r="C464" s="1"/>
      <c r="D464" s="1"/>
      <c r="E464" s="1"/>
      <c r="F464" s="1"/>
      <c r="G464" s="1"/>
      <c r="H464" s="1"/>
      <c r="I464" s="1"/>
    </row>
    <row r="465" spans="2:9" ht="15.75" customHeight="1" x14ac:dyDescent="0.25">
      <c r="B465" s="1"/>
      <c r="C465" s="1"/>
      <c r="D465" s="1"/>
      <c r="E465" s="1"/>
      <c r="F465" s="1"/>
      <c r="G465" s="1"/>
      <c r="H465" s="1"/>
      <c r="I465" s="1"/>
    </row>
    <row r="466" spans="2:9" ht="15.75" customHeight="1" x14ac:dyDescent="0.25">
      <c r="B466" s="1"/>
      <c r="C466" s="1"/>
      <c r="D466" s="1"/>
      <c r="E466" s="1"/>
      <c r="F466" s="1"/>
      <c r="G466" s="1"/>
      <c r="H466" s="1"/>
      <c r="I466" s="1"/>
    </row>
    <row r="467" spans="2:9" ht="15.75" customHeight="1" x14ac:dyDescent="0.25">
      <c r="B467" s="1"/>
      <c r="C467" s="1"/>
      <c r="D467" s="1"/>
      <c r="E467" s="1"/>
      <c r="F467" s="1"/>
      <c r="G467" s="1"/>
      <c r="H467" s="1"/>
      <c r="I467" s="1"/>
    </row>
    <row r="468" spans="2:9" ht="15.75" customHeight="1" x14ac:dyDescent="0.25">
      <c r="B468" s="1"/>
      <c r="C468" s="1"/>
      <c r="D468" s="1"/>
      <c r="E468" s="1"/>
      <c r="F468" s="1"/>
      <c r="G468" s="1"/>
      <c r="H468" s="1"/>
      <c r="I468" s="1"/>
    </row>
    <row r="469" spans="2:9" ht="15.75" customHeight="1" x14ac:dyDescent="0.25">
      <c r="B469" s="1"/>
      <c r="C469" s="1"/>
      <c r="D469" s="1"/>
      <c r="E469" s="1"/>
      <c r="F469" s="1"/>
      <c r="G469" s="1"/>
      <c r="H469" s="1"/>
      <c r="I469" s="1"/>
    </row>
    <row r="470" spans="2:9" ht="15.75" customHeight="1" x14ac:dyDescent="0.25">
      <c r="B470" s="1"/>
      <c r="C470" s="1"/>
      <c r="D470" s="1"/>
      <c r="E470" s="1"/>
      <c r="F470" s="1"/>
      <c r="G470" s="1"/>
      <c r="H470" s="1"/>
      <c r="I470" s="1"/>
    </row>
    <row r="471" spans="2:9" ht="15.75" customHeight="1" x14ac:dyDescent="0.25">
      <c r="B471" s="1"/>
      <c r="C471" s="1"/>
      <c r="D471" s="1"/>
      <c r="E471" s="1"/>
      <c r="F471" s="1"/>
      <c r="G471" s="1"/>
      <c r="H471" s="1"/>
      <c r="I471" s="1"/>
    </row>
    <row r="472" spans="2:9" ht="15.75" customHeight="1" x14ac:dyDescent="0.25">
      <c r="B472" s="1"/>
      <c r="C472" s="1"/>
      <c r="D472" s="1"/>
      <c r="E472" s="1"/>
      <c r="F472" s="1"/>
      <c r="G472" s="1"/>
      <c r="H472" s="1"/>
      <c r="I472" s="1"/>
    </row>
    <row r="473" spans="2:9" ht="15.75" customHeight="1" x14ac:dyDescent="0.25">
      <c r="B473" s="1"/>
      <c r="C473" s="1"/>
      <c r="D473" s="1"/>
      <c r="E473" s="1"/>
      <c r="F473" s="1"/>
      <c r="G473" s="1"/>
      <c r="H473" s="1"/>
      <c r="I473" s="1"/>
    </row>
    <row r="474" spans="2:9" ht="15.75" customHeight="1" x14ac:dyDescent="0.25">
      <c r="B474" s="1"/>
      <c r="C474" s="1"/>
      <c r="D474" s="1"/>
      <c r="E474" s="1"/>
      <c r="F474" s="1"/>
      <c r="G474" s="1"/>
      <c r="H474" s="1"/>
      <c r="I474" s="1"/>
    </row>
    <row r="475" spans="2:9" ht="15.75" customHeight="1" x14ac:dyDescent="0.25">
      <c r="B475" s="1"/>
      <c r="C475" s="1"/>
      <c r="D475" s="1"/>
      <c r="E475" s="1"/>
      <c r="F475" s="1"/>
      <c r="G475" s="1"/>
      <c r="H475" s="1"/>
      <c r="I475" s="1"/>
    </row>
    <row r="476" spans="2:9" ht="15.75" customHeight="1" x14ac:dyDescent="0.25">
      <c r="B476" s="1"/>
      <c r="C476" s="1"/>
      <c r="D476" s="1"/>
      <c r="E476" s="1"/>
      <c r="F476" s="1"/>
      <c r="G476" s="1"/>
      <c r="H476" s="1"/>
      <c r="I476" s="1"/>
    </row>
    <row r="477" spans="2:9" ht="15.75" customHeight="1" x14ac:dyDescent="0.25">
      <c r="B477" s="1"/>
      <c r="C477" s="1"/>
      <c r="D477" s="1"/>
      <c r="E477" s="1"/>
      <c r="F477" s="1"/>
      <c r="G477" s="1"/>
      <c r="H477" s="1"/>
      <c r="I477" s="1"/>
    </row>
    <row r="478" spans="2:9" ht="15.75" customHeight="1" x14ac:dyDescent="0.25">
      <c r="B478" s="1"/>
      <c r="C478" s="1"/>
      <c r="D478" s="1"/>
      <c r="E478" s="1"/>
      <c r="F478" s="1"/>
      <c r="G478" s="1"/>
      <c r="H478" s="1"/>
      <c r="I478" s="1"/>
    </row>
    <row r="479" spans="2:9" ht="15.75" customHeight="1" x14ac:dyDescent="0.25">
      <c r="B479" s="1"/>
      <c r="C479" s="1"/>
      <c r="D479" s="1"/>
      <c r="E479" s="1"/>
      <c r="F479" s="1"/>
      <c r="G479" s="1"/>
      <c r="H479" s="1"/>
      <c r="I479" s="1"/>
    </row>
    <row r="480" spans="2:9" ht="15.75" customHeight="1" x14ac:dyDescent="0.25">
      <c r="B480" s="1"/>
      <c r="C480" s="1"/>
      <c r="D480" s="1"/>
      <c r="E480" s="1"/>
      <c r="F480" s="1"/>
      <c r="G480" s="1"/>
      <c r="H480" s="1"/>
      <c r="I480" s="1"/>
    </row>
    <row r="481" spans="2:9" ht="15.75" customHeight="1" x14ac:dyDescent="0.25">
      <c r="B481" s="1"/>
      <c r="C481" s="1"/>
      <c r="D481" s="1"/>
      <c r="E481" s="1"/>
      <c r="F481" s="1"/>
      <c r="G481" s="1"/>
      <c r="H481" s="1"/>
      <c r="I481" s="1"/>
    </row>
    <row r="482" spans="2:9" ht="15.75" customHeight="1" x14ac:dyDescent="0.25">
      <c r="B482" s="1"/>
      <c r="C482" s="1"/>
      <c r="D482" s="1"/>
      <c r="E482" s="1"/>
      <c r="F482" s="1"/>
      <c r="G482" s="1"/>
      <c r="H482" s="1"/>
      <c r="I482" s="1"/>
    </row>
    <row r="483" spans="2:9" ht="15.75" customHeight="1" x14ac:dyDescent="0.25">
      <c r="B483" s="1"/>
      <c r="C483" s="1"/>
      <c r="D483" s="1"/>
      <c r="E483" s="1"/>
      <c r="F483" s="1"/>
      <c r="G483" s="1"/>
      <c r="H483" s="1"/>
      <c r="I483" s="1"/>
    </row>
    <row r="484" spans="2:9" ht="15.75" customHeight="1" x14ac:dyDescent="0.25">
      <c r="B484" s="1"/>
      <c r="C484" s="1"/>
      <c r="D484" s="1"/>
      <c r="E484" s="1"/>
      <c r="F484" s="1"/>
      <c r="G484" s="1"/>
      <c r="H484" s="1"/>
      <c r="I484" s="1"/>
    </row>
    <row r="485" spans="2:9" ht="15.75" customHeight="1" x14ac:dyDescent="0.25">
      <c r="B485" s="1"/>
      <c r="C485" s="1"/>
      <c r="D485" s="1"/>
      <c r="E485" s="1"/>
      <c r="F485" s="1"/>
      <c r="G485" s="1"/>
      <c r="H485" s="1"/>
      <c r="I485" s="1"/>
    </row>
    <row r="486" spans="2:9" ht="15.75" customHeight="1" x14ac:dyDescent="0.25">
      <c r="B486" s="1"/>
      <c r="C486" s="1"/>
      <c r="D486" s="1"/>
      <c r="E486" s="1"/>
      <c r="F486" s="1"/>
      <c r="G486" s="1"/>
      <c r="H486" s="1"/>
      <c r="I486" s="1"/>
    </row>
    <row r="487" spans="2:9" ht="15.75" customHeight="1" x14ac:dyDescent="0.25">
      <c r="B487" s="1"/>
      <c r="C487" s="1"/>
      <c r="D487" s="1"/>
      <c r="E487" s="1"/>
      <c r="F487" s="1"/>
      <c r="G487" s="1"/>
      <c r="H487" s="1"/>
      <c r="I487" s="1"/>
    </row>
    <row r="488" spans="2:9" ht="15.75" customHeight="1" x14ac:dyDescent="0.25">
      <c r="B488" s="1"/>
      <c r="C488" s="1"/>
      <c r="D488" s="1"/>
      <c r="E488" s="1"/>
      <c r="F488" s="1"/>
      <c r="G488" s="1"/>
      <c r="H488" s="1"/>
      <c r="I488" s="1"/>
    </row>
    <row r="489" spans="2:9" ht="15.75" customHeight="1" x14ac:dyDescent="0.25">
      <c r="B489" s="1"/>
      <c r="C489" s="1"/>
      <c r="D489" s="1"/>
      <c r="E489" s="1"/>
      <c r="F489" s="1"/>
      <c r="G489" s="1"/>
      <c r="H489" s="1"/>
      <c r="I489" s="1"/>
    </row>
    <row r="490" spans="2:9" ht="15.75" customHeight="1" x14ac:dyDescent="0.25">
      <c r="B490" s="1"/>
      <c r="C490" s="1"/>
      <c r="D490" s="1"/>
      <c r="E490" s="1"/>
      <c r="F490" s="1"/>
      <c r="G490" s="1"/>
      <c r="H490" s="1"/>
      <c r="I490" s="1"/>
    </row>
    <row r="491" spans="2:9" ht="15.75" customHeight="1" x14ac:dyDescent="0.25">
      <c r="B491" s="1"/>
      <c r="C491" s="1"/>
      <c r="D491" s="1"/>
      <c r="E491" s="1"/>
      <c r="F491" s="1"/>
      <c r="G491" s="1"/>
      <c r="H491" s="1"/>
      <c r="I491" s="1"/>
    </row>
    <row r="492" spans="2:9" ht="15.75" customHeight="1" x14ac:dyDescent="0.25">
      <c r="B492" s="1"/>
      <c r="C492" s="1"/>
      <c r="D492" s="1"/>
      <c r="E492" s="1"/>
      <c r="F492" s="1"/>
      <c r="G492" s="1"/>
      <c r="H492" s="1"/>
      <c r="I492" s="1"/>
    </row>
    <row r="493" spans="2:9" ht="15.75" customHeight="1" x14ac:dyDescent="0.25">
      <c r="B493" s="1"/>
      <c r="C493" s="1"/>
      <c r="D493" s="1"/>
      <c r="E493" s="1"/>
      <c r="F493" s="1"/>
      <c r="G493" s="1"/>
      <c r="H493" s="1"/>
      <c r="I493" s="1"/>
    </row>
    <row r="494" spans="2:9" ht="15.75" customHeight="1" x14ac:dyDescent="0.25">
      <c r="B494" s="1"/>
      <c r="C494" s="1"/>
      <c r="D494" s="1"/>
      <c r="E494" s="1"/>
      <c r="F494" s="1"/>
      <c r="G494" s="1"/>
      <c r="H494" s="1"/>
      <c r="I494" s="1"/>
    </row>
    <row r="495" spans="2:9" ht="15.75" customHeight="1" x14ac:dyDescent="0.25">
      <c r="B495" s="1"/>
      <c r="C495" s="1"/>
      <c r="D495" s="1"/>
      <c r="E495" s="1"/>
      <c r="F495" s="1"/>
      <c r="G495" s="1"/>
      <c r="H495" s="1"/>
      <c r="I495" s="1"/>
    </row>
    <row r="496" spans="2:9" ht="15.75" customHeight="1" x14ac:dyDescent="0.25">
      <c r="B496" s="1"/>
      <c r="C496" s="1"/>
      <c r="D496" s="1"/>
      <c r="E496" s="1"/>
      <c r="F496" s="1"/>
      <c r="G496" s="1"/>
      <c r="H496" s="1"/>
      <c r="I496" s="1"/>
    </row>
    <row r="497" spans="2:9" ht="15.75" customHeight="1" x14ac:dyDescent="0.25">
      <c r="B497" s="1"/>
      <c r="C497" s="1"/>
      <c r="D497" s="1"/>
      <c r="E497" s="1"/>
      <c r="F497" s="1"/>
      <c r="G497" s="1"/>
      <c r="H497" s="1"/>
      <c r="I497" s="1"/>
    </row>
    <row r="498" spans="2:9" ht="15.75" customHeight="1" x14ac:dyDescent="0.25">
      <c r="B498" s="1"/>
      <c r="C498" s="1"/>
      <c r="D498" s="1"/>
      <c r="E498" s="1"/>
      <c r="F498" s="1"/>
      <c r="G498" s="1"/>
      <c r="H498" s="1"/>
      <c r="I498" s="1"/>
    </row>
    <row r="499" spans="2:9" ht="15.75" customHeight="1" x14ac:dyDescent="0.25">
      <c r="B499" s="1"/>
      <c r="C499" s="1"/>
      <c r="D499" s="1"/>
      <c r="E499" s="1"/>
      <c r="F499" s="1"/>
      <c r="G499" s="1"/>
      <c r="H499" s="1"/>
      <c r="I499" s="1"/>
    </row>
    <row r="500" spans="2:9" ht="15.75" customHeight="1" x14ac:dyDescent="0.25">
      <c r="B500" s="1"/>
      <c r="C500" s="1"/>
      <c r="D500" s="1"/>
      <c r="E500" s="1"/>
      <c r="F500" s="1"/>
      <c r="G500" s="1"/>
      <c r="H500" s="1"/>
      <c r="I500" s="1"/>
    </row>
    <row r="501" spans="2:9" ht="15.75" customHeight="1" x14ac:dyDescent="0.25">
      <c r="B501" s="1"/>
      <c r="C501" s="1"/>
      <c r="D501" s="1"/>
      <c r="E501" s="1"/>
      <c r="F501" s="1"/>
      <c r="G501" s="1"/>
      <c r="H501" s="1"/>
      <c r="I501" s="1"/>
    </row>
    <row r="502" spans="2:9" ht="15.75" customHeight="1" x14ac:dyDescent="0.25">
      <c r="B502" s="1"/>
      <c r="C502" s="1"/>
      <c r="D502" s="1"/>
      <c r="E502" s="1"/>
      <c r="F502" s="1"/>
      <c r="G502" s="1"/>
      <c r="H502" s="1"/>
      <c r="I502" s="1"/>
    </row>
    <row r="503" spans="2:9" ht="15.75" customHeight="1" x14ac:dyDescent="0.25">
      <c r="B503" s="1"/>
      <c r="C503" s="1"/>
      <c r="D503" s="1"/>
      <c r="E503" s="1"/>
      <c r="F503" s="1"/>
      <c r="G503" s="1"/>
      <c r="H503" s="1"/>
      <c r="I503" s="1"/>
    </row>
    <row r="504" spans="2:9" ht="15.75" customHeight="1" x14ac:dyDescent="0.25">
      <c r="B504" s="1"/>
      <c r="C504" s="1"/>
      <c r="D504" s="1"/>
      <c r="E504" s="1"/>
      <c r="F504" s="1"/>
      <c r="G504" s="1"/>
      <c r="H504" s="1"/>
      <c r="I504" s="1"/>
    </row>
    <row r="505" spans="2:9" ht="15.75" customHeight="1" x14ac:dyDescent="0.25">
      <c r="B505" s="1"/>
      <c r="C505" s="1"/>
      <c r="D505" s="1"/>
      <c r="E505" s="1"/>
      <c r="F505" s="1"/>
      <c r="G505" s="1"/>
      <c r="H505" s="1"/>
      <c r="I505" s="1"/>
    </row>
    <row r="506" spans="2:9" ht="15.75" customHeight="1" x14ac:dyDescent="0.25">
      <c r="B506" s="1"/>
      <c r="C506" s="1"/>
      <c r="D506" s="1"/>
      <c r="E506" s="1"/>
      <c r="F506" s="1"/>
      <c r="G506" s="1"/>
      <c r="H506" s="1"/>
      <c r="I506" s="1"/>
    </row>
    <row r="507" spans="2:9" ht="15.75" customHeight="1" x14ac:dyDescent="0.25">
      <c r="B507" s="1"/>
      <c r="C507" s="1"/>
      <c r="D507" s="1"/>
      <c r="E507" s="1"/>
      <c r="F507" s="1"/>
      <c r="G507" s="1"/>
      <c r="H507" s="1"/>
      <c r="I507" s="1"/>
    </row>
    <row r="508" spans="2:9" ht="15.75" customHeight="1" x14ac:dyDescent="0.25">
      <c r="B508" s="1"/>
      <c r="C508" s="1"/>
      <c r="D508" s="1"/>
      <c r="E508" s="1"/>
      <c r="F508" s="1"/>
      <c r="G508" s="1"/>
      <c r="H508" s="1"/>
      <c r="I508" s="1"/>
    </row>
    <row r="509" spans="2:9" ht="15.75" customHeight="1" x14ac:dyDescent="0.25">
      <c r="B509" s="1"/>
      <c r="C509" s="1"/>
      <c r="D509" s="1"/>
      <c r="E509" s="1"/>
      <c r="F509" s="1"/>
      <c r="G509" s="1"/>
      <c r="H509" s="1"/>
      <c r="I509" s="1"/>
    </row>
    <row r="510" spans="2:9" ht="15.75" customHeight="1" x14ac:dyDescent="0.25">
      <c r="B510" s="1"/>
      <c r="C510" s="1"/>
      <c r="D510" s="1"/>
      <c r="E510" s="1"/>
      <c r="F510" s="1"/>
      <c r="G510" s="1"/>
      <c r="H510" s="1"/>
      <c r="I510" s="1"/>
    </row>
    <row r="511" spans="2:9" ht="15.75" customHeight="1" x14ac:dyDescent="0.25">
      <c r="B511" s="1"/>
      <c r="C511" s="1"/>
      <c r="D511" s="1"/>
      <c r="E511" s="1"/>
      <c r="F511" s="1"/>
      <c r="G511" s="1"/>
      <c r="H511" s="1"/>
      <c r="I511" s="1"/>
    </row>
    <row r="512" spans="2:9" ht="15.75" customHeight="1" x14ac:dyDescent="0.25">
      <c r="B512" s="1"/>
      <c r="C512" s="1"/>
      <c r="D512" s="1"/>
      <c r="E512" s="1"/>
      <c r="F512" s="1"/>
      <c r="G512" s="1"/>
      <c r="H512" s="1"/>
      <c r="I512" s="1"/>
    </row>
    <row r="513" spans="2:9" ht="15.75" customHeight="1" x14ac:dyDescent="0.25">
      <c r="B513" s="1"/>
      <c r="C513" s="1"/>
      <c r="D513" s="1"/>
      <c r="E513" s="1"/>
      <c r="F513" s="1"/>
      <c r="G513" s="1"/>
      <c r="H513" s="1"/>
      <c r="I513" s="1"/>
    </row>
    <row r="514" spans="2:9" ht="15.75" customHeight="1" x14ac:dyDescent="0.25">
      <c r="B514" s="1"/>
      <c r="C514" s="1"/>
      <c r="D514" s="1"/>
      <c r="E514" s="1"/>
      <c r="F514" s="1"/>
      <c r="G514" s="1"/>
      <c r="H514" s="1"/>
      <c r="I514" s="1"/>
    </row>
    <row r="515" spans="2:9" ht="15.75" customHeight="1" x14ac:dyDescent="0.25">
      <c r="B515" s="1"/>
      <c r="C515" s="1"/>
      <c r="D515" s="1"/>
      <c r="E515" s="1"/>
      <c r="F515" s="1"/>
      <c r="G515" s="1"/>
      <c r="H515" s="1"/>
      <c r="I515" s="1"/>
    </row>
    <row r="516" spans="2:9" ht="15.75" customHeight="1" x14ac:dyDescent="0.25">
      <c r="B516" s="1"/>
      <c r="C516" s="1"/>
      <c r="D516" s="1"/>
      <c r="E516" s="1"/>
      <c r="F516" s="1"/>
      <c r="G516" s="1"/>
      <c r="H516" s="1"/>
      <c r="I516" s="1"/>
    </row>
    <row r="517" spans="2:9" ht="15.75" customHeight="1" x14ac:dyDescent="0.25">
      <c r="B517" s="1"/>
      <c r="C517" s="1"/>
      <c r="D517" s="1"/>
      <c r="E517" s="1"/>
      <c r="F517" s="1"/>
      <c r="G517" s="1"/>
      <c r="H517" s="1"/>
      <c r="I517" s="1"/>
    </row>
    <row r="518" spans="2:9" ht="15.75" customHeight="1" x14ac:dyDescent="0.25">
      <c r="B518" s="1"/>
      <c r="C518" s="1"/>
      <c r="D518" s="1"/>
      <c r="E518" s="1"/>
      <c r="F518" s="1"/>
      <c r="G518" s="1"/>
      <c r="H518" s="1"/>
      <c r="I518" s="1"/>
    </row>
    <row r="519" spans="2:9" ht="15.75" customHeight="1" x14ac:dyDescent="0.25">
      <c r="B519" s="1"/>
      <c r="C519" s="1"/>
      <c r="D519" s="1"/>
      <c r="E519" s="1"/>
      <c r="F519" s="1"/>
      <c r="G519" s="1"/>
      <c r="H519" s="1"/>
      <c r="I519" s="1"/>
    </row>
    <row r="520" spans="2:9" ht="15.75" customHeight="1" x14ac:dyDescent="0.25">
      <c r="B520" s="1"/>
      <c r="C520" s="1"/>
      <c r="D520" s="1"/>
      <c r="E520" s="1"/>
      <c r="F520" s="1"/>
      <c r="G520" s="1"/>
      <c r="H520" s="1"/>
      <c r="I520" s="1"/>
    </row>
    <row r="521" spans="2:9" ht="15.75" customHeight="1" x14ac:dyDescent="0.25">
      <c r="B521" s="1"/>
      <c r="C521" s="1"/>
      <c r="D521" s="1"/>
      <c r="E521" s="1"/>
      <c r="F521" s="1"/>
      <c r="G521" s="1"/>
      <c r="H521" s="1"/>
      <c r="I521" s="1"/>
    </row>
    <row r="522" spans="2:9" ht="15.75" customHeight="1" x14ac:dyDescent="0.25">
      <c r="B522" s="1"/>
      <c r="C522" s="1"/>
      <c r="D522" s="1"/>
      <c r="E522" s="1"/>
      <c r="F522" s="1"/>
      <c r="G522" s="1"/>
      <c r="H522" s="1"/>
      <c r="I522" s="1"/>
    </row>
    <row r="523" spans="2:9" ht="15.75" customHeight="1" x14ac:dyDescent="0.25">
      <c r="B523" s="1"/>
      <c r="C523" s="1"/>
      <c r="D523" s="1"/>
      <c r="E523" s="1"/>
      <c r="F523" s="1"/>
      <c r="G523" s="1"/>
      <c r="H523" s="1"/>
      <c r="I523" s="1"/>
    </row>
    <row r="524" spans="2:9" ht="15.75" customHeight="1" x14ac:dyDescent="0.25">
      <c r="B524" s="1"/>
      <c r="C524" s="1"/>
      <c r="D524" s="1"/>
      <c r="E524" s="1"/>
      <c r="F524" s="1"/>
      <c r="G524" s="1"/>
      <c r="H524" s="1"/>
      <c r="I524" s="1"/>
    </row>
    <row r="525" spans="2:9" ht="15.75" customHeight="1" x14ac:dyDescent="0.25">
      <c r="B525" s="1"/>
      <c r="C525" s="1"/>
      <c r="D525" s="1"/>
      <c r="E525" s="1"/>
      <c r="F525" s="1"/>
      <c r="G525" s="1"/>
      <c r="H525" s="1"/>
      <c r="I525" s="1"/>
    </row>
    <row r="526" spans="2:9" ht="15.75" customHeight="1" x14ac:dyDescent="0.25">
      <c r="B526" s="1"/>
      <c r="C526" s="1"/>
      <c r="D526" s="1"/>
      <c r="E526" s="1"/>
      <c r="F526" s="1"/>
      <c r="G526" s="1"/>
      <c r="H526" s="1"/>
      <c r="I526" s="1"/>
    </row>
    <row r="527" spans="2:9" ht="15.75" customHeight="1" x14ac:dyDescent="0.25">
      <c r="B527" s="1"/>
      <c r="C527" s="1"/>
      <c r="D527" s="1"/>
      <c r="E527" s="1"/>
      <c r="F527" s="1"/>
      <c r="G527" s="1"/>
      <c r="H527" s="1"/>
      <c r="I527" s="1"/>
    </row>
    <row r="528" spans="2:9" ht="15.75" customHeight="1" x14ac:dyDescent="0.25">
      <c r="B528" s="1"/>
      <c r="C528" s="1"/>
      <c r="D528" s="1"/>
      <c r="E528" s="1"/>
      <c r="F528" s="1"/>
      <c r="G528" s="1"/>
      <c r="H528" s="1"/>
      <c r="I528" s="1"/>
    </row>
    <row r="529" spans="2:9" ht="15.75" customHeight="1" x14ac:dyDescent="0.25">
      <c r="B529" s="1"/>
      <c r="C529" s="1"/>
      <c r="D529" s="1"/>
      <c r="E529" s="1"/>
      <c r="F529" s="1"/>
      <c r="G529" s="1"/>
      <c r="H529" s="1"/>
      <c r="I529" s="1"/>
    </row>
    <row r="530" spans="2:9" ht="15.75" customHeight="1" x14ac:dyDescent="0.25">
      <c r="B530" s="1"/>
      <c r="C530" s="1"/>
      <c r="D530" s="1"/>
      <c r="E530" s="1"/>
      <c r="F530" s="1"/>
      <c r="G530" s="1"/>
      <c r="H530" s="1"/>
      <c r="I530" s="1"/>
    </row>
    <row r="531" spans="2:9" ht="15.75" customHeight="1" x14ac:dyDescent="0.25">
      <c r="B531" s="1"/>
      <c r="C531" s="1"/>
      <c r="D531" s="1"/>
      <c r="E531" s="1"/>
      <c r="F531" s="1"/>
      <c r="G531" s="1"/>
      <c r="H531" s="1"/>
      <c r="I531" s="1"/>
    </row>
    <row r="532" spans="2:9" ht="15.75" customHeight="1" x14ac:dyDescent="0.25">
      <c r="B532" s="1"/>
      <c r="C532" s="1"/>
      <c r="D532" s="1"/>
      <c r="E532" s="1"/>
      <c r="F532" s="1"/>
      <c r="G532" s="1"/>
      <c r="H532" s="1"/>
      <c r="I532" s="1"/>
    </row>
    <row r="533" spans="2:9" ht="15.75" customHeight="1" x14ac:dyDescent="0.25">
      <c r="B533" s="1"/>
      <c r="C533" s="1"/>
      <c r="D533" s="1"/>
      <c r="E533" s="1"/>
      <c r="F533" s="1"/>
      <c r="G533" s="1"/>
      <c r="H533" s="1"/>
      <c r="I533" s="1"/>
    </row>
    <row r="534" spans="2:9" ht="15.75" customHeight="1" x14ac:dyDescent="0.25">
      <c r="B534" s="1"/>
      <c r="C534" s="1"/>
      <c r="D534" s="1"/>
      <c r="E534" s="1"/>
      <c r="F534" s="1"/>
      <c r="G534" s="1"/>
      <c r="H534" s="1"/>
      <c r="I534" s="1"/>
    </row>
    <row r="535" spans="2:9" ht="15.75" customHeight="1" x14ac:dyDescent="0.25">
      <c r="B535" s="1"/>
      <c r="C535" s="1"/>
      <c r="D535" s="1"/>
      <c r="E535" s="1"/>
      <c r="F535" s="1"/>
      <c r="G535" s="1"/>
      <c r="H535" s="1"/>
      <c r="I535" s="1"/>
    </row>
    <row r="536" spans="2:9" ht="15.75" customHeight="1" x14ac:dyDescent="0.25">
      <c r="B536" s="1"/>
      <c r="C536" s="1"/>
      <c r="D536" s="1"/>
      <c r="E536" s="1"/>
      <c r="F536" s="1"/>
      <c r="G536" s="1"/>
      <c r="H536" s="1"/>
      <c r="I536" s="1"/>
    </row>
    <row r="537" spans="2:9" ht="15.75" customHeight="1" x14ac:dyDescent="0.25">
      <c r="B537" s="1"/>
      <c r="C537" s="1"/>
      <c r="D537" s="1"/>
      <c r="E537" s="1"/>
      <c r="F537" s="1"/>
      <c r="G537" s="1"/>
      <c r="H537" s="1"/>
      <c r="I537" s="1"/>
    </row>
    <row r="538" spans="2:9" ht="15.75" customHeight="1" x14ac:dyDescent="0.25">
      <c r="B538" s="1"/>
      <c r="C538" s="1"/>
      <c r="D538" s="1"/>
      <c r="E538" s="1"/>
      <c r="F538" s="1"/>
      <c r="G538" s="1"/>
      <c r="H538" s="1"/>
      <c r="I538" s="1"/>
    </row>
    <row r="539" spans="2:9" ht="15.75" customHeight="1" x14ac:dyDescent="0.25">
      <c r="B539" s="1"/>
      <c r="C539" s="1"/>
      <c r="D539" s="1"/>
      <c r="E539" s="1"/>
      <c r="F539" s="1"/>
      <c r="G539" s="1"/>
      <c r="H539" s="1"/>
      <c r="I539" s="1"/>
    </row>
    <row r="540" spans="2:9" ht="15.75" customHeight="1" x14ac:dyDescent="0.25">
      <c r="B540" s="1"/>
      <c r="C540" s="1"/>
      <c r="D540" s="1"/>
      <c r="E540" s="1"/>
      <c r="F540" s="1"/>
      <c r="G540" s="1"/>
      <c r="H540" s="1"/>
      <c r="I540" s="1"/>
    </row>
    <row r="541" spans="2:9" ht="15.75" customHeight="1" x14ac:dyDescent="0.25">
      <c r="B541" s="1"/>
      <c r="C541" s="1"/>
      <c r="D541" s="1"/>
      <c r="E541" s="1"/>
      <c r="F541" s="1"/>
      <c r="G541" s="1"/>
      <c r="H541" s="1"/>
      <c r="I541" s="1"/>
    </row>
    <row r="542" spans="2:9" ht="15.75" customHeight="1" x14ac:dyDescent="0.25">
      <c r="B542" s="1"/>
      <c r="C542" s="1"/>
      <c r="D542" s="1"/>
      <c r="E542" s="1"/>
      <c r="F542" s="1"/>
      <c r="G542" s="1"/>
      <c r="H542" s="1"/>
      <c r="I542" s="1"/>
    </row>
    <row r="543" spans="2:9" ht="15.75" customHeight="1" x14ac:dyDescent="0.25">
      <c r="B543" s="1"/>
      <c r="C543" s="1"/>
      <c r="D543" s="1"/>
      <c r="E543" s="1"/>
      <c r="F543" s="1"/>
      <c r="G543" s="1"/>
      <c r="H543" s="1"/>
      <c r="I543" s="1"/>
    </row>
    <row r="544" spans="2:9" ht="15.75" customHeight="1" x14ac:dyDescent="0.25">
      <c r="B544" s="1"/>
      <c r="C544" s="1"/>
      <c r="D544" s="1"/>
      <c r="E544" s="1"/>
      <c r="F544" s="1"/>
      <c r="G544" s="1"/>
      <c r="H544" s="1"/>
      <c r="I544" s="1"/>
    </row>
    <row r="545" spans="2:9" ht="15.75" customHeight="1" x14ac:dyDescent="0.25">
      <c r="B545" s="1"/>
      <c r="C545" s="1"/>
      <c r="D545" s="1"/>
      <c r="E545" s="1"/>
      <c r="F545" s="1"/>
      <c r="G545" s="1"/>
      <c r="H545" s="1"/>
      <c r="I545" s="1"/>
    </row>
    <row r="546" spans="2:9" ht="15.75" customHeight="1" x14ac:dyDescent="0.25">
      <c r="B546" s="1"/>
      <c r="C546" s="1"/>
      <c r="D546" s="1"/>
      <c r="E546" s="1"/>
      <c r="F546" s="1"/>
      <c r="G546" s="1"/>
      <c r="H546" s="1"/>
      <c r="I546" s="1"/>
    </row>
    <row r="547" spans="2:9" ht="15.75" customHeight="1" x14ac:dyDescent="0.25">
      <c r="B547" s="1"/>
      <c r="C547" s="1"/>
      <c r="D547" s="1"/>
      <c r="E547" s="1"/>
      <c r="F547" s="1"/>
      <c r="G547" s="1"/>
      <c r="H547" s="1"/>
      <c r="I547" s="1"/>
    </row>
    <row r="548" spans="2:9" ht="15.75" customHeight="1" x14ac:dyDescent="0.25">
      <c r="B548" s="1"/>
      <c r="C548" s="1"/>
      <c r="D548" s="1"/>
      <c r="E548" s="1"/>
      <c r="F548" s="1"/>
      <c r="G548" s="1"/>
      <c r="H548" s="1"/>
      <c r="I548" s="1"/>
    </row>
    <row r="549" spans="2:9" ht="15.75" customHeight="1" x14ac:dyDescent="0.25">
      <c r="B549" s="1"/>
      <c r="C549" s="1"/>
      <c r="D549" s="1"/>
      <c r="E549" s="1"/>
      <c r="F549" s="1"/>
      <c r="G549" s="1"/>
      <c r="H549" s="1"/>
      <c r="I549" s="1"/>
    </row>
    <row r="550" spans="2:9" ht="15.75" customHeight="1" x14ac:dyDescent="0.25">
      <c r="B550" s="1"/>
      <c r="C550" s="1"/>
      <c r="D550" s="1"/>
      <c r="E550" s="1"/>
      <c r="F550" s="1"/>
      <c r="G550" s="1"/>
      <c r="H550" s="1"/>
      <c r="I550" s="1"/>
    </row>
    <row r="551" spans="2:9" ht="15.75" customHeight="1" x14ac:dyDescent="0.25">
      <c r="B551" s="1"/>
      <c r="C551" s="1"/>
      <c r="D551" s="1"/>
      <c r="E551" s="1"/>
      <c r="F551" s="1"/>
      <c r="G551" s="1"/>
      <c r="H551" s="1"/>
      <c r="I551" s="1"/>
    </row>
    <row r="552" spans="2:9" ht="15.75" customHeight="1" x14ac:dyDescent="0.25">
      <c r="B552" s="1"/>
      <c r="C552" s="1"/>
      <c r="D552" s="1"/>
      <c r="E552" s="1"/>
      <c r="F552" s="1"/>
      <c r="G552" s="1"/>
      <c r="H552" s="1"/>
      <c r="I552" s="1"/>
    </row>
    <row r="553" spans="2:9" ht="15.75" customHeight="1" x14ac:dyDescent="0.25">
      <c r="B553" s="1"/>
      <c r="C553" s="1"/>
      <c r="D553" s="1"/>
      <c r="E553" s="1"/>
      <c r="F553" s="1"/>
      <c r="G553" s="1"/>
      <c r="H553" s="1"/>
      <c r="I553" s="1"/>
    </row>
    <row r="554" spans="2:9" ht="15.75" customHeight="1" x14ac:dyDescent="0.25">
      <c r="B554" s="1"/>
      <c r="C554" s="1"/>
      <c r="D554" s="1"/>
      <c r="E554" s="1"/>
      <c r="F554" s="1"/>
      <c r="G554" s="1"/>
      <c r="H554" s="1"/>
      <c r="I554" s="1"/>
    </row>
    <row r="555" spans="2:9" ht="15.75" customHeight="1" x14ac:dyDescent="0.25">
      <c r="B555" s="1"/>
      <c r="C555" s="1"/>
      <c r="D555" s="1"/>
      <c r="E555" s="1"/>
      <c r="F555" s="1"/>
      <c r="G555" s="1"/>
      <c r="H555" s="1"/>
      <c r="I555" s="1"/>
    </row>
    <row r="556" spans="2:9" ht="15.75" customHeight="1" x14ac:dyDescent="0.25">
      <c r="B556" s="1"/>
      <c r="C556" s="1"/>
      <c r="D556" s="1"/>
      <c r="E556" s="1"/>
      <c r="F556" s="1"/>
      <c r="G556" s="1"/>
      <c r="H556" s="1"/>
      <c r="I556" s="1"/>
    </row>
    <row r="557" spans="2:9" ht="15.75" customHeight="1" x14ac:dyDescent="0.25">
      <c r="B557" s="1"/>
      <c r="C557" s="1"/>
      <c r="D557" s="1"/>
      <c r="E557" s="1"/>
      <c r="F557" s="1"/>
      <c r="G557" s="1"/>
      <c r="H557" s="1"/>
      <c r="I557" s="1"/>
    </row>
    <row r="558" spans="2:9" ht="15.75" customHeight="1" x14ac:dyDescent="0.25">
      <c r="B558" s="1"/>
      <c r="C558" s="1"/>
      <c r="D558" s="1"/>
      <c r="E558" s="1"/>
      <c r="F558" s="1"/>
      <c r="G558" s="1"/>
      <c r="H558" s="1"/>
      <c r="I558" s="1"/>
    </row>
    <row r="559" spans="2:9" ht="15.75" customHeight="1" x14ac:dyDescent="0.25">
      <c r="B559" s="1"/>
      <c r="C559" s="1"/>
      <c r="D559" s="1"/>
      <c r="E559" s="1"/>
      <c r="F559" s="1"/>
      <c r="G559" s="1"/>
      <c r="H559" s="1"/>
      <c r="I559" s="1"/>
    </row>
    <row r="560" spans="2:9" ht="15.75" customHeight="1" x14ac:dyDescent="0.25">
      <c r="B560" s="1"/>
      <c r="C560" s="1"/>
      <c r="D560" s="1"/>
      <c r="E560" s="1"/>
      <c r="F560" s="1"/>
      <c r="G560" s="1"/>
      <c r="H560" s="1"/>
      <c r="I560" s="1"/>
    </row>
    <row r="561" spans="2:9" ht="15.75" customHeight="1" x14ac:dyDescent="0.25">
      <c r="B561" s="1"/>
      <c r="C561" s="1"/>
      <c r="D561" s="1"/>
      <c r="E561" s="1"/>
      <c r="F561" s="1"/>
      <c r="G561" s="1"/>
      <c r="H561" s="1"/>
      <c r="I561" s="1"/>
    </row>
    <row r="562" spans="2:9" ht="15.75" customHeight="1" x14ac:dyDescent="0.25">
      <c r="B562" s="1"/>
      <c r="C562" s="1"/>
      <c r="D562" s="1"/>
      <c r="E562" s="1"/>
      <c r="F562" s="1"/>
      <c r="G562" s="1"/>
      <c r="H562" s="1"/>
      <c r="I562" s="1"/>
    </row>
    <row r="563" spans="2:9" ht="15.75" customHeight="1" x14ac:dyDescent="0.25">
      <c r="B563" s="1"/>
      <c r="C563" s="1"/>
      <c r="D563" s="1"/>
      <c r="E563" s="1"/>
      <c r="F563" s="1"/>
      <c r="G563" s="1"/>
      <c r="H563" s="1"/>
      <c r="I563" s="1"/>
    </row>
    <row r="564" spans="2:9" ht="15.75" customHeight="1" x14ac:dyDescent="0.25">
      <c r="B564" s="1"/>
      <c r="C564" s="1"/>
      <c r="D564" s="1"/>
      <c r="E564" s="1"/>
      <c r="F564" s="1"/>
      <c r="G564" s="1"/>
      <c r="H564" s="1"/>
      <c r="I564" s="1"/>
    </row>
    <row r="565" spans="2:9" ht="15.75" customHeight="1" x14ac:dyDescent="0.25">
      <c r="B565" s="1"/>
      <c r="C565" s="1"/>
      <c r="D565" s="1"/>
      <c r="E565" s="1"/>
      <c r="F565" s="1"/>
      <c r="G565" s="1"/>
      <c r="H565" s="1"/>
      <c r="I565" s="1"/>
    </row>
    <row r="566" spans="2:9" ht="15.75" customHeight="1" x14ac:dyDescent="0.25">
      <c r="B566" s="1"/>
      <c r="C566" s="1"/>
      <c r="D566" s="1"/>
      <c r="E566" s="1"/>
      <c r="F566" s="1"/>
      <c r="G566" s="1"/>
      <c r="H566" s="1"/>
      <c r="I566" s="1"/>
    </row>
    <row r="567" spans="2:9" ht="15.75" customHeight="1" x14ac:dyDescent="0.25">
      <c r="B567" s="1"/>
      <c r="C567" s="1"/>
      <c r="D567" s="1"/>
      <c r="E567" s="1"/>
      <c r="F567" s="1"/>
      <c r="G567" s="1"/>
      <c r="H567" s="1"/>
      <c r="I567" s="1"/>
    </row>
    <row r="568" spans="2:9" ht="15.75" customHeight="1" x14ac:dyDescent="0.25">
      <c r="B568" s="1"/>
      <c r="C568" s="1"/>
      <c r="D568" s="1"/>
      <c r="E568" s="1"/>
      <c r="F568" s="1"/>
      <c r="G568" s="1"/>
      <c r="H568" s="1"/>
      <c r="I568" s="1"/>
    </row>
    <row r="569" spans="2:9" ht="15.75" customHeight="1" x14ac:dyDescent="0.25">
      <c r="B569" s="1"/>
      <c r="C569" s="1"/>
      <c r="D569" s="1"/>
      <c r="E569" s="1"/>
      <c r="F569" s="1"/>
      <c r="G569" s="1"/>
      <c r="H569" s="1"/>
      <c r="I569" s="1"/>
    </row>
    <row r="570" spans="2:9" ht="15.75" customHeight="1" x14ac:dyDescent="0.25">
      <c r="B570" s="1"/>
      <c r="C570" s="1"/>
      <c r="D570" s="1"/>
      <c r="E570" s="1"/>
      <c r="F570" s="1"/>
      <c r="G570" s="1"/>
      <c r="H570" s="1"/>
      <c r="I570" s="1"/>
    </row>
    <row r="571" spans="2:9" ht="15.75" customHeight="1" x14ac:dyDescent="0.25">
      <c r="B571" s="1"/>
      <c r="C571" s="1"/>
      <c r="D571" s="1"/>
      <c r="E571" s="1"/>
      <c r="F571" s="1"/>
      <c r="G571" s="1"/>
      <c r="H571" s="1"/>
      <c r="I571" s="1"/>
    </row>
    <row r="572" spans="2:9" ht="15.75" customHeight="1" x14ac:dyDescent="0.25">
      <c r="B572" s="1"/>
      <c r="C572" s="1"/>
      <c r="D572" s="1"/>
      <c r="E572" s="1"/>
      <c r="F572" s="1"/>
      <c r="G572" s="1"/>
      <c r="H572" s="1"/>
      <c r="I572" s="1"/>
    </row>
    <row r="573" spans="2:9" ht="15.75" customHeight="1" x14ac:dyDescent="0.25">
      <c r="B573" s="1"/>
      <c r="C573" s="1"/>
      <c r="D573" s="1"/>
      <c r="E573" s="1"/>
      <c r="F573" s="1"/>
      <c r="G573" s="1"/>
      <c r="H573" s="1"/>
      <c r="I573" s="1"/>
    </row>
    <row r="574" spans="2:9" ht="15.75" customHeight="1" x14ac:dyDescent="0.25">
      <c r="B574" s="1"/>
      <c r="C574" s="1"/>
      <c r="D574" s="1"/>
      <c r="E574" s="1"/>
      <c r="F574" s="1"/>
      <c r="G574" s="1"/>
      <c r="H574" s="1"/>
      <c r="I574" s="1"/>
    </row>
    <row r="575" spans="2:9" ht="15.75" customHeight="1" x14ac:dyDescent="0.25">
      <c r="B575" s="1"/>
      <c r="C575" s="1"/>
      <c r="D575" s="1"/>
      <c r="E575" s="1"/>
      <c r="F575" s="1"/>
      <c r="G575" s="1"/>
      <c r="H575" s="1"/>
      <c r="I575" s="1"/>
    </row>
    <row r="576" spans="2:9" ht="15.75" customHeight="1" x14ac:dyDescent="0.25">
      <c r="B576" s="1"/>
      <c r="C576" s="1"/>
      <c r="D576" s="1"/>
      <c r="E576" s="1"/>
      <c r="F576" s="1"/>
      <c r="G576" s="1"/>
      <c r="H576" s="1"/>
      <c r="I576" s="1"/>
    </row>
    <row r="577" spans="2:9" ht="15.75" customHeight="1" x14ac:dyDescent="0.25">
      <c r="B577" s="1"/>
      <c r="C577" s="1"/>
      <c r="D577" s="1"/>
      <c r="E577" s="1"/>
      <c r="F577" s="1"/>
      <c r="G577" s="1"/>
      <c r="H577" s="1"/>
      <c r="I577" s="1"/>
    </row>
    <row r="578" spans="2:9" ht="15.75" customHeight="1" x14ac:dyDescent="0.25">
      <c r="B578" s="1"/>
      <c r="C578" s="1"/>
      <c r="D578" s="1"/>
      <c r="E578" s="1"/>
      <c r="F578" s="1"/>
      <c r="G578" s="1"/>
      <c r="H578" s="1"/>
      <c r="I578" s="1"/>
    </row>
    <row r="579" spans="2:9" ht="15.75" customHeight="1" x14ac:dyDescent="0.25">
      <c r="B579" s="1"/>
      <c r="C579" s="1"/>
      <c r="D579" s="1"/>
      <c r="E579" s="1"/>
      <c r="F579" s="1"/>
      <c r="G579" s="1"/>
      <c r="H579" s="1"/>
      <c r="I579" s="1"/>
    </row>
    <row r="580" spans="2:9" ht="15.75" customHeight="1" x14ac:dyDescent="0.25">
      <c r="B580" s="1"/>
      <c r="C580" s="1"/>
      <c r="D580" s="1"/>
      <c r="E580" s="1"/>
      <c r="F580" s="1"/>
      <c r="G580" s="1"/>
      <c r="H580" s="1"/>
      <c r="I580" s="1"/>
    </row>
    <row r="581" spans="2:9" ht="15.75" customHeight="1" x14ac:dyDescent="0.25">
      <c r="B581" s="1"/>
      <c r="C581" s="1"/>
      <c r="D581" s="1"/>
      <c r="E581" s="1"/>
      <c r="F581" s="1"/>
      <c r="G581" s="1"/>
      <c r="H581" s="1"/>
      <c r="I581" s="1"/>
    </row>
    <row r="582" spans="2:9" ht="15.75" customHeight="1" x14ac:dyDescent="0.25">
      <c r="B582" s="1"/>
      <c r="C582" s="1"/>
      <c r="D582" s="1"/>
      <c r="E582" s="1"/>
      <c r="F582" s="1"/>
      <c r="G582" s="1"/>
      <c r="H582" s="1"/>
      <c r="I582" s="1"/>
    </row>
    <row r="583" spans="2:9" ht="15.75" customHeight="1" x14ac:dyDescent="0.25">
      <c r="B583" s="1"/>
      <c r="C583" s="1"/>
      <c r="D583" s="1"/>
      <c r="E583" s="1"/>
      <c r="F583" s="1"/>
      <c r="G583" s="1"/>
      <c r="H583" s="1"/>
      <c r="I583" s="1"/>
    </row>
    <row r="584" spans="2:9" ht="15.75" customHeight="1" x14ac:dyDescent="0.25">
      <c r="B584" s="1"/>
      <c r="C584" s="1"/>
      <c r="D584" s="1"/>
      <c r="E584" s="1"/>
      <c r="F584" s="1"/>
      <c r="G584" s="1"/>
      <c r="H584" s="1"/>
      <c r="I584" s="1"/>
    </row>
    <row r="585" spans="2:9" ht="15.75" customHeight="1" x14ac:dyDescent="0.25">
      <c r="B585" s="1"/>
      <c r="C585" s="1"/>
      <c r="D585" s="1"/>
      <c r="E585" s="1"/>
      <c r="F585" s="1"/>
      <c r="G585" s="1"/>
      <c r="H585" s="1"/>
      <c r="I585" s="1"/>
    </row>
    <row r="586" spans="2:9" ht="15.75" customHeight="1" x14ac:dyDescent="0.25">
      <c r="B586" s="1"/>
      <c r="C586" s="1"/>
      <c r="D586" s="1"/>
      <c r="E586" s="1"/>
      <c r="F586" s="1"/>
      <c r="G586" s="1"/>
      <c r="H586" s="1"/>
      <c r="I586" s="1"/>
    </row>
    <row r="587" spans="2:9" ht="15.75" customHeight="1" x14ac:dyDescent="0.25">
      <c r="B587" s="1"/>
      <c r="C587" s="1"/>
      <c r="D587" s="1"/>
      <c r="E587" s="1"/>
      <c r="F587" s="1"/>
      <c r="G587" s="1"/>
      <c r="H587" s="1"/>
      <c r="I587" s="1"/>
    </row>
    <row r="588" spans="2:9" ht="15.75" customHeight="1" x14ac:dyDescent="0.25">
      <c r="B588" s="1"/>
      <c r="C588" s="1"/>
      <c r="D588" s="1"/>
      <c r="E588" s="1"/>
      <c r="F588" s="1"/>
      <c r="G588" s="1"/>
      <c r="H588" s="1"/>
      <c r="I588" s="1"/>
    </row>
    <row r="589" spans="2:9" ht="15.75" customHeight="1" x14ac:dyDescent="0.25">
      <c r="B589" s="1"/>
      <c r="C589" s="1"/>
      <c r="D589" s="1"/>
      <c r="E589" s="1"/>
      <c r="F589" s="1"/>
      <c r="G589" s="1"/>
      <c r="H589" s="1"/>
      <c r="I589" s="1"/>
    </row>
    <row r="590" spans="2:9" ht="15.75" customHeight="1" x14ac:dyDescent="0.25">
      <c r="B590" s="1"/>
      <c r="C590" s="1"/>
      <c r="D590" s="1"/>
      <c r="E590" s="1"/>
      <c r="F590" s="1"/>
      <c r="G590" s="1"/>
      <c r="H590" s="1"/>
      <c r="I590" s="1"/>
    </row>
    <row r="591" spans="2:9" ht="15.75" customHeight="1" x14ac:dyDescent="0.25">
      <c r="B591" s="1"/>
      <c r="C591" s="1"/>
      <c r="D591" s="1"/>
      <c r="E591" s="1"/>
      <c r="F591" s="1"/>
      <c r="G591" s="1"/>
      <c r="H591" s="1"/>
      <c r="I591" s="1"/>
    </row>
    <row r="592" spans="2:9" ht="15.75" customHeight="1" x14ac:dyDescent="0.25">
      <c r="B592" s="1"/>
      <c r="C592" s="1"/>
      <c r="D592" s="1"/>
      <c r="E592" s="1"/>
      <c r="F592" s="1"/>
      <c r="G592" s="1"/>
      <c r="H592" s="1"/>
      <c r="I592" s="1"/>
    </row>
    <row r="593" spans="2:9" ht="15.75" customHeight="1" x14ac:dyDescent="0.25">
      <c r="B593" s="1"/>
      <c r="C593" s="1"/>
      <c r="D593" s="1"/>
      <c r="E593" s="1"/>
      <c r="F593" s="1"/>
      <c r="G593" s="1"/>
      <c r="H593" s="1"/>
      <c r="I593" s="1"/>
    </row>
    <row r="594" spans="2:9" ht="15.75" customHeight="1" x14ac:dyDescent="0.25">
      <c r="B594" s="1"/>
      <c r="C594" s="1"/>
      <c r="D594" s="1"/>
      <c r="E594" s="1"/>
      <c r="F594" s="1"/>
      <c r="G594" s="1"/>
      <c r="H594" s="1"/>
      <c r="I594" s="1"/>
    </row>
    <row r="595" spans="2:9" ht="15.75" customHeight="1" x14ac:dyDescent="0.25">
      <c r="B595" s="1"/>
      <c r="C595" s="1"/>
      <c r="D595" s="1"/>
      <c r="E595" s="1"/>
      <c r="F595" s="1"/>
      <c r="G595" s="1"/>
      <c r="H595" s="1"/>
      <c r="I595" s="1"/>
    </row>
    <row r="596" spans="2:9" ht="15.75" customHeight="1" x14ac:dyDescent="0.25">
      <c r="B596" s="1"/>
      <c r="C596" s="1"/>
      <c r="D596" s="1"/>
      <c r="E596" s="1"/>
      <c r="F596" s="1"/>
      <c r="G596" s="1"/>
      <c r="H596" s="1"/>
      <c r="I596" s="1"/>
    </row>
    <row r="597" spans="2:9" ht="15.75" customHeight="1" x14ac:dyDescent="0.25">
      <c r="B597" s="1"/>
      <c r="C597" s="1"/>
      <c r="D597" s="1"/>
      <c r="E597" s="1"/>
      <c r="F597" s="1"/>
      <c r="G597" s="1"/>
      <c r="H597" s="1"/>
      <c r="I597" s="1"/>
    </row>
    <row r="598" spans="2:9" ht="15.75" customHeight="1" x14ac:dyDescent="0.25">
      <c r="B598" s="1"/>
      <c r="C598" s="1"/>
      <c r="D598" s="1"/>
      <c r="E598" s="1"/>
      <c r="F598" s="1"/>
      <c r="G598" s="1"/>
      <c r="H598" s="1"/>
      <c r="I598" s="1"/>
    </row>
    <row r="599" spans="2:9" ht="15.75" customHeight="1" x14ac:dyDescent="0.25">
      <c r="B599" s="1"/>
      <c r="C599" s="1"/>
      <c r="D599" s="1"/>
      <c r="E599" s="1"/>
      <c r="F599" s="1"/>
      <c r="G599" s="1"/>
      <c r="H599" s="1"/>
      <c r="I599" s="1"/>
    </row>
    <row r="600" spans="2:9" ht="15.75" customHeight="1" x14ac:dyDescent="0.25">
      <c r="B600" s="1"/>
      <c r="C600" s="1"/>
      <c r="D600" s="1"/>
      <c r="E600" s="1"/>
      <c r="F600" s="1"/>
      <c r="G600" s="1"/>
      <c r="H600" s="1"/>
      <c r="I600" s="1"/>
    </row>
    <row r="601" spans="2:9" ht="15.75" customHeight="1" x14ac:dyDescent="0.25">
      <c r="B601" s="1"/>
      <c r="C601" s="1"/>
      <c r="D601" s="1"/>
      <c r="E601" s="1"/>
      <c r="F601" s="1"/>
      <c r="G601" s="1"/>
      <c r="H601" s="1"/>
      <c r="I601" s="1"/>
    </row>
    <row r="602" spans="2:9" ht="15.75" customHeight="1" x14ac:dyDescent="0.25">
      <c r="B602" s="1"/>
      <c r="C602" s="1"/>
      <c r="D602" s="1"/>
      <c r="E602" s="1"/>
      <c r="F602" s="1"/>
      <c r="G602" s="1"/>
      <c r="H602" s="1"/>
      <c r="I602" s="1"/>
    </row>
    <row r="603" spans="2:9" ht="15.75" customHeight="1" x14ac:dyDescent="0.25">
      <c r="B603" s="1"/>
      <c r="C603" s="1"/>
      <c r="D603" s="1"/>
      <c r="E603" s="1"/>
      <c r="F603" s="1"/>
      <c r="G603" s="1"/>
      <c r="H603" s="1"/>
      <c r="I603" s="1"/>
    </row>
    <row r="604" spans="2:9" ht="15.75" customHeight="1" x14ac:dyDescent="0.25">
      <c r="B604" s="1"/>
      <c r="C604" s="1"/>
      <c r="D604" s="1"/>
      <c r="E604" s="1"/>
      <c r="F604" s="1"/>
      <c r="G604" s="1"/>
      <c r="H604" s="1"/>
      <c r="I604" s="1"/>
    </row>
    <row r="605" spans="2:9" ht="15.75" customHeight="1" x14ac:dyDescent="0.25">
      <c r="B605" s="1"/>
      <c r="C605" s="1"/>
      <c r="D605" s="1"/>
      <c r="E605" s="1"/>
      <c r="F605" s="1"/>
      <c r="G605" s="1"/>
      <c r="H605" s="1"/>
      <c r="I605" s="1"/>
    </row>
    <row r="606" spans="2:9" ht="15.75" customHeight="1" x14ac:dyDescent="0.25">
      <c r="B606" s="1"/>
      <c r="C606" s="1"/>
      <c r="D606" s="1"/>
      <c r="E606" s="1"/>
      <c r="F606" s="1"/>
      <c r="G606" s="1"/>
      <c r="H606" s="1"/>
      <c r="I606" s="1"/>
    </row>
    <row r="607" spans="2:9" ht="15.75" customHeight="1" x14ac:dyDescent="0.25">
      <c r="B607" s="1"/>
      <c r="C607" s="1"/>
      <c r="D607" s="1"/>
      <c r="E607" s="1"/>
      <c r="F607" s="1"/>
      <c r="G607" s="1"/>
      <c r="H607" s="1"/>
      <c r="I607" s="1"/>
    </row>
    <row r="608" spans="2:9" ht="15.75" customHeight="1" x14ac:dyDescent="0.25">
      <c r="B608" s="1"/>
      <c r="C608" s="1"/>
      <c r="D608" s="1"/>
      <c r="E608" s="1"/>
      <c r="F608" s="1"/>
      <c r="G608" s="1"/>
      <c r="H608" s="1"/>
      <c r="I608" s="1"/>
    </row>
    <row r="609" spans="2:9" ht="15.75" customHeight="1" x14ac:dyDescent="0.25">
      <c r="B609" s="1"/>
      <c r="C609" s="1"/>
      <c r="D609" s="1"/>
      <c r="E609" s="1"/>
      <c r="F609" s="1"/>
      <c r="G609" s="1"/>
      <c r="H609" s="1"/>
      <c r="I609" s="1"/>
    </row>
    <row r="610" spans="2:9" ht="15.75" customHeight="1" x14ac:dyDescent="0.25">
      <c r="B610" s="1"/>
      <c r="C610" s="1"/>
      <c r="D610" s="1"/>
      <c r="E610" s="1"/>
      <c r="F610" s="1"/>
      <c r="G610" s="1"/>
      <c r="H610" s="1"/>
      <c r="I610" s="1"/>
    </row>
    <row r="611" spans="2:9" ht="15.75" customHeight="1" x14ac:dyDescent="0.25">
      <c r="B611" s="1"/>
      <c r="C611" s="1"/>
      <c r="D611" s="1"/>
      <c r="E611" s="1"/>
      <c r="F611" s="1"/>
      <c r="G611" s="1"/>
      <c r="H611" s="1"/>
      <c r="I611" s="1"/>
    </row>
    <row r="612" spans="2:9" ht="15.75" customHeight="1" x14ac:dyDescent="0.25">
      <c r="B612" s="1"/>
      <c r="C612" s="1"/>
      <c r="D612" s="1"/>
      <c r="E612" s="1"/>
      <c r="F612" s="1"/>
      <c r="G612" s="1"/>
      <c r="H612" s="1"/>
      <c r="I612" s="1"/>
    </row>
    <row r="613" spans="2:9" ht="15.75" customHeight="1" x14ac:dyDescent="0.25">
      <c r="B613" s="1"/>
      <c r="C613" s="1"/>
      <c r="D613" s="1"/>
      <c r="E613" s="1"/>
      <c r="F613" s="1"/>
      <c r="G613" s="1"/>
      <c r="H613" s="1"/>
      <c r="I613" s="1"/>
    </row>
    <row r="614" spans="2:9" ht="15.75" customHeight="1" x14ac:dyDescent="0.25">
      <c r="B614" s="1"/>
      <c r="C614" s="1"/>
      <c r="D614" s="1"/>
      <c r="E614" s="1"/>
      <c r="F614" s="1"/>
      <c r="G614" s="1"/>
      <c r="H614" s="1"/>
      <c r="I614" s="1"/>
    </row>
    <row r="615" spans="2:9" ht="15.75" customHeight="1" x14ac:dyDescent="0.25">
      <c r="B615" s="1"/>
      <c r="C615" s="1"/>
      <c r="D615" s="1"/>
      <c r="E615" s="1"/>
      <c r="F615" s="1"/>
      <c r="G615" s="1"/>
      <c r="H615" s="1"/>
      <c r="I615" s="1"/>
    </row>
    <row r="616" spans="2:9" ht="15.75" customHeight="1" x14ac:dyDescent="0.25">
      <c r="B616" s="1"/>
      <c r="C616" s="1"/>
      <c r="D616" s="1"/>
      <c r="E616" s="1"/>
      <c r="F616" s="1"/>
      <c r="G616" s="1"/>
      <c r="H616" s="1"/>
      <c r="I616" s="1"/>
    </row>
    <row r="617" spans="2:9" ht="15.75" customHeight="1" x14ac:dyDescent="0.25">
      <c r="B617" s="1"/>
      <c r="C617" s="1"/>
      <c r="D617" s="1"/>
      <c r="E617" s="1"/>
      <c r="F617" s="1"/>
      <c r="G617" s="1"/>
      <c r="H617" s="1"/>
      <c r="I617" s="1"/>
    </row>
    <row r="618" spans="2:9" ht="15.75" customHeight="1" x14ac:dyDescent="0.25">
      <c r="B618" s="1"/>
      <c r="C618" s="1"/>
      <c r="D618" s="1"/>
      <c r="E618" s="1"/>
      <c r="F618" s="1"/>
      <c r="G618" s="1"/>
      <c r="H618" s="1"/>
      <c r="I618" s="1"/>
    </row>
    <row r="619" spans="2:9" ht="15.75" customHeight="1" x14ac:dyDescent="0.25">
      <c r="B619" s="1"/>
      <c r="C619" s="1"/>
      <c r="D619" s="1"/>
      <c r="E619" s="1"/>
      <c r="F619" s="1"/>
      <c r="G619" s="1"/>
      <c r="H619" s="1"/>
      <c r="I619" s="1"/>
    </row>
    <row r="620" spans="2:9" ht="15.75" customHeight="1" x14ac:dyDescent="0.25">
      <c r="B620" s="1"/>
      <c r="C620" s="1"/>
      <c r="D620" s="1"/>
      <c r="E620" s="1"/>
      <c r="F620" s="1"/>
      <c r="G620" s="1"/>
      <c r="H620" s="1"/>
      <c r="I620" s="1"/>
    </row>
    <row r="621" spans="2:9" ht="15.75" customHeight="1" x14ac:dyDescent="0.25">
      <c r="B621" s="1"/>
      <c r="C621" s="1"/>
      <c r="D621" s="1"/>
      <c r="E621" s="1"/>
      <c r="F621" s="1"/>
      <c r="G621" s="1"/>
      <c r="H621" s="1"/>
      <c r="I621" s="1"/>
    </row>
    <row r="622" spans="2:9" ht="15.75" customHeight="1" x14ac:dyDescent="0.25">
      <c r="B622" s="1"/>
      <c r="C622" s="1"/>
      <c r="D622" s="1"/>
      <c r="E622" s="1"/>
      <c r="F622" s="1"/>
      <c r="G622" s="1"/>
      <c r="H622" s="1"/>
      <c r="I622" s="1"/>
    </row>
    <row r="623" spans="2:9" ht="15.75" customHeight="1" x14ac:dyDescent="0.25">
      <c r="B623" s="1"/>
      <c r="C623" s="1"/>
      <c r="D623" s="1"/>
      <c r="E623" s="1"/>
      <c r="F623" s="1"/>
      <c r="G623" s="1"/>
      <c r="H623" s="1"/>
      <c r="I623" s="1"/>
    </row>
    <row r="624" spans="2:9" ht="15.75" customHeight="1" x14ac:dyDescent="0.25">
      <c r="B624" s="1"/>
      <c r="C624" s="1"/>
      <c r="D624" s="1"/>
      <c r="E624" s="1"/>
      <c r="F624" s="1"/>
      <c r="G624" s="1"/>
      <c r="H624" s="1"/>
      <c r="I624" s="1"/>
    </row>
    <row r="625" spans="2:9" ht="15.75" customHeight="1" x14ac:dyDescent="0.25">
      <c r="B625" s="1"/>
      <c r="C625" s="1"/>
      <c r="D625" s="1"/>
      <c r="E625" s="1"/>
      <c r="F625" s="1"/>
      <c r="G625" s="1"/>
      <c r="H625" s="1"/>
      <c r="I625" s="1"/>
    </row>
    <row r="626" spans="2:9" ht="15.75" customHeight="1" x14ac:dyDescent="0.25">
      <c r="B626" s="1"/>
      <c r="C626" s="1"/>
      <c r="D626" s="1"/>
      <c r="E626" s="1"/>
      <c r="F626" s="1"/>
      <c r="G626" s="1"/>
      <c r="H626" s="1"/>
      <c r="I626" s="1"/>
    </row>
    <row r="627" spans="2:9" ht="15.75" customHeight="1" x14ac:dyDescent="0.25">
      <c r="B627" s="1"/>
      <c r="C627" s="1"/>
      <c r="D627" s="1"/>
      <c r="E627" s="1"/>
      <c r="F627" s="1"/>
      <c r="G627" s="1"/>
      <c r="H627" s="1"/>
      <c r="I627" s="1"/>
    </row>
    <row r="628" spans="2:9" ht="15.75" customHeight="1" x14ac:dyDescent="0.25">
      <c r="B628" s="1"/>
      <c r="C628" s="1"/>
      <c r="D628" s="1"/>
      <c r="E628" s="1"/>
      <c r="F628" s="1"/>
      <c r="G628" s="1"/>
      <c r="H628" s="1"/>
      <c r="I628" s="1"/>
    </row>
    <row r="629" spans="2:9" ht="15.75" customHeight="1" x14ac:dyDescent="0.25">
      <c r="B629" s="1"/>
      <c r="C629" s="1"/>
      <c r="D629" s="1"/>
      <c r="E629" s="1"/>
      <c r="F629" s="1"/>
      <c r="G629" s="1"/>
      <c r="H629" s="1"/>
      <c r="I629" s="1"/>
    </row>
    <row r="630" spans="2:9" ht="15.75" customHeight="1" x14ac:dyDescent="0.25">
      <c r="B630" s="1"/>
      <c r="C630" s="1"/>
      <c r="D630" s="1"/>
      <c r="E630" s="1"/>
      <c r="F630" s="1"/>
      <c r="G630" s="1"/>
      <c r="H630" s="1"/>
      <c r="I630" s="1"/>
    </row>
    <row r="631" spans="2:9" ht="15.75" customHeight="1" x14ac:dyDescent="0.25">
      <c r="B631" s="1"/>
      <c r="C631" s="1"/>
      <c r="D631" s="1"/>
      <c r="E631" s="1"/>
      <c r="F631" s="1"/>
      <c r="G631" s="1"/>
      <c r="H631" s="1"/>
      <c r="I631" s="1"/>
    </row>
    <row r="632" spans="2:9" ht="15.75" customHeight="1" x14ac:dyDescent="0.25">
      <c r="B632" s="1"/>
      <c r="C632" s="1"/>
      <c r="D632" s="1"/>
      <c r="E632" s="1"/>
      <c r="F632" s="1"/>
      <c r="G632" s="1"/>
      <c r="H632" s="1"/>
      <c r="I632" s="1"/>
    </row>
    <row r="633" spans="2:9" ht="15.75" customHeight="1" x14ac:dyDescent="0.25">
      <c r="B633" s="1"/>
      <c r="C633" s="1"/>
      <c r="D633" s="1"/>
      <c r="E633" s="1"/>
      <c r="F633" s="1"/>
      <c r="G633" s="1"/>
      <c r="H633" s="1"/>
      <c r="I633" s="1"/>
    </row>
    <row r="634" spans="2:9" ht="15.75" customHeight="1" x14ac:dyDescent="0.25">
      <c r="B634" s="1"/>
      <c r="C634" s="1"/>
      <c r="D634" s="1"/>
      <c r="E634" s="1"/>
      <c r="F634" s="1"/>
      <c r="G634" s="1"/>
      <c r="H634" s="1"/>
      <c r="I634" s="1"/>
    </row>
    <row r="635" spans="2:9" ht="15.75" customHeight="1" x14ac:dyDescent="0.25">
      <c r="B635" s="1"/>
      <c r="C635" s="1"/>
      <c r="D635" s="1"/>
      <c r="E635" s="1"/>
      <c r="F635" s="1"/>
      <c r="G635" s="1"/>
      <c r="H635" s="1"/>
      <c r="I635" s="1"/>
    </row>
    <row r="636" spans="2:9" ht="15.75" customHeight="1" x14ac:dyDescent="0.25">
      <c r="B636" s="1"/>
      <c r="C636" s="1"/>
      <c r="D636" s="1"/>
      <c r="E636" s="1"/>
      <c r="F636" s="1"/>
      <c r="G636" s="1"/>
      <c r="H636" s="1"/>
      <c r="I636" s="1"/>
    </row>
    <row r="637" spans="2:9" ht="15.75" customHeight="1" x14ac:dyDescent="0.25">
      <c r="B637" s="1"/>
      <c r="C637" s="1"/>
      <c r="D637" s="1"/>
      <c r="E637" s="1"/>
      <c r="F637" s="1"/>
      <c r="G637" s="1"/>
      <c r="H637" s="1"/>
      <c r="I637" s="1"/>
    </row>
    <row r="638" spans="2:9" ht="15.75" customHeight="1" x14ac:dyDescent="0.25">
      <c r="B638" s="1"/>
      <c r="C638" s="1"/>
      <c r="D638" s="1"/>
      <c r="E638" s="1"/>
      <c r="F638" s="1"/>
      <c r="G638" s="1"/>
      <c r="H638" s="1"/>
      <c r="I638" s="1"/>
    </row>
    <row r="639" spans="2:9" ht="15.75" customHeight="1" x14ac:dyDescent="0.25">
      <c r="B639" s="1"/>
      <c r="C639" s="1"/>
      <c r="D639" s="1"/>
      <c r="E639" s="1"/>
      <c r="F639" s="1"/>
      <c r="G639" s="1"/>
      <c r="H639" s="1"/>
      <c r="I639" s="1"/>
    </row>
    <row r="640" spans="2:9" ht="15.75" customHeight="1" x14ac:dyDescent="0.25">
      <c r="B640" s="1"/>
      <c r="C640" s="1"/>
      <c r="D640" s="1"/>
      <c r="E640" s="1"/>
      <c r="F640" s="1"/>
      <c r="G640" s="1"/>
      <c r="H640" s="1"/>
      <c r="I640" s="1"/>
    </row>
    <row r="641" spans="2:9" ht="15.75" customHeight="1" x14ac:dyDescent="0.25">
      <c r="B641" s="1"/>
      <c r="C641" s="1"/>
      <c r="D641" s="1"/>
      <c r="E641" s="1"/>
      <c r="F641" s="1"/>
      <c r="G641" s="1"/>
      <c r="H641" s="1"/>
      <c r="I641" s="1"/>
    </row>
    <row r="642" spans="2:9" ht="15.75" customHeight="1" x14ac:dyDescent="0.25">
      <c r="B642" s="1"/>
      <c r="C642" s="1"/>
      <c r="D642" s="1"/>
      <c r="E642" s="1"/>
      <c r="F642" s="1"/>
      <c r="G642" s="1"/>
      <c r="H642" s="1"/>
      <c r="I642" s="1"/>
    </row>
    <row r="643" spans="2:9" ht="15.75" customHeight="1" x14ac:dyDescent="0.25">
      <c r="B643" s="1"/>
      <c r="C643" s="1"/>
      <c r="D643" s="1"/>
      <c r="E643" s="1"/>
      <c r="F643" s="1"/>
      <c r="G643" s="1"/>
      <c r="H643" s="1"/>
      <c r="I643" s="1"/>
    </row>
    <row r="644" spans="2:9" ht="15.75" customHeight="1" x14ac:dyDescent="0.25">
      <c r="B644" s="1"/>
      <c r="C644" s="1"/>
      <c r="D644" s="1"/>
      <c r="E644" s="1"/>
      <c r="F644" s="1"/>
      <c r="G644" s="1"/>
      <c r="H644" s="1"/>
      <c r="I644" s="1"/>
    </row>
    <row r="645" spans="2:9" ht="15.75" customHeight="1" x14ac:dyDescent="0.25">
      <c r="B645" s="1"/>
      <c r="C645" s="1"/>
      <c r="D645" s="1"/>
      <c r="E645" s="1"/>
      <c r="F645" s="1"/>
      <c r="G645" s="1"/>
      <c r="H645" s="1"/>
      <c r="I645" s="1"/>
    </row>
    <row r="646" spans="2:9" ht="15.75" customHeight="1" x14ac:dyDescent="0.25">
      <c r="B646" s="1"/>
      <c r="C646" s="1"/>
      <c r="D646" s="1"/>
      <c r="E646" s="1"/>
      <c r="F646" s="1"/>
      <c r="G646" s="1"/>
      <c r="H646" s="1"/>
      <c r="I646" s="1"/>
    </row>
    <row r="647" spans="2:9" ht="15.75" customHeight="1" x14ac:dyDescent="0.25">
      <c r="B647" s="1"/>
      <c r="C647" s="1"/>
      <c r="D647" s="1"/>
      <c r="E647" s="1"/>
      <c r="F647" s="1"/>
      <c r="G647" s="1"/>
      <c r="H647" s="1"/>
      <c r="I647" s="1"/>
    </row>
    <row r="648" spans="2:9" ht="15.75" customHeight="1" x14ac:dyDescent="0.25">
      <c r="B648" s="1"/>
      <c r="C648" s="1"/>
      <c r="D648" s="1"/>
      <c r="E648" s="1"/>
      <c r="F648" s="1"/>
      <c r="G648" s="1"/>
      <c r="H648" s="1"/>
      <c r="I648" s="1"/>
    </row>
    <row r="649" spans="2:9" ht="15.75" customHeight="1" x14ac:dyDescent="0.25">
      <c r="B649" s="1"/>
      <c r="C649" s="1"/>
      <c r="D649" s="1"/>
      <c r="E649" s="1"/>
      <c r="F649" s="1"/>
      <c r="G649" s="1"/>
      <c r="H649" s="1"/>
      <c r="I649" s="1"/>
    </row>
    <row r="650" spans="2:9" ht="15.75" customHeight="1" x14ac:dyDescent="0.25">
      <c r="B650" s="1"/>
      <c r="C650" s="1"/>
      <c r="D650" s="1"/>
      <c r="E650" s="1"/>
      <c r="F650" s="1"/>
      <c r="G650" s="1"/>
      <c r="H650" s="1"/>
      <c r="I650" s="1"/>
    </row>
    <row r="651" spans="2:9" ht="15.75" customHeight="1" x14ac:dyDescent="0.25">
      <c r="B651" s="1"/>
      <c r="C651" s="1"/>
      <c r="D651" s="1"/>
      <c r="E651" s="1"/>
      <c r="F651" s="1"/>
      <c r="G651" s="1"/>
      <c r="H651" s="1"/>
      <c r="I651" s="1"/>
    </row>
    <row r="652" spans="2:9" ht="15.75" customHeight="1" x14ac:dyDescent="0.25">
      <c r="B652" s="1"/>
      <c r="C652" s="1"/>
      <c r="D652" s="1"/>
      <c r="E652" s="1"/>
      <c r="F652" s="1"/>
      <c r="G652" s="1"/>
      <c r="H652" s="1"/>
      <c r="I652" s="1"/>
    </row>
    <row r="653" spans="2:9" ht="15.75" customHeight="1" x14ac:dyDescent="0.25">
      <c r="B653" s="1"/>
      <c r="C653" s="1"/>
      <c r="D653" s="1"/>
      <c r="E653" s="1"/>
      <c r="F653" s="1"/>
      <c r="G653" s="1"/>
      <c r="H653" s="1"/>
      <c r="I653" s="1"/>
    </row>
    <row r="654" spans="2:9" ht="15.75" customHeight="1" x14ac:dyDescent="0.25">
      <c r="B654" s="1"/>
      <c r="C654" s="1"/>
      <c r="D654" s="1"/>
      <c r="E654" s="1"/>
      <c r="F654" s="1"/>
      <c r="G654" s="1"/>
      <c r="H654" s="1"/>
      <c r="I654" s="1"/>
    </row>
    <row r="655" spans="2:9" ht="15.75" customHeight="1" x14ac:dyDescent="0.25">
      <c r="B655" s="1"/>
      <c r="C655" s="1"/>
      <c r="D655" s="1"/>
      <c r="E655" s="1"/>
      <c r="F655" s="1"/>
      <c r="G655" s="1"/>
      <c r="H655" s="1"/>
      <c r="I655" s="1"/>
    </row>
    <row r="656" spans="2:9" ht="15.75" customHeight="1" x14ac:dyDescent="0.25">
      <c r="B656" s="1"/>
      <c r="C656" s="1"/>
      <c r="D656" s="1"/>
      <c r="E656" s="1"/>
      <c r="F656" s="1"/>
      <c r="G656" s="1"/>
      <c r="H656" s="1"/>
      <c r="I656" s="1"/>
    </row>
    <row r="657" spans="2:9" ht="15.75" customHeight="1" x14ac:dyDescent="0.25">
      <c r="B657" s="1"/>
      <c r="C657" s="1"/>
      <c r="D657" s="1"/>
      <c r="E657" s="1"/>
      <c r="F657" s="1"/>
      <c r="G657" s="1"/>
      <c r="H657" s="1"/>
      <c r="I657" s="1"/>
    </row>
    <row r="658" spans="2:9" ht="15.75" customHeight="1" x14ac:dyDescent="0.25">
      <c r="B658" s="1"/>
      <c r="C658" s="1"/>
      <c r="D658" s="1"/>
      <c r="E658" s="1"/>
      <c r="F658" s="1"/>
      <c r="G658" s="1"/>
      <c r="H658" s="1"/>
      <c r="I658" s="1"/>
    </row>
    <row r="659" spans="2:9" ht="15.75" customHeight="1" x14ac:dyDescent="0.25">
      <c r="B659" s="1"/>
      <c r="C659" s="1"/>
      <c r="D659" s="1"/>
      <c r="E659" s="1"/>
      <c r="F659" s="1"/>
      <c r="G659" s="1"/>
      <c r="H659" s="1"/>
      <c r="I659" s="1"/>
    </row>
    <row r="660" spans="2:9" ht="15.75" customHeight="1" x14ac:dyDescent="0.25">
      <c r="B660" s="1"/>
      <c r="C660" s="1"/>
      <c r="D660" s="1"/>
      <c r="E660" s="1"/>
      <c r="F660" s="1"/>
      <c r="G660" s="1"/>
      <c r="H660" s="1"/>
      <c r="I660" s="1"/>
    </row>
    <row r="661" spans="2:9" ht="15.75" customHeight="1" x14ac:dyDescent="0.25">
      <c r="B661" s="1"/>
      <c r="C661" s="1"/>
      <c r="D661" s="1"/>
      <c r="E661" s="1"/>
      <c r="F661" s="1"/>
      <c r="G661" s="1"/>
      <c r="H661" s="1"/>
      <c r="I661" s="1"/>
    </row>
    <row r="662" spans="2:9" ht="15.75" customHeight="1" x14ac:dyDescent="0.25">
      <c r="B662" s="1"/>
      <c r="C662" s="1"/>
      <c r="D662" s="1"/>
      <c r="E662" s="1"/>
      <c r="F662" s="1"/>
      <c r="G662" s="1"/>
      <c r="H662" s="1"/>
      <c r="I662" s="1"/>
    </row>
    <row r="663" spans="2:9" ht="15.75" customHeight="1" x14ac:dyDescent="0.25">
      <c r="B663" s="1"/>
      <c r="C663" s="1"/>
      <c r="D663" s="1"/>
      <c r="E663" s="1"/>
      <c r="F663" s="1"/>
      <c r="G663" s="1"/>
      <c r="H663" s="1"/>
      <c r="I663" s="1"/>
    </row>
    <row r="664" spans="2:9" ht="15.75" customHeight="1" x14ac:dyDescent="0.25">
      <c r="B664" s="1"/>
      <c r="C664" s="1"/>
      <c r="D664" s="1"/>
      <c r="E664" s="1"/>
      <c r="F664" s="1"/>
      <c r="G664" s="1"/>
      <c r="H664" s="1"/>
      <c r="I664" s="1"/>
    </row>
    <row r="665" spans="2:9" ht="15.75" customHeight="1" x14ac:dyDescent="0.25">
      <c r="B665" s="1"/>
      <c r="C665" s="1"/>
      <c r="D665" s="1"/>
      <c r="E665" s="1"/>
      <c r="F665" s="1"/>
      <c r="G665" s="1"/>
      <c r="H665" s="1"/>
      <c r="I665" s="1"/>
    </row>
    <row r="666" spans="2:9" ht="15.75" customHeight="1" x14ac:dyDescent="0.25">
      <c r="B666" s="1"/>
      <c r="C666" s="1"/>
      <c r="D666" s="1"/>
      <c r="E666" s="1"/>
      <c r="F666" s="1"/>
      <c r="G666" s="1"/>
      <c r="H666" s="1"/>
      <c r="I666" s="1"/>
    </row>
    <row r="667" spans="2:9" ht="15.75" customHeight="1" x14ac:dyDescent="0.25">
      <c r="B667" s="1"/>
      <c r="C667" s="1"/>
      <c r="D667" s="1"/>
      <c r="E667" s="1"/>
      <c r="F667" s="1"/>
      <c r="G667" s="1"/>
      <c r="H667" s="1"/>
      <c r="I667" s="1"/>
    </row>
    <row r="668" spans="2:9" ht="15.75" customHeight="1" x14ac:dyDescent="0.25">
      <c r="B668" s="1"/>
      <c r="C668" s="1"/>
      <c r="D668" s="1"/>
      <c r="E668" s="1"/>
      <c r="F668" s="1"/>
      <c r="G668" s="1"/>
      <c r="H668" s="1"/>
      <c r="I668" s="1"/>
    </row>
    <row r="669" spans="2:9" ht="15.75" customHeight="1" x14ac:dyDescent="0.25">
      <c r="B669" s="1"/>
      <c r="C669" s="1"/>
      <c r="D669" s="1"/>
      <c r="E669" s="1"/>
      <c r="F669" s="1"/>
      <c r="G669" s="1"/>
      <c r="H669" s="1"/>
      <c r="I669" s="1"/>
    </row>
    <row r="670" spans="2:9" ht="15.75" customHeight="1" x14ac:dyDescent="0.25">
      <c r="B670" s="1"/>
      <c r="C670" s="1"/>
      <c r="D670" s="1"/>
      <c r="E670" s="1"/>
      <c r="F670" s="1"/>
      <c r="G670" s="1"/>
      <c r="H670" s="1"/>
      <c r="I670" s="1"/>
    </row>
    <row r="671" spans="2:9" ht="15.75" customHeight="1" x14ac:dyDescent="0.25">
      <c r="B671" s="1"/>
      <c r="C671" s="1"/>
      <c r="D671" s="1"/>
      <c r="E671" s="1"/>
      <c r="F671" s="1"/>
      <c r="G671" s="1"/>
      <c r="H671" s="1"/>
      <c r="I671" s="1"/>
    </row>
    <row r="672" spans="2:9" ht="15.75" customHeight="1" x14ac:dyDescent="0.25">
      <c r="B672" s="1"/>
      <c r="C672" s="1"/>
      <c r="D672" s="1"/>
      <c r="E672" s="1"/>
      <c r="F672" s="1"/>
      <c r="G672" s="1"/>
      <c r="H672" s="1"/>
      <c r="I672" s="1"/>
    </row>
    <row r="673" spans="2:9" ht="15.75" customHeight="1" x14ac:dyDescent="0.25">
      <c r="B673" s="1"/>
      <c r="C673" s="1"/>
      <c r="D673" s="1"/>
      <c r="E673" s="1"/>
      <c r="F673" s="1"/>
      <c r="G673" s="1"/>
      <c r="H673" s="1"/>
      <c r="I673" s="1"/>
    </row>
    <row r="674" spans="2:9" ht="15.75" customHeight="1" x14ac:dyDescent="0.25">
      <c r="B674" s="1"/>
      <c r="C674" s="1"/>
      <c r="D674" s="1"/>
      <c r="E674" s="1"/>
      <c r="F674" s="1"/>
      <c r="G674" s="1"/>
      <c r="H674" s="1"/>
      <c r="I674" s="1"/>
    </row>
    <row r="675" spans="2:9" ht="15.75" customHeight="1" x14ac:dyDescent="0.25">
      <c r="B675" s="1"/>
      <c r="C675" s="1"/>
      <c r="D675" s="1"/>
      <c r="E675" s="1"/>
      <c r="F675" s="1"/>
      <c r="G675" s="1"/>
      <c r="H675" s="1"/>
      <c r="I675" s="1"/>
    </row>
    <row r="676" spans="2:9" ht="15.75" customHeight="1" x14ac:dyDescent="0.25">
      <c r="B676" s="1"/>
      <c r="C676" s="1"/>
      <c r="D676" s="1"/>
      <c r="E676" s="1"/>
      <c r="F676" s="1"/>
      <c r="G676" s="1"/>
      <c r="H676" s="1"/>
      <c r="I676" s="1"/>
    </row>
    <row r="677" spans="2:9" ht="15.75" customHeight="1" x14ac:dyDescent="0.25">
      <c r="B677" s="1"/>
      <c r="C677" s="1"/>
      <c r="D677" s="1"/>
      <c r="E677" s="1"/>
      <c r="F677" s="1"/>
      <c r="G677" s="1"/>
      <c r="H677" s="1"/>
      <c r="I677" s="1"/>
    </row>
    <row r="678" spans="2:9" ht="15.75" customHeight="1" x14ac:dyDescent="0.25">
      <c r="B678" s="1"/>
      <c r="C678" s="1"/>
      <c r="D678" s="1"/>
      <c r="E678" s="1"/>
      <c r="F678" s="1"/>
      <c r="G678" s="1"/>
      <c r="H678" s="1"/>
      <c r="I678" s="1"/>
    </row>
    <row r="679" spans="2:9" ht="15.75" customHeight="1" x14ac:dyDescent="0.25">
      <c r="B679" s="1"/>
      <c r="C679" s="1"/>
      <c r="D679" s="1"/>
      <c r="E679" s="1"/>
      <c r="F679" s="1"/>
      <c r="G679" s="1"/>
      <c r="H679" s="1"/>
      <c r="I679" s="1"/>
    </row>
    <row r="680" spans="2:9" ht="15.75" customHeight="1" x14ac:dyDescent="0.25">
      <c r="B680" s="1"/>
      <c r="C680" s="1"/>
      <c r="D680" s="1"/>
      <c r="E680" s="1"/>
      <c r="F680" s="1"/>
      <c r="G680" s="1"/>
      <c r="H680" s="1"/>
      <c r="I680" s="1"/>
    </row>
    <row r="681" spans="2:9" ht="15.75" customHeight="1" x14ac:dyDescent="0.25">
      <c r="B681" s="1"/>
      <c r="C681" s="1"/>
      <c r="D681" s="1"/>
      <c r="E681" s="1"/>
      <c r="F681" s="1"/>
      <c r="G681" s="1"/>
      <c r="H681" s="1"/>
      <c r="I681" s="1"/>
    </row>
    <row r="682" spans="2:9" ht="15.75" customHeight="1" x14ac:dyDescent="0.25">
      <c r="B682" s="1"/>
      <c r="C682" s="1"/>
      <c r="D682" s="1"/>
      <c r="E682" s="1"/>
      <c r="F682" s="1"/>
      <c r="G682" s="1"/>
      <c r="H682" s="1"/>
      <c r="I682" s="1"/>
    </row>
    <row r="683" spans="2:9" ht="15.75" customHeight="1" x14ac:dyDescent="0.25">
      <c r="B683" s="1"/>
      <c r="C683" s="1"/>
      <c r="D683" s="1"/>
      <c r="E683" s="1"/>
      <c r="F683" s="1"/>
      <c r="G683" s="1"/>
      <c r="H683" s="1"/>
      <c r="I683" s="1"/>
    </row>
    <row r="684" spans="2:9" ht="15.75" customHeight="1" x14ac:dyDescent="0.25">
      <c r="B684" s="1"/>
      <c r="C684" s="1"/>
      <c r="D684" s="1"/>
      <c r="E684" s="1"/>
      <c r="F684" s="1"/>
      <c r="G684" s="1"/>
      <c r="H684" s="1"/>
      <c r="I684" s="1"/>
    </row>
    <row r="685" spans="2:9" ht="15.75" customHeight="1" x14ac:dyDescent="0.25">
      <c r="B685" s="1"/>
      <c r="C685" s="1"/>
      <c r="D685" s="1"/>
      <c r="E685" s="1"/>
      <c r="F685" s="1"/>
      <c r="G685" s="1"/>
      <c r="H685" s="1"/>
      <c r="I685" s="1"/>
    </row>
    <row r="686" spans="2:9" ht="15.75" customHeight="1" x14ac:dyDescent="0.25">
      <c r="B686" s="1"/>
      <c r="C686" s="1"/>
      <c r="D686" s="1"/>
      <c r="E686" s="1"/>
      <c r="F686" s="1"/>
      <c r="G686" s="1"/>
      <c r="H686" s="1"/>
      <c r="I686" s="1"/>
    </row>
    <row r="687" spans="2:9" ht="15.75" customHeight="1" x14ac:dyDescent="0.25">
      <c r="B687" s="1"/>
      <c r="C687" s="1"/>
      <c r="D687" s="1"/>
      <c r="E687" s="1"/>
      <c r="F687" s="1"/>
      <c r="G687" s="1"/>
      <c r="H687" s="1"/>
      <c r="I687" s="1"/>
    </row>
    <row r="688" spans="2:9" ht="15.75" customHeight="1" x14ac:dyDescent="0.25">
      <c r="B688" s="1"/>
      <c r="C688" s="1"/>
      <c r="D688" s="1"/>
      <c r="E688" s="1"/>
      <c r="F688" s="1"/>
      <c r="G688" s="1"/>
      <c r="H688" s="1"/>
      <c r="I688" s="1"/>
    </row>
    <row r="689" spans="2:9" ht="15.75" customHeight="1" x14ac:dyDescent="0.25">
      <c r="B689" s="1"/>
      <c r="C689" s="1"/>
      <c r="D689" s="1"/>
      <c r="E689" s="1"/>
      <c r="F689" s="1"/>
      <c r="G689" s="1"/>
      <c r="H689" s="1"/>
      <c r="I689" s="1"/>
    </row>
    <row r="690" spans="2:9" ht="15.75" customHeight="1" x14ac:dyDescent="0.25">
      <c r="B690" s="1"/>
      <c r="C690" s="1"/>
      <c r="D690" s="1"/>
      <c r="E690" s="1"/>
      <c r="F690" s="1"/>
      <c r="G690" s="1"/>
      <c r="H690" s="1"/>
      <c r="I690" s="1"/>
    </row>
    <row r="691" spans="2:9" ht="15.75" customHeight="1" x14ac:dyDescent="0.25">
      <c r="B691" s="1"/>
      <c r="C691" s="1"/>
      <c r="D691" s="1"/>
      <c r="E691" s="1"/>
      <c r="F691" s="1"/>
      <c r="G691" s="1"/>
      <c r="H691" s="1"/>
      <c r="I691" s="1"/>
    </row>
    <row r="692" spans="2:9" ht="15.75" customHeight="1" x14ac:dyDescent="0.25">
      <c r="B692" s="1"/>
      <c r="C692" s="1"/>
      <c r="D692" s="1"/>
      <c r="E692" s="1"/>
      <c r="F692" s="1"/>
      <c r="G692" s="1"/>
      <c r="H692" s="1"/>
      <c r="I692" s="1"/>
    </row>
    <row r="693" spans="2:9" ht="15.75" customHeight="1" x14ac:dyDescent="0.25">
      <c r="B693" s="1"/>
      <c r="C693" s="1"/>
      <c r="D693" s="1"/>
      <c r="E693" s="1"/>
      <c r="F693" s="1"/>
      <c r="G693" s="1"/>
      <c r="H693" s="1"/>
      <c r="I693" s="1"/>
    </row>
    <row r="694" spans="2:9" ht="15.75" customHeight="1" x14ac:dyDescent="0.25">
      <c r="B694" s="1"/>
      <c r="C694" s="1"/>
      <c r="D694" s="1"/>
      <c r="E694" s="1"/>
      <c r="F694" s="1"/>
      <c r="G694" s="1"/>
      <c r="H694" s="1"/>
      <c r="I694" s="1"/>
    </row>
    <row r="695" spans="2:9" ht="15.75" customHeight="1" x14ac:dyDescent="0.25">
      <c r="B695" s="1"/>
      <c r="C695" s="1"/>
      <c r="D695" s="1"/>
      <c r="E695" s="1"/>
      <c r="F695" s="1"/>
      <c r="G695" s="1"/>
      <c r="H695" s="1"/>
      <c r="I695" s="1"/>
    </row>
    <row r="696" spans="2:9" ht="15.75" customHeight="1" x14ac:dyDescent="0.25">
      <c r="B696" s="1"/>
      <c r="C696" s="1"/>
      <c r="D696" s="1"/>
      <c r="E696" s="1"/>
      <c r="F696" s="1"/>
      <c r="G696" s="1"/>
      <c r="H696" s="1"/>
      <c r="I696" s="1"/>
    </row>
    <row r="697" spans="2:9" ht="15.75" customHeight="1" x14ac:dyDescent="0.25">
      <c r="B697" s="1"/>
      <c r="C697" s="1"/>
      <c r="D697" s="1"/>
      <c r="E697" s="1"/>
      <c r="F697" s="1"/>
      <c r="G697" s="1"/>
      <c r="H697" s="1"/>
      <c r="I697" s="1"/>
    </row>
    <row r="698" spans="2:9" ht="15.75" customHeight="1" x14ac:dyDescent="0.25">
      <c r="B698" s="1"/>
      <c r="C698" s="1"/>
      <c r="D698" s="1"/>
      <c r="E698" s="1"/>
      <c r="F698" s="1"/>
      <c r="G698" s="1"/>
      <c r="H698" s="1"/>
      <c r="I698" s="1"/>
    </row>
    <row r="699" spans="2:9" ht="15.75" customHeight="1" x14ac:dyDescent="0.25">
      <c r="B699" s="1"/>
      <c r="C699" s="1"/>
      <c r="D699" s="1"/>
      <c r="E699" s="1"/>
      <c r="F699" s="1"/>
      <c r="G699" s="1"/>
      <c r="H699" s="1"/>
      <c r="I699" s="1"/>
    </row>
    <row r="700" spans="2:9" ht="15.75" customHeight="1" x14ac:dyDescent="0.25">
      <c r="B700" s="1"/>
      <c r="C700" s="1"/>
      <c r="D700" s="1"/>
      <c r="E700" s="1"/>
      <c r="F700" s="1"/>
      <c r="G700" s="1"/>
      <c r="H700" s="1"/>
      <c r="I700" s="1"/>
    </row>
    <row r="701" spans="2:9" ht="15.75" customHeight="1" x14ac:dyDescent="0.25">
      <c r="B701" s="1"/>
      <c r="C701" s="1"/>
      <c r="D701" s="1"/>
      <c r="E701" s="1"/>
      <c r="F701" s="1"/>
      <c r="G701" s="1"/>
      <c r="H701" s="1"/>
      <c r="I701" s="1"/>
    </row>
    <row r="702" spans="2:9" ht="15.75" customHeight="1" x14ac:dyDescent="0.25">
      <c r="B702" s="1"/>
      <c r="C702" s="1"/>
      <c r="D702" s="1"/>
      <c r="E702" s="1"/>
      <c r="F702" s="1"/>
      <c r="G702" s="1"/>
      <c r="H702" s="1"/>
      <c r="I702" s="1"/>
    </row>
    <row r="703" spans="2:9" ht="15.75" customHeight="1" x14ac:dyDescent="0.25">
      <c r="B703" s="1"/>
      <c r="C703" s="1"/>
      <c r="D703" s="1"/>
      <c r="E703" s="1"/>
      <c r="F703" s="1"/>
      <c r="G703" s="1"/>
      <c r="H703" s="1"/>
      <c r="I703" s="1"/>
    </row>
    <row r="704" spans="2:9" ht="15.75" customHeight="1" x14ac:dyDescent="0.25">
      <c r="B704" s="1"/>
      <c r="C704" s="1"/>
      <c r="D704" s="1"/>
      <c r="E704" s="1"/>
      <c r="F704" s="1"/>
      <c r="G704" s="1"/>
      <c r="H704" s="1"/>
      <c r="I704" s="1"/>
    </row>
    <row r="705" spans="2:9" ht="15.75" customHeight="1" x14ac:dyDescent="0.25">
      <c r="B705" s="1"/>
      <c r="C705" s="1"/>
      <c r="D705" s="1"/>
      <c r="E705" s="1"/>
      <c r="F705" s="1"/>
      <c r="G705" s="1"/>
      <c r="H705" s="1"/>
      <c r="I705" s="1"/>
    </row>
    <row r="706" spans="2:9" ht="15.75" customHeight="1" x14ac:dyDescent="0.25">
      <c r="B706" s="1"/>
      <c r="C706" s="1"/>
      <c r="D706" s="1"/>
      <c r="E706" s="1"/>
      <c r="F706" s="1"/>
      <c r="G706" s="1"/>
      <c r="H706" s="1"/>
      <c r="I706" s="1"/>
    </row>
    <row r="707" spans="2:9" ht="15.75" customHeight="1" x14ac:dyDescent="0.25">
      <c r="B707" s="1"/>
      <c r="C707" s="1"/>
      <c r="D707" s="1"/>
      <c r="E707" s="1"/>
      <c r="F707" s="1"/>
      <c r="G707" s="1"/>
      <c r="H707" s="1"/>
      <c r="I707" s="1"/>
    </row>
    <row r="708" spans="2:9" ht="15.75" customHeight="1" x14ac:dyDescent="0.25">
      <c r="B708" s="1"/>
      <c r="C708" s="1"/>
      <c r="D708" s="1"/>
      <c r="E708" s="1"/>
      <c r="F708" s="1"/>
      <c r="G708" s="1"/>
      <c r="H708" s="1"/>
      <c r="I708" s="1"/>
    </row>
    <row r="709" spans="2:9" ht="15.75" customHeight="1" x14ac:dyDescent="0.25">
      <c r="B709" s="1"/>
      <c r="C709" s="1"/>
      <c r="D709" s="1"/>
      <c r="E709" s="1"/>
      <c r="F709" s="1"/>
      <c r="G709" s="1"/>
      <c r="H709" s="1"/>
      <c r="I709" s="1"/>
    </row>
    <row r="710" spans="2:9" ht="15.75" customHeight="1" x14ac:dyDescent="0.25">
      <c r="B710" s="1"/>
      <c r="C710" s="1"/>
      <c r="D710" s="1"/>
      <c r="E710" s="1"/>
      <c r="F710" s="1"/>
      <c r="G710" s="1"/>
      <c r="H710" s="1"/>
      <c r="I710" s="1"/>
    </row>
    <row r="711" spans="2:9" ht="15.75" customHeight="1" x14ac:dyDescent="0.25">
      <c r="B711" s="1"/>
      <c r="C711" s="1"/>
      <c r="D711" s="1"/>
      <c r="E711" s="1"/>
      <c r="F711" s="1"/>
      <c r="G711" s="1"/>
      <c r="H711" s="1"/>
      <c r="I711" s="1"/>
    </row>
    <row r="712" spans="2:9" ht="15.75" customHeight="1" x14ac:dyDescent="0.25">
      <c r="B712" s="1"/>
      <c r="C712" s="1"/>
      <c r="D712" s="1"/>
      <c r="E712" s="1"/>
      <c r="F712" s="1"/>
      <c r="G712" s="1"/>
      <c r="H712" s="1"/>
      <c r="I712" s="1"/>
    </row>
    <row r="713" spans="2:9" ht="15.75" customHeight="1" x14ac:dyDescent="0.25">
      <c r="B713" s="1"/>
      <c r="C713" s="1"/>
      <c r="D713" s="1"/>
      <c r="E713" s="1"/>
      <c r="F713" s="1"/>
      <c r="G713" s="1"/>
      <c r="H713" s="1"/>
      <c r="I713" s="1"/>
    </row>
    <row r="714" spans="2:9" ht="15.75" customHeight="1" x14ac:dyDescent="0.25">
      <c r="B714" s="1"/>
      <c r="C714" s="1"/>
      <c r="D714" s="1"/>
      <c r="E714" s="1"/>
      <c r="F714" s="1"/>
      <c r="G714" s="1"/>
      <c r="H714" s="1"/>
      <c r="I714" s="1"/>
    </row>
    <row r="715" spans="2:9" ht="15.75" customHeight="1" x14ac:dyDescent="0.25">
      <c r="B715" s="1"/>
      <c r="C715" s="1"/>
      <c r="D715" s="1"/>
      <c r="E715" s="1"/>
      <c r="F715" s="1"/>
      <c r="G715" s="1"/>
      <c r="H715" s="1"/>
      <c r="I715" s="1"/>
    </row>
    <row r="716" spans="2:9" ht="15.75" customHeight="1" x14ac:dyDescent="0.25">
      <c r="B716" s="1"/>
      <c r="C716" s="1"/>
      <c r="D716" s="1"/>
      <c r="E716" s="1"/>
      <c r="F716" s="1"/>
      <c r="G716" s="1"/>
      <c r="H716" s="1"/>
      <c r="I716" s="1"/>
    </row>
    <row r="717" spans="2:9" ht="15.75" customHeight="1" x14ac:dyDescent="0.25">
      <c r="B717" s="1"/>
      <c r="C717" s="1"/>
      <c r="D717" s="1"/>
      <c r="E717" s="1"/>
      <c r="F717" s="1"/>
      <c r="G717" s="1"/>
      <c r="H717" s="1"/>
      <c r="I717" s="1"/>
    </row>
    <row r="718" spans="2:9" ht="15.75" customHeight="1" x14ac:dyDescent="0.25">
      <c r="B718" s="1"/>
      <c r="C718" s="1"/>
      <c r="D718" s="1"/>
      <c r="E718" s="1"/>
      <c r="F718" s="1"/>
      <c r="G718" s="1"/>
      <c r="H718" s="1"/>
      <c r="I718" s="1"/>
    </row>
    <row r="719" spans="2:9" ht="15.75" customHeight="1" x14ac:dyDescent="0.25">
      <c r="B719" s="1"/>
      <c r="C719" s="1"/>
      <c r="D719" s="1"/>
      <c r="E719" s="1"/>
      <c r="F719" s="1"/>
      <c r="G719" s="1"/>
      <c r="H719" s="1"/>
      <c r="I719" s="1"/>
    </row>
    <row r="720" spans="2:9" ht="15.75" customHeight="1" x14ac:dyDescent="0.25">
      <c r="B720" s="1"/>
      <c r="C720" s="1"/>
      <c r="D720" s="1"/>
      <c r="E720" s="1"/>
      <c r="F720" s="1"/>
      <c r="G720" s="1"/>
      <c r="H720" s="1"/>
      <c r="I720" s="1"/>
    </row>
    <row r="721" spans="2:9" ht="15.75" customHeight="1" x14ac:dyDescent="0.25">
      <c r="B721" s="1"/>
      <c r="C721" s="1"/>
      <c r="D721" s="1"/>
      <c r="E721" s="1"/>
      <c r="F721" s="1"/>
      <c r="G721" s="1"/>
      <c r="H721" s="1"/>
      <c r="I721" s="1"/>
    </row>
    <row r="722" spans="2:9" ht="15.75" customHeight="1" x14ac:dyDescent="0.25">
      <c r="B722" s="1"/>
      <c r="C722" s="1"/>
      <c r="D722" s="1"/>
      <c r="E722" s="1"/>
      <c r="F722" s="1"/>
      <c r="G722" s="1"/>
      <c r="H722" s="1"/>
      <c r="I722" s="1"/>
    </row>
    <row r="723" spans="2:9" ht="15.75" customHeight="1" x14ac:dyDescent="0.25">
      <c r="B723" s="1"/>
      <c r="C723" s="1"/>
      <c r="D723" s="1"/>
      <c r="E723" s="1"/>
      <c r="F723" s="1"/>
      <c r="G723" s="1"/>
      <c r="H723" s="1"/>
      <c r="I723" s="1"/>
    </row>
    <row r="724" spans="2:9" ht="15.75" customHeight="1" x14ac:dyDescent="0.25">
      <c r="B724" s="1"/>
      <c r="C724" s="1"/>
      <c r="D724" s="1"/>
      <c r="E724" s="1"/>
      <c r="F724" s="1"/>
      <c r="G724" s="1"/>
      <c r="H724" s="1"/>
      <c r="I724" s="1"/>
    </row>
    <row r="725" spans="2:9" ht="15.75" customHeight="1" x14ac:dyDescent="0.25">
      <c r="B725" s="1"/>
      <c r="C725" s="1"/>
      <c r="D725" s="1"/>
      <c r="E725" s="1"/>
      <c r="F725" s="1"/>
      <c r="G725" s="1"/>
      <c r="H725" s="1"/>
      <c r="I725" s="1"/>
    </row>
    <row r="726" spans="2:9" ht="15.75" customHeight="1" x14ac:dyDescent="0.25">
      <c r="B726" s="1"/>
      <c r="C726" s="1"/>
      <c r="D726" s="1"/>
      <c r="E726" s="1"/>
      <c r="F726" s="1"/>
      <c r="G726" s="1"/>
      <c r="H726" s="1"/>
      <c r="I726" s="1"/>
    </row>
    <row r="727" spans="2:9" ht="15.75" customHeight="1" x14ac:dyDescent="0.25">
      <c r="B727" s="1"/>
      <c r="C727" s="1"/>
      <c r="D727" s="1"/>
      <c r="E727" s="1"/>
      <c r="F727" s="1"/>
      <c r="G727" s="1"/>
      <c r="H727" s="1"/>
      <c r="I727" s="1"/>
    </row>
    <row r="728" spans="2:9" ht="15.75" customHeight="1" x14ac:dyDescent="0.25">
      <c r="B728" s="1"/>
      <c r="C728" s="1"/>
      <c r="D728" s="1"/>
      <c r="E728" s="1"/>
      <c r="F728" s="1"/>
      <c r="G728" s="1"/>
      <c r="H728" s="1"/>
      <c r="I728" s="1"/>
    </row>
    <row r="729" spans="2:9" ht="15.75" customHeight="1" x14ac:dyDescent="0.25">
      <c r="B729" s="1"/>
      <c r="C729" s="1"/>
      <c r="D729" s="1"/>
      <c r="E729" s="1"/>
      <c r="F729" s="1"/>
      <c r="G729" s="1"/>
      <c r="H729" s="1"/>
      <c r="I729" s="1"/>
    </row>
    <row r="730" spans="2:9" ht="15.75" customHeight="1" x14ac:dyDescent="0.25">
      <c r="B730" s="1"/>
      <c r="C730" s="1"/>
      <c r="D730" s="1"/>
      <c r="E730" s="1"/>
      <c r="F730" s="1"/>
      <c r="G730" s="1"/>
      <c r="H730" s="1"/>
      <c r="I730" s="1"/>
    </row>
    <row r="731" spans="2:9" ht="15.75" customHeight="1" x14ac:dyDescent="0.25">
      <c r="B731" s="1"/>
      <c r="C731" s="1"/>
      <c r="D731" s="1"/>
      <c r="E731" s="1"/>
      <c r="F731" s="1"/>
      <c r="G731" s="1"/>
      <c r="H731" s="1"/>
      <c r="I731" s="1"/>
    </row>
    <row r="732" spans="2:9" ht="15.75" customHeight="1" x14ac:dyDescent="0.25">
      <c r="B732" s="1"/>
      <c r="C732" s="1"/>
      <c r="D732" s="1"/>
      <c r="E732" s="1"/>
      <c r="F732" s="1"/>
      <c r="G732" s="1"/>
      <c r="H732" s="1"/>
      <c r="I732" s="1"/>
    </row>
    <row r="733" spans="2:9" ht="15.75" customHeight="1" x14ac:dyDescent="0.25">
      <c r="B733" s="1"/>
      <c r="C733" s="1"/>
      <c r="D733" s="1"/>
      <c r="E733" s="1"/>
      <c r="F733" s="1"/>
      <c r="G733" s="1"/>
      <c r="H733" s="1"/>
      <c r="I733" s="1"/>
    </row>
    <row r="734" spans="2:9" ht="15.75" customHeight="1" x14ac:dyDescent="0.25">
      <c r="B734" s="1"/>
      <c r="C734" s="1"/>
      <c r="D734" s="1"/>
      <c r="E734" s="1"/>
      <c r="F734" s="1"/>
      <c r="G734" s="1"/>
      <c r="H734" s="1"/>
      <c r="I734" s="1"/>
    </row>
    <row r="735" spans="2:9" ht="15.75" customHeight="1" x14ac:dyDescent="0.25">
      <c r="B735" s="1"/>
      <c r="C735" s="1"/>
      <c r="D735" s="1"/>
      <c r="E735" s="1"/>
      <c r="F735" s="1"/>
      <c r="G735" s="1"/>
      <c r="H735" s="1"/>
      <c r="I735" s="1"/>
    </row>
    <row r="736" spans="2:9" ht="15.75" customHeight="1" x14ac:dyDescent="0.25">
      <c r="B736" s="1"/>
      <c r="C736" s="1"/>
      <c r="D736" s="1"/>
      <c r="E736" s="1"/>
      <c r="F736" s="1"/>
      <c r="G736" s="1"/>
      <c r="H736" s="1"/>
      <c r="I736" s="1"/>
    </row>
    <row r="737" spans="2:9" ht="15.75" customHeight="1" x14ac:dyDescent="0.25">
      <c r="B737" s="1"/>
      <c r="C737" s="1"/>
      <c r="D737" s="1"/>
      <c r="E737" s="1"/>
      <c r="F737" s="1"/>
      <c r="G737" s="1"/>
      <c r="H737" s="1"/>
      <c r="I737" s="1"/>
    </row>
    <row r="738" spans="2:9" ht="15.75" customHeight="1" x14ac:dyDescent="0.25">
      <c r="B738" s="1"/>
      <c r="C738" s="1"/>
      <c r="D738" s="1"/>
      <c r="E738" s="1"/>
      <c r="F738" s="1"/>
      <c r="G738" s="1"/>
      <c r="H738" s="1"/>
      <c r="I738" s="1"/>
    </row>
    <row r="739" spans="2:9" ht="15.75" customHeight="1" x14ac:dyDescent="0.25">
      <c r="B739" s="1"/>
      <c r="C739" s="1"/>
      <c r="D739" s="1"/>
      <c r="E739" s="1"/>
      <c r="F739" s="1"/>
      <c r="G739" s="1"/>
      <c r="H739" s="1"/>
      <c r="I739" s="1"/>
    </row>
    <row r="740" spans="2:9" ht="15.75" customHeight="1" x14ac:dyDescent="0.25">
      <c r="B740" s="1"/>
      <c r="C740" s="1"/>
      <c r="D740" s="1"/>
      <c r="E740" s="1"/>
      <c r="F740" s="1"/>
      <c r="G740" s="1"/>
      <c r="H740" s="1"/>
      <c r="I740" s="1"/>
    </row>
    <row r="741" spans="2:9" ht="15.75" customHeight="1" x14ac:dyDescent="0.25">
      <c r="B741" s="1"/>
      <c r="C741" s="1"/>
      <c r="D741" s="1"/>
      <c r="E741" s="1"/>
      <c r="F741" s="1"/>
      <c r="G741" s="1"/>
      <c r="H741" s="1"/>
      <c r="I741" s="1"/>
    </row>
    <row r="742" spans="2:9" ht="15.75" customHeight="1" x14ac:dyDescent="0.25">
      <c r="B742" s="1"/>
      <c r="C742" s="1"/>
      <c r="D742" s="1"/>
      <c r="E742" s="1"/>
      <c r="F742" s="1"/>
      <c r="G742" s="1"/>
      <c r="H742" s="1"/>
      <c r="I742" s="1"/>
    </row>
    <row r="743" spans="2:9" ht="15.75" customHeight="1" x14ac:dyDescent="0.25">
      <c r="B743" s="1"/>
      <c r="C743" s="1"/>
      <c r="D743" s="1"/>
      <c r="E743" s="1"/>
      <c r="F743" s="1"/>
      <c r="G743" s="1"/>
      <c r="H743" s="1"/>
      <c r="I743" s="1"/>
    </row>
    <row r="744" spans="2:9" ht="15.75" customHeight="1" x14ac:dyDescent="0.25">
      <c r="B744" s="1"/>
      <c r="C744" s="1"/>
      <c r="D744" s="1"/>
      <c r="E744" s="1"/>
      <c r="F744" s="1"/>
      <c r="G744" s="1"/>
      <c r="H744" s="1"/>
      <c r="I744" s="1"/>
    </row>
    <row r="745" spans="2:9" ht="15.75" customHeight="1" x14ac:dyDescent="0.25">
      <c r="B745" s="1"/>
      <c r="C745" s="1"/>
      <c r="D745" s="1"/>
      <c r="E745" s="1"/>
      <c r="F745" s="1"/>
      <c r="G745" s="1"/>
      <c r="H745" s="1"/>
      <c r="I745" s="1"/>
    </row>
    <row r="746" spans="2:9" ht="15.75" customHeight="1" x14ac:dyDescent="0.25">
      <c r="B746" s="1"/>
      <c r="C746" s="1"/>
      <c r="D746" s="1"/>
      <c r="E746" s="1"/>
      <c r="F746" s="1"/>
      <c r="G746" s="1"/>
      <c r="H746" s="1"/>
      <c r="I746" s="1"/>
    </row>
    <row r="747" spans="2:9" ht="15.75" customHeight="1" x14ac:dyDescent="0.25">
      <c r="B747" s="1"/>
      <c r="C747" s="1"/>
      <c r="D747" s="1"/>
      <c r="E747" s="1"/>
      <c r="F747" s="1"/>
      <c r="G747" s="1"/>
      <c r="H747" s="1"/>
      <c r="I747" s="1"/>
    </row>
    <row r="748" spans="2:9" ht="15.75" customHeight="1" x14ac:dyDescent="0.25">
      <c r="B748" s="1"/>
      <c r="C748" s="1"/>
      <c r="D748" s="1"/>
      <c r="E748" s="1"/>
      <c r="F748" s="1"/>
      <c r="G748" s="1"/>
      <c r="H748" s="1"/>
      <c r="I748" s="1"/>
    </row>
    <row r="749" spans="2:9" ht="15.75" customHeight="1" x14ac:dyDescent="0.25">
      <c r="B749" s="1"/>
      <c r="C749" s="1"/>
      <c r="D749" s="1"/>
      <c r="E749" s="1"/>
      <c r="F749" s="1"/>
      <c r="G749" s="1"/>
      <c r="H749" s="1"/>
      <c r="I749" s="1"/>
    </row>
    <row r="750" spans="2:9" ht="15.75" customHeight="1" x14ac:dyDescent="0.25">
      <c r="B750" s="1"/>
      <c r="C750" s="1"/>
      <c r="D750" s="1"/>
      <c r="E750" s="1"/>
      <c r="F750" s="1"/>
      <c r="G750" s="1"/>
      <c r="H750" s="1"/>
      <c r="I750" s="1"/>
    </row>
    <row r="751" spans="2:9" ht="15.75" customHeight="1" x14ac:dyDescent="0.25">
      <c r="B751" s="1"/>
      <c r="C751" s="1"/>
      <c r="D751" s="1"/>
      <c r="E751" s="1"/>
      <c r="F751" s="1"/>
      <c r="G751" s="1"/>
      <c r="H751" s="1"/>
      <c r="I751" s="1"/>
    </row>
    <row r="752" spans="2:9" ht="15.75" customHeight="1" x14ac:dyDescent="0.25">
      <c r="B752" s="1"/>
      <c r="C752" s="1"/>
      <c r="D752" s="1"/>
      <c r="E752" s="1"/>
      <c r="F752" s="1"/>
      <c r="G752" s="1"/>
      <c r="H752" s="1"/>
      <c r="I752" s="1"/>
    </row>
    <row r="753" spans="2:9" ht="15.75" customHeight="1" x14ac:dyDescent="0.25">
      <c r="B753" s="1"/>
      <c r="C753" s="1"/>
      <c r="D753" s="1"/>
      <c r="E753" s="1"/>
      <c r="F753" s="1"/>
      <c r="G753" s="1"/>
      <c r="H753" s="1"/>
      <c r="I753" s="1"/>
    </row>
    <row r="754" spans="2:9" ht="15.75" customHeight="1" x14ac:dyDescent="0.25">
      <c r="B754" s="1"/>
      <c r="C754" s="1"/>
      <c r="D754" s="1"/>
      <c r="E754" s="1"/>
      <c r="F754" s="1"/>
      <c r="G754" s="1"/>
      <c r="H754" s="1"/>
      <c r="I754" s="1"/>
    </row>
    <row r="755" spans="2:9" ht="15.75" customHeight="1" x14ac:dyDescent="0.25">
      <c r="B755" s="1"/>
      <c r="C755" s="1"/>
      <c r="D755" s="1"/>
      <c r="E755" s="1"/>
      <c r="F755" s="1"/>
      <c r="G755" s="1"/>
      <c r="H755" s="1"/>
      <c r="I755" s="1"/>
    </row>
    <row r="756" spans="2:9" ht="15.75" customHeight="1" x14ac:dyDescent="0.25">
      <c r="B756" s="1"/>
      <c r="C756" s="1"/>
      <c r="D756" s="1"/>
      <c r="E756" s="1"/>
      <c r="F756" s="1"/>
      <c r="G756" s="1"/>
      <c r="H756" s="1"/>
      <c r="I756" s="1"/>
    </row>
    <row r="757" spans="2:9" ht="15.75" customHeight="1" x14ac:dyDescent="0.25">
      <c r="B757" s="1"/>
      <c r="C757" s="1"/>
      <c r="D757" s="1"/>
      <c r="E757" s="1"/>
      <c r="F757" s="1"/>
      <c r="G757" s="1"/>
      <c r="H757" s="1"/>
      <c r="I757" s="1"/>
    </row>
    <row r="758" spans="2:9" ht="15.75" customHeight="1" x14ac:dyDescent="0.25">
      <c r="B758" s="1"/>
      <c r="C758" s="1"/>
      <c r="D758" s="1"/>
      <c r="E758" s="1"/>
      <c r="F758" s="1"/>
      <c r="G758" s="1"/>
      <c r="H758" s="1"/>
      <c r="I758" s="1"/>
    </row>
    <row r="759" spans="2:9" ht="15.75" customHeight="1" x14ac:dyDescent="0.25">
      <c r="B759" s="1"/>
      <c r="C759" s="1"/>
      <c r="D759" s="1"/>
      <c r="E759" s="1"/>
      <c r="F759" s="1"/>
      <c r="G759" s="1"/>
      <c r="H759" s="1"/>
      <c r="I759" s="1"/>
    </row>
    <row r="760" spans="2:9" ht="15.75" customHeight="1" x14ac:dyDescent="0.25">
      <c r="B760" s="1"/>
      <c r="C760" s="1"/>
      <c r="D760" s="1"/>
      <c r="E760" s="1"/>
      <c r="F760" s="1"/>
      <c r="G760" s="1"/>
      <c r="H760" s="1"/>
      <c r="I760" s="1"/>
    </row>
    <row r="761" spans="2:9" ht="15.75" customHeight="1" x14ac:dyDescent="0.25">
      <c r="B761" s="1"/>
      <c r="C761" s="1"/>
      <c r="D761" s="1"/>
      <c r="E761" s="1"/>
      <c r="F761" s="1"/>
      <c r="G761" s="1"/>
      <c r="H761" s="1"/>
      <c r="I761" s="1"/>
    </row>
    <row r="762" spans="2:9" ht="15.75" customHeight="1" x14ac:dyDescent="0.25">
      <c r="B762" s="1"/>
      <c r="C762" s="1"/>
      <c r="D762" s="1"/>
      <c r="E762" s="1"/>
      <c r="F762" s="1"/>
      <c r="G762" s="1"/>
      <c r="H762" s="1"/>
      <c r="I762" s="1"/>
    </row>
    <row r="763" spans="2:9" ht="15.75" customHeight="1" x14ac:dyDescent="0.25">
      <c r="B763" s="1"/>
      <c r="C763" s="1"/>
      <c r="D763" s="1"/>
      <c r="E763" s="1"/>
      <c r="F763" s="1"/>
      <c r="G763" s="1"/>
      <c r="H763" s="1"/>
      <c r="I763" s="1"/>
    </row>
    <row r="764" spans="2:9" ht="15.75" customHeight="1" x14ac:dyDescent="0.25">
      <c r="B764" s="1"/>
      <c r="C764" s="1"/>
      <c r="D764" s="1"/>
      <c r="E764" s="1"/>
      <c r="F764" s="1"/>
      <c r="G764" s="1"/>
      <c r="H764" s="1"/>
      <c r="I764" s="1"/>
    </row>
    <row r="765" spans="2:9" ht="15.75" customHeight="1" x14ac:dyDescent="0.25">
      <c r="B765" s="1"/>
      <c r="C765" s="1"/>
      <c r="D765" s="1"/>
      <c r="E765" s="1"/>
      <c r="F765" s="1"/>
      <c r="G765" s="1"/>
      <c r="H765" s="1"/>
      <c r="I765" s="1"/>
    </row>
    <row r="766" spans="2:9" ht="15.75" customHeight="1" x14ac:dyDescent="0.25">
      <c r="B766" s="1"/>
      <c r="C766" s="1"/>
      <c r="D766" s="1"/>
      <c r="E766" s="1"/>
      <c r="F766" s="1"/>
      <c r="G766" s="1"/>
      <c r="H766" s="1"/>
      <c r="I766" s="1"/>
    </row>
    <row r="767" spans="2:9" ht="15.75" customHeight="1" x14ac:dyDescent="0.25">
      <c r="B767" s="1"/>
      <c r="C767" s="1"/>
      <c r="D767" s="1"/>
      <c r="E767" s="1"/>
      <c r="F767" s="1"/>
      <c r="G767" s="1"/>
      <c r="H767" s="1"/>
      <c r="I767" s="1"/>
    </row>
    <row r="768" spans="2:9" ht="15.75" customHeight="1" x14ac:dyDescent="0.25">
      <c r="B768" s="1"/>
      <c r="C768" s="1"/>
      <c r="D768" s="1"/>
      <c r="E768" s="1"/>
      <c r="F768" s="1"/>
      <c r="G768" s="1"/>
      <c r="H768" s="1"/>
      <c r="I768" s="1"/>
    </row>
    <row r="769" spans="2:9" ht="15.75" customHeight="1" x14ac:dyDescent="0.25">
      <c r="B769" s="1"/>
      <c r="C769" s="1"/>
      <c r="D769" s="1"/>
      <c r="E769" s="1"/>
      <c r="F769" s="1"/>
      <c r="G769" s="1"/>
      <c r="H769" s="1"/>
      <c r="I769" s="1"/>
    </row>
    <row r="770" spans="2:9" ht="15.75" customHeight="1" x14ac:dyDescent="0.25">
      <c r="B770" s="1"/>
      <c r="C770" s="1"/>
      <c r="D770" s="1"/>
      <c r="E770" s="1"/>
      <c r="F770" s="1"/>
      <c r="G770" s="1"/>
      <c r="H770" s="1"/>
      <c r="I770" s="1"/>
    </row>
    <row r="771" spans="2:9" ht="15.75" customHeight="1" x14ac:dyDescent="0.25">
      <c r="B771" s="1"/>
      <c r="C771" s="1"/>
      <c r="D771" s="1"/>
      <c r="E771" s="1"/>
      <c r="F771" s="1"/>
      <c r="G771" s="1"/>
      <c r="H771" s="1"/>
      <c r="I771" s="1"/>
    </row>
    <row r="772" spans="2:9" ht="15.75" customHeight="1" x14ac:dyDescent="0.25">
      <c r="B772" s="1"/>
      <c r="C772" s="1"/>
      <c r="D772" s="1"/>
      <c r="E772" s="1"/>
      <c r="F772" s="1"/>
      <c r="G772" s="1"/>
      <c r="H772" s="1"/>
      <c r="I772" s="1"/>
    </row>
    <row r="773" spans="2:9" ht="15.75" customHeight="1" x14ac:dyDescent="0.25">
      <c r="B773" s="1"/>
      <c r="C773" s="1"/>
      <c r="D773" s="1"/>
      <c r="E773" s="1"/>
      <c r="F773" s="1"/>
      <c r="G773" s="1"/>
      <c r="H773" s="1"/>
      <c r="I773" s="1"/>
    </row>
    <row r="774" spans="2:9" ht="15.75" customHeight="1" x14ac:dyDescent="0.25">
      <c r="B774" s="1"/>
      <c r="C774" s="1"/>
      <c r="D774" s="1"/>
      <c r="E774" s="1"/>
      <c r="F774" s="1"/>
      <c r="G774" s="1"/>
      <c r="H774" s="1"/>
      <c r="I774" s="1"/>
    </row>
    <row r="775" spans="2:9" ht="15.75" customHeight="1" x14ac:dyDescent="0.25">
      <c r="B775" s="1"/>
      <c r="C775" s="1"/>
      <c r="D775" s="1"/>
      <c r="E775" s="1"/>
      <c r="F775" s="1"/>
      <c r="G775" s="1"/>
      <c r="H775" s="1"/>
      <c r="I775" s="1"/>
    </row>
    <row r="776" spans="2:9" ht="15.75" customHeight="1" x14ac:dyDescent="0.25">
      <c r="B776" s="1"/>
      <c r="C776" s="1"/>
      <c r="D776" s="1"/>
      <c r="E776" s="1"/>
      <c r="F776" s="1"/>
      <c r="G776" s="1"/>
      <c r="H776" s="1"/>
      <c r="I776" s="1"/>
    </row>
    <row r="777" spans="2:9" ht="15.75" customHeight="1" x14ac:dyDescent="0.25">
      <c r="B777" s="1"/>
      <c r="C777" s="1"/>
      <c r="D777" s="1"/>
      <c r="E777" s="1"/>
      <c r="F777" s="1"/>
      <c r="G777" s="1"/>
      <c r="H777" s="1"/>
      <c r="I777" s="1"/>
    </row>
    <row r="778" spans="2:9" ht="15.75" customHeight="1" x14ac:dyDescent="0.25">
      <c r="B778" s="1"/>
      <c r="C778" s="1"/>
      <c r="D778" s="1"/>
      <c r="E778" s="1"/>
      <c r="F778" s="1"/>
      <c r="G778" s="1"/>
      <c r="H778" s="1"/>
      <c r="I778" s="1"/>
    </row>
    <row r="779" spans="2:9" ht="15.75" customHeight="1" x14ac:dyDescent="0.25">
      <c r="B779" s="1"/>
      <c r="C779" s="1"/>
      <c r="D779" s="1"/>
      <c r="E779" s="1"/>
      <c r="F779" s="1"/>
      <c r="G779" s="1"/>
      <c r="H779" s="1"/>
      <c r="I779" s="1"/>
    </row>
    <row r="780" spans="2:9" ht="15.75" customHeight="1" x14ac:dyDescent="0.25">
      <c r="B780" s="1"/>
      <c r="C780" s="1"/>
      <c r="D780" s="1"/>
      <c r="E780" s="1"/>
      <c r="F780" s="1"/>
      <c r="G780" s="1"/>
      <c r="H780" s="1"/>
      <c r="I780" s="1"/>
    </row>
    <row r="781" spans="2:9" ht="15.75" customHeight="1" x14ac:dyDescent="0.25">
      <c r="B781" s="1"/>
      <c r="C781" s="1"/>
      <c r="D781" s="1"/>
      <c r="E781" s="1"/>
      <c r="F781" s="1"/>
      <c r="G781" s="1"/>
      <c r="H781" s="1"/>
      <c r="I781" s="1"/>
    </row>
    <row r="782" spans="2:9" ht="15.75" customHeight="1" x14ac:dyDescent="0.25">
      <c r="B782" s="1"/>
      <c r="C782" s="1"/>
      <c r="D782" s="1"/>
      <c r="E782" s="1"/>
      <c r="F782" s="1"/>
      <c r="G782" s="1"/>
      <c r="H782" s="1"/>
      <c r="I782" s="1"/>
    </row>
    <row r="783" spans="2:9" ht="15.75" customHeight="1" x14ac:dyDescent="0.25">
      <c r="B783" s="1"/>
      <c r="C783" s="1"/>
      <c r="D783" s="1"/>
      <c r="E783" s="1"/>
      <c r="F783" s="1"/>
      <c r="G783" s="1"/>
      <c r="H783" s="1"/>
      <c r="I783" s="1"/>
    </row>
    <row r="784" spans="2:9" ht="15.75" customHeight="1" x14ac:dyDescent="0.25">
      <c r="B784" s="1"/>
      <c r="C784" s="1"/>
      <c r="D784" s="1"/>
      <c r="E784" s="1"/>
      <c r="F784" s="1"/>
      <c r="G784" s="1"/>
      <c r="H784" s="1"/>
      <c r="I784" s="1"/>
    </row>
    <row r="785" spans="2:9" ht="15.75" customHeight="1" x14ac:dyDescent="0.25">
      <c r="B785" s="1"/>
      <c r="C785" s="1"/>
      <c r="D785" s="1"/>
      <c r="E785" s="1"/>
      <c r="F785" s="1"/>
      <c r="G785" s="1"/>
      <c r="H785" s="1"/>
      <c r="I785" s="1"/>
    </row>
    <row r="786" spans="2:9" ht="15.75" customHeight="1" x14ac:dyDescent="0.25">
      <c r="B786" s="1"/>
      <c r="C786" s="1"/>
      <c r="D786" s="1"/>
      <c r="E786" s="1"/>
      <c r="F786" s="1"/>
      <c r="G786" s="1"/>
      <c r="H786" s="1"/>
      <c r="I786" s="1"/>
    </row>
    <row r="787" spans="2:9" ht="15.75" customHeight="1" x14ac:dyDescent="0.25">
      <c r="B787" s="1"/>
      <c r="C787" s="1"/>
      <c r="D787" s="1"/>
      <c r="E787" s="1"/>
      <c r="F787" s="1"/>
      <c r="G787" s="1"/>
      <c r="H787" s="1"/>
      <c r="I787" s="1"/>
    </row>
    <row r="788" spans="2:9" ht="15.75" customHeight="1" x14ac:dyDescent="0.25">
      <c r="B788" s="1"/>
      <c r="C788" s="1"/>
      <c r="D788" s="1"/>
      <c r="E788" s="1"/>
      <c r="F788" s="1"/>
      <c r="G788" s="1"/>
      <c r="H788" s="1"/>
      <c r="I788" s="1"/>
    </row>
    <row r="789" spans="2:9" ht="15.75" customHeight="1" x14ac:dyDescent="0.25">
      <c r="B789" s="1"/>
      <c r="C789" s="1"/>
      <c r="D789" s="1"/>
      <c r="E789" s="1"/>
      <c r="F789" s="1"/>
      <c r="G789" s="1"/>
      <c r="H789" s="1"/>
      <c r="I789" s="1"/>
    </row>
    <row r="790" spans="2:9" ht="15.75" customHeight="1" x14ac:dyDescent="0.25">
      <c r="B790" s="1"/>
      <c r="C790" s="1"/>
      <c r="D790" s="1"/>
      <c r="E790" s="1"/>
      <c r="F790" s="1"/>
      <c r="G790" s="1"/>
      <c r="H790" s="1"/>
      <c r="I790" s="1"/>
    </row>
    <row r="791" spans="2:9" ht="15.75" customHeight="1" x14ac:dyDescent="0.25">
      <c r="B791" s="1"/>
      <c r="C791" s="1"/>
      <c r="D791" s="1"/>
      <c r="E791" s="1"/>
      <c r="F791" s="1"/>
      <c r="G791" s="1"/>
      <c r="H791" s="1"/>
      <c r="I791" s="1"/>
    </row>
    <row r="792" spans="2:9" ht="15.75" customHeight="1" x14ac:dyDescent="0.25">
      <c r="B792" s="1"/>
      <c r="C792" s="1"/>
      <c r="D792" s="1"/>
      <c r="E792" s="1"/>
      <c r="F792" s="1"/>
      <c r="G792" s="1"/>
      <c r="H792" s="1"/>
      <c r="I792" s="1"/>
    </row>
    <row r="793" spans="2:9" ht="15.75" customHeight="1" x14ac:dyDescent="0.25">
      <c r="B793" s="1"/>
      <c r="C793" s="1"/>
      <c r="D793" s="1"/>
      <c r="E793" s="1"/>
      <c r="F793" s="1"/>
      <c r="G793" s="1"/>
      <c r="H793" s="1"/>
      <c r="I793" s="1"/>
    </row>
    <row r="794" spans="2:9" ht="15.75" customHeight="1" x14ac:dyDescent="0.25">
      <c r="B794" s="1"/>
      <c r="C794" s="1"/>
      <c r="D794" s="1"/>
      <c r="E794" s="1"/>
      <c r="F794" s="1"/>
      <c r="G794" s="1"/>
      <c r="H794" s="1"/>
      <c r="I794" s="1"/>
    </row>
    <row r="795" spans="2:9" ht="15.75" customHeight="1" x14ac:dyDescent="0.25">
      <c r="B795" s="1"/>
      <c r="C795" s="1"/>
      <c r="D795" s="1"/>
      <c r="E795" s="1"/>
      <c r="F795" s="1"/>
      <c r="G795" s="1"/>
      <c r="H795" s="1"/>
      <c r="I795" s="1"/>
    </row>
    <row r="796" spans="2:9" ht="15.75" customHeight="1" x14ac:dyDescent="0.25">
      <c r="B796" s="1"/>
      <c r="C796" s="1"/>
      <c r="D796" s="1"/>
      <c r="E796" s="1"/>
      <c r="F796" s="1"/>
      <c r="G796" s="1"/>
      <c r="H796" s="1"/>
      <c r="I796" s="1"/>
    </row>
    <row r="797" spans="2:9" ht="15.75" customHeight="1" x14ac:dyDescent="0.25">
      <c r="B797" s="1"/>
      <c r="C797" s="1"/>
      <c r="D797" s="1"/>
      <c r="E797" s="1"/>
      <c r="F797" s="1"/>
      <c r="G797" s="1"/>
      <c r="H797" s="1"/>
      <c r="I797" s="1"/>
    </row>
    <row r="798" spans="2:9" ht="15.75" customHeight="1" x14ac:dyDescent="0.25">
      <c r="B798" s="1"/>
      <c r="C798" s="1"/>
      <c r="D798" s="1"/>
      <c r="E798" s="1"/>
      <c r="F798" s="1"/>
      <c r="G798" s="1"/>
      <c r="H798" s="1"/>
      <c r="I798" s="1"/>
    </row>
    <row r="799" spans="2:9" ht="15.75" customHeight="1" x14ac:dyDescent="0.25">
      <c r="B799" s="1"/>
      <c r="C799" s="1"/>
      <c r="D799" s="1"/>
      <c r="E799" s="1"/>
      <c r="F799" s="1"/>
      <c r="G799" s="1"/>
      <c r="H799" s="1"/>
      <c r="I799" s="1"/>
    </row>
    <row r="800" spans="2:9" ht="15.75" customHeight="1" x14ac:dyDescent="0.25">
      <c r="B800" s="1"/>
      <c r="C800" s="1"/>
      <c r="D800" s="1"/>
      <c r="E800" s="1"/>
      <c r="F800" s="1"/>
      <c r="G800" s="1"/>
      <c r="H800" s="1"/>
      <c r="I800" s="1"/>
    </row>
    <row r="801" spans="2:9" ht="15.75" customHeight="1" x14ac:dyDescent="0.25">
      <c r="B801" s="1"/>
      <c r="C801" s="1"/>
      <c r="D801" s="1"/>
      <c r="E801" s="1"/>
      <c r="F801" s="1"/>
      <c r="G801" s="1"/>
      <c r="H801" s="1"/>
      <c r="I801" s="1"/>
    </row>
    <row r="802" spans="2:9" ht="15.75" customHeight="1" x14ac:dyDescent="0.25">
      <c r="B802" s="1"/>
      <c r="C802" s="1"/>
      <c r="D802" s="1"/>
      <c r="E802" s="1"/>
      <c r="F802" s="1"/>
      <c r="G802" s="1"/>
      <c r="H802" s="1"/>
      <c r="I802" s="1"/>
    </row>
    <row r="803" spans="2:9" ht="15.75" customHeight="1" x14ac:dyDescent="0.25">
      <c r="B803" s="1"/>
      <c r="C803" s="1"/>
      <c r="D803" s="1"/>
      <c r="E803" s="1"/>
      <c r="F803" s="1"/>
      <c r="G803" s="1"/>
      <c r="H803" s="1"/>
      <c r="I803" s="1"/>
    </row>
    <row r="804" spans="2:9" ht="15.75" customHeight="1" x14ac:dyDescent="0.25">
      <c r="B804" s="1"/>
      <c r="C804" s="1"/>
      <c r="D804" s="1"/>
      <c r="E804" s="1"/>
      <c r="F804" s="1"/>
      <c r="G804" s="1"/>
      <c r="H804" s="1"/>
      <c r="I804" s="1"/>
    </row>
    <row r="805" spans="2:9" ht="15.75" customHeight="1" x14ac:dyDescent="0.25">
      <c r="B805" s="1"/>
      <c r="C805" s="1"/>
      <c r="D805" s="1"/>
      <c r="E805" s="1"/>
      <c r="F805" s="1"/>
      <c r="G805" s="1"/>
      <c r="H805" s="1"/>
      <c r="I805" s="1"/>
    </row>
    <row r="806" spans="2:9" ht="15.75" customHeight="1" x14ac:dyDescent="0.25">
      <c r="B806" s="1"/>
      <c r="C806" s="1"/>
      <c r="D806" s="1"/>
      <c r="E806" s="1"/>
      <c r="F806" s="1"/>
      <c r="G806" s="1"/>
      <c r="H806" s="1"/>
      <c r="I806" s="1"/>
    </row>
    <row r="807" spans="2:9" ht="15.75" customHeight="1" x14ac:dyDescent="0.25">
      <c r="B807" s="1"/>
      <c r="C807" s="1"/>
      <c r="D807" s="1"/>
      <c r="E807" s="1"/>
      <c r="F807" s="1"/>
      <c r="G807" s="1"/>
      <c r="H807" s="1"/>
      <c r="I807" s="1"/>
    </row>
    <row r="808" spans="2:9" ht="15.75" customHeight="1" x14ac:dyDescent="0.25">
      <c r="B808" s="1"/>
      <c r="C808" s="1"/>
      <c r="D808" s="1"/>
      <c r="E808" s="1"/>
      <c r="F808" s="1"/>
      <c r="G808" s="1"/>
      <c r="H808" s="1"/>
      <c r="I808" s="1"/>
    </row>
    <row r="809" spans="2:9" ht="15.75" customHeight="1" x14ac:dyDescent="0.25">
      <c r="B809" s="1"/>
      <c r="C809" s="1"/>
      <c r="D809" s="1"/>
      <c r="E809" s="1"/>
      <c r="F809" s="1"/>
      <c r="G809" s="1"/>
      <c r="H809" s="1"/>
      <c r="I809" s="1"/>
    </row>
    <row r="810" spans="2:9" ht="15.75" customHeight="1" x14ac:dyDescent="0.25">
      <c r="B810" s="1"/>
      <c r="C810" s="1"/>
      <c r="D810" s="1"/>
      <c r="E810" s="1"/>
      <c r="F810" s="1"/>
      <c r="G810" s="1"/>
      <c r="H810" s="1"/>
      <c r="I810" s="1"/>
    </row>
    <row r="811" spans="2:9" ht="15.75" customHeight="1" x14ac:dyDescent="0.25">
      <c r="B811" s="1"/>
      <c r="C811" s="1"/>
      <c r="D811" s="1"/>
      <c r="E811" s="1"/>
      <c r="F811" s="1"/>
      <c r="G811" s="1"/>
      <c r="H811" s="1"/>
      <c r="I811" s="1"/>
    </row>
    <row r="812" spans="2:9" ht="15.75" customHeight="1" x14ac:dyDescent="0.25">
      <c r="B812" s="1"/>
      <c r="C812" s="1"/>
      <c r="D812" s="1"/>
      <c r="E812" s="1"/>
      <c r="F812" s="1"/>
      <c r="G812" s="1"/>
      <c r="H812" s="1"/>
      <c r="I812" s="1"/>
    </row>
    <row r="813" spans="2:9" ht="15.75" customHeight="1" x14ac:dyDescent="0.25">
      <c r="B813" s="1"/>
      <c r="C813" s="1"/>
      <c r="D813" s="1"/>
      <c r="E813" s="1"/>
      <c r="F813" s="1"/>
      <c r="G813" s="1"/>
      <c r="H813" s="1"/>
      <c r="I813" s="1"/>
    </row>
    <row r="814" spans="2:9" ht="15.75" customHeight="1" x14ac:dyDescent="0.25">
      <c r="B814" s="1"/>
      <c r="C814" s="1"/>
      <c r="D814" s="1"/>
      <c r="E814" s="1"/>
      <c r="F814" s="1"/>
      <c r="G814" s="1"/>
      <c r="H814" s="1"/>
      <c r="I814" s="1"/>
    </row>
    <row r="815" spans="2:9" ht="15.75" customHeight="1" x14ac:dyDescent="0.25">
      <c r="B815" s="1"/>
      <c r="C815" s="1"/>
      <c r="D815" s="1"/>
      <c r="E815" s="1"/>
      <c r="F815" s="1"/>
      <c r="G815" s="1"/>
      <c r="H815" s="1"/>
      <c r="I815" s="1"/>
    </row>
    <row r="816" spans="2:9" ht="15.75" customHeight="1" x14ac:dyDescent="0.25">
      <c r="B816" s="1"/>
      <c r="C816" s="1"/>
      <c r="D816" s="1"/>
      <c r="E816" s="1"/>
      <c r="F816" s="1"/>
      <c r="G816" s="1"/>
      <c r="H816" s="1"/>
      <c r="I816" s="1"/>
    </row>
    <row r="817" spans="2:9" ht="15.75" customHeight="1" x14ac:dyDescent="0.25">
      <c r="B817" s="1"/>
      <c r="C817" s="1"/>
      <c r="D817" s="1"/>
      <c r="E817" s="1"/>
      <c r="F817" s="1"/>
      <c r="G817" s="1"/>
      <c r="H817" s="1"/>
      <c r="I817" s="1"/>
    </row>
    <row r="818" spans="2:9" ht="15.75" customHeight="1" x14ac:dyDescent="0.25">
      <c r="B818" s="1"/>
      <c r="C818" s="1"/>
      <c r="D818" s="1"/>
      <c r="E818" s="1"/>
      <c r="F818" s="1"/>
      <c r="G818" s="1"/>
      <c r="H818" s="1"/>
      <c r="I818" s="1"/>
    </row>
    <row r="819" spans="2:9" ht="15.75" customHeight="1" x14ac:dyDescent="0.25">
      <c r="B819" s="1"/>
      <c r="C819" s="1"/>
      <c r="D819" s="1"/>
      <c r="E819" s="1"/>
      <c r="F819" s="1"/>
      <c r="G819" s="1"/>
      <c r="H819" s="1"/>
      <c r="I819" s="1"/>
    </row>
    <row r="820" spans="2:9" ht="15.75" customHeight="1" x14ac:dyDescent="0.25">
      <c r="B820" s="1"/>
      <c r="C820" s="1"/>
      <c r="D820" s="1"/>
      <c r="E820" s="1"/>
      <c r="F820" s="1"/>
      <c r="G820" s="1"/>
      <c r="H820" s="1"/>
      <c r="I820" s="1"/>
    </row>
    <row r="821" spans="2:9" ht="15.75" customHeight="1" x14ac:dyDescent="0.25">
      <c r="B821" s="1"/>
      <c r="C821" s="1"/>
      <c r="D821" s="1"/>
      <c r="E821" s="1"/>
      <c r="F821" s="1"/>
      <c r="G821" s="1"/>
      <c r="H821" s="1"/>
      <c r="I821" s="1"/>
    </row>
    <row r="822" spans="2:9" ht="15.75" customHeight="1" x14ac:dyDescent="0.25">
      <c r="B822" s="1"/>
      <c r="C822" s="1"/>
      <c r="D822" s="1"/>
      <c r="E822" s="1"/>
      <c r="F822" s="1"/>
      <c r="G822" s="1"/>
      <c r="H822" s="1"/>
      <c r="I822" s="1"/>
    </row>
    <row r="823" spans="2:9" ht="15.75" customHeight="1" x14ac:dyDescent="0.25">
      <c r="B823" s="1"/>
      <c r="C823" s="1"/>
      <c r="D823" s="1"/>
      <c r="E823" s="1"/>
      <c r="F823" s="1"/>
      <c r="G823" s="1"/>
      <c r="H823" s="1"/>
      <c r="I823" s="1"/>
    </row>
    <row r="824" spans="2:9" ht="15.75" customHeight="1" x14ac:dyDescent="0.25">
      <c r="B824" s="1"/>
      <c r="C824" s="1"/>
      <c r="D824" s="1"/>
      <c r="E824" s="1"/>
      <c r="F824" s="1"/>
      <c r="G824" s="1"/>
      <c r="H824" s="1"/>
      <c r="I824" s="1"/>
    </row>
    <row r="825" spans="2:9" ht="15.75" customHeight="1" x14ac:dyDescent="0.25">
      <c r="B825" s="1"/>
      <c r="C825" s="1"/>
      <c r="D825" s="1"/>
      <c r="E825" s="1"/>
      <c r="F825" s="1"/>
      <c r="G825" s="1"/>
      <c r="H825" s="1"/>
      <c r="I825" s="1"/>
    </row>
    <row r="826" spans="2:9" ht="15.75" customHeight="1" x14ac:dyDescent="0.25">
      <c r="B826" s="1"/>
      <c r="C826" s="1"/>
      <c r="D826" s="1"/>
      <c r="E826" s="1"/>
      <c r="F826" s="1"/>
      <c r="G826" s="1"/>
      <c r="H826" s="1"/>
      <c r="I826" s="1"/>
    </row>
    <row r="827" spans="2:9" ht="15.75" customHeight="1" x14ac:dyDescent="0.25">
      <c r="B827" s="1"/>
      <c r="C827" s="1"/>
      <c r="D827" s="1"/>
      <c r="E827" s="1"/>
      <c r="F827" s="1"/>
      <c r="G827" s="1"/>
      <c r="H827" s="1"/>
      <c r="I827" s="1"/>
    </row>
    <row r="828" spans="2:9" ht="15.75" customHeight="1" x14ac:dyDescent="0.25">
      <c r="B828" s="1"/>
      <c r="C828" s="1"/>
      <c r="D828" s="1"/>
      <c r="E828" s="1"/>
      <c r="F828" s="1"/>
      <c r="G828" s="1"/>
      <c r="H828" s="1"/>
      <c r="I828" s="1"/>
    </row>
    <row r="829" spans="2:9" ht="15.75" customHeight="1" x14ac:dyDescent="0.25">
      <c r="B829" s="1"/>
      <c r="C829" s="1"/>
      <c r="D829" s="1"/>
      <c r="E829" s="1"/>
      <c r="F829" s="1"/>
      <c r="G829" s="1"/>
      <c r="H829" s="1"/>
      <c r="I829" s="1"/>
    </row>
    <row r="830" spans="2:9" ht="15.75" customHeight="1" x14ac:dyDescent="0.25">
      <c r="B830" s="1"/>
      <c r="C830" s="1"/>
      <c r="D830" s="1"/>
      <c r="E830" s="1"/>
      <c r="F830" s="1"/>
      <c r="G830" s="1"/>
      <c r="H830" s="1"/>
      <c r="I830" s="1"/>
    </row>
    <row r="831" spans="2:9" ht="15.75" customHeight="1" x14ac:dyDescent="0.25">
      <c r="B831" s="1"/>
      <c r="C831" s="1"/>
      <c r="D831" s="1"/>
      <c r="E831" s="1"/>
      <c r="F831" s="1"/>
      <c r="G831" s="1"/>
      <c r="H831" s="1"/>
      <c r="I831" s="1"/>
    </row>
    <row r="832" spans="2:9" ht="15.75" customHeight="1" x14ac:dyDescent="0.25">
      <c r="B832" s="1"/>
      <c r="C832" s="1"/>
      <c r="D832" s="1"/>
      <c r="E832" s="1"/>
      <c r="F832" s="1"/>
      <c r="G832" s="1"/>
      <c r="H832" s="1"/>
      <c r="I832" s="1"/>
    </row>
    <row r="833" spans="2:9" ht="15.75" customHeight="1" x14ac:dyDescent="0.25">
      <c r="B833" s="1"/>
      <c r="C833" s="1"/>
      <c r="D833" s="1"/>
      <c r="E833" s="1"/>
      <c r="F833" s="1"/>
      <c r="G833" s="1"/>
      <c r="H833" s="1"/>
      <c r="I833" s="1"/>
    </row>
    <row r="834" spans="2:9" ht="15.75" customHeight="1" x14ac:dyDescent="0.25">
      <c r="B834" s="1"/>
      <c r="C834" s="1"/>
      <c r="D834" s="1"/>
      <c r="E834" s="1"/>
      <c r="F834" s="1"/>
      <c r="G834" s="1"/>
      <c r="H834" s="1"/>
      <c r="I834" s="1"/>
    </row>
    <row r="835" spans="2:9" ht="15.75" customHeight="1" x14ac:dyDescent="0.25">
      <c r="B835" s="1"/>
      <c r="C835" s="1"/>
      <c r="D835" s="1"/>
      <c r="E835" s="1"/>
      <c r="F835" s="1"/>
      <c r="G835" s="1"/>
      <c r="H835" s="1"/>
      <c r="I835" s="1"/>
    </row>
    <row r="836" spans="2:9" ht="15.75" customHeight="1" x14ac:dyDescent="0.25">
      <c r="B836" s="1"/>
      <c r="C836" s="1"/>
      <c r="D836" s="1"/>
      <c r="E836" s="1"/>
      <c r="F836" s="1"/>
      <c r="G836" s="1"/>
      <c r="H836" s="1"/>
      <c r="I836" s="1"/>
    </row>
    <row r="837" spans="2:9" ht="15.75" customHeight="1" x14ac:dyDescent="0.25">
      <c r="B837" s="1"/>
      <c r="C837" s="1"/>
      <c r="D837" s="1"/>
      <c r="E837" s="1"/>
      <c r="F837" s="1"/>
      <c r="G837" s="1"/>
      <c r="H837" s="1"/>
      <c r="I837" s="1"/>
    </row>
    <row r="838" spans="2:9" ht="15.75" customHeight="1" x14ac:dyDescent="0.25">
      <c r="B838" s="1"/>
      <c r="C838" s="1"/>
      <c r="D838" s="1"/>
      <c r="E838" s="1"/>
      <c r="F838" s="1"/>
      <c r="G838" s="1"/>
      <c r="H838" s="1"/>
      <c r="I838" s="1"/>
    </row>
    <row r="839" spans="2:9" ht="15.75" customHeight="1" x14ac:dyDescent="0.25">
      <c r="B839" s="1"/>
      <c r="C839" s="1"/>
      <c r="D839" s="1"/>
      <c r="E839" s="1"/>
      <c r="F839" s="1"/>
      <c r="G839" s="1"/>
      <c r="H839" s="1"/>
      <c r="I839" s="1"/>
    </row>
    <row r="840" spans="2:9" ht="15.75" customHeight="1" x14ac:dyDescent="0.25">
      <c r="B840" s="1"/>
      <c r="C840" s="1"/>
      <c r="D840" s="1"/>
      <c r="E840" s="1"/>
      <c r="F840" s="1"/>
      <c r="G840" s="1"/>
      <c r="H840" s="1"/>
      <c r="I840" s="1"/>
    </row>
    <row r="841" spans="2:9" ht="15.75" customHeight="1" x14ac:dyDescent="0.25">
      <c r="B841" s="1"/>
      <c r="C841" s="1"/>
      <c r="D841" s="1"/>
      <c r="E841" s="1"/>
      <c r="F841" s="1"/>
      <c r="G841" s="1"/>
      <c r="H841" s="1"/>
      <c r="I841" s="1"/>
    </row>
    <row r="842" spans="2:9" ht="15.75" customHeight="1" x14ac:dyDescent="0.25">
      <c r="B842" s="1"/>
      <c r="C842" s="1"/>
      <c r="D842" s="1"/>
      <c r="E842" s="1"/>
      <c r="F842" s="1"/>
      <c r="G842" s="1"/>
      <c r="H842" s="1"/>
      <c r="I842" s="1"/>
    </row>
    <row r="843" spans="2:9" ht="15.75" customHeight="1" x14ac:dyDescent="0.25">
      <c r="B843" s="1"/>
      <c r="C843" s="1"/>
      <c r="D843" s="1"/>
      <c r="E843" s="1"/>
      <c r="F843" s="1"/>
      <c r="G843" s="1"/>
      <c r="H843" s="1"/>
      <c r="I843" s="1"/>
    </row>
    <row r="844" spans="2:9" ht="15.75" customHeight="1" x14ac:dyDescent="0.25">
      <c r="B844" s="1"/>
      <c r="C844" s="1"/>
      <c r="D844" s="1"/>
      <c r="E844" s="1"/>
      <c r="F844" s="1"/>
      <c r="G844" s="1"/>
      <c r="H844" s="1"/>
      <c r="I844" s="1"/>
    </row>
    <row r="845" spans="2:9" ht="15.75" customHeight="1" x14ac:dyDescent="0.25">
      <c r="B845" s="1"/>
      <c r="C845" s="1"/>
      <c r="D845" s="1"/>
      <c r="E845" s="1"/>
      <c r="F845" s="1"/>
      <c r="G845" s="1"/>
      <c r="H845" s="1"/>
      <c r="I845" s="1"/>
    </row>
    <row r="846" spans="2:9" ht="15.75" customHeight="1" x14ac:dyDescent="0.25">
      <c r="B846" s="1"/>
      <c r="C846" s="1"/>
      <c r="D846" s="1"/>
      <c r="E846" s="1"/>
      <c r="F846" s="1"/>
      <c r="G846" s="1"/>
      <c r="H846" s="1"/>
      <c r="I846" s="1"/>
    </row>
    <row r="847" spans="2:9" ht="15.75" customHeight="1" x14ac:dyDescent="0.25">
      <c r="B847" s="1"/>
      <c r="C847" s="1"/>
      <c r="D847" s="1"/>
      <c r="E847" s="1"/>
      <c r="F847" s="1"/>
      <c r="G847" s="1"/>
      <c r="H847" s="1"/>
      <c r="I847" s="1"/>
    </row>
    <row r="848" spans="2:9" ht="15.75" customHeight="1" x14ac:dyDescent="0.25">
      <c r="B848" s="1"/>
      <c r="C848" s="1"/>
      <c r="D848" s="1"/>
      <c r="E848" s="1"/>
      <c r="F848" s="1"/>
      <c r="G848" s="1"/>
      <c r="H848" s="1"/>
      <c r="I848" s="1"/>
    </row>
    <row r="849" spans="2:9" ht="15.75" customHeight="1" x14ac:dyDescent="0.25">
      <c r="B849" s="1"/>
      <c r="C849" s="1"/>
      <c r="D849" s="1"/>
      <c r="E849" s="1"/>
      <c r="F849" s="1"/>
      <c r="G849" s="1"/>
      <c r="H849" s="1"/>
      <c r="I849" s="1"/>
    </row>
    <row r="850" spans="2:9" ht="15.75" customHeight="1" x14ac:dyDescent="0.25">
      <c r="B850" s="1"/>
      <c r="C850" s="1"/>
      <c r="D850" s="1"/>
      <c r="E850" s="1"/>
      <c r="F850" s="1"/>
      <c r="G850" s="1"/>
      <c r="H850" s="1"/>
      <c r="I850" s="1"/>
    </row>
    <row r="851" spans="2:9" ht="15.75" customHeight="1" x14ac:dyDescent="0.25">
      <c r="B851" s="1"/>
      <c r="C851" s="1"/>
      <c r="D851" s="1"/>
      <c r="E851" s="1"/>
      <c r="F851" s="1"/>
      <c r="G851" s="1"/>
      <c r="H851" s="1"/>
      <c r="I851" s="1"/>
    </row>
    <row r="852" spans="2:9" ht="15.75" customHeight="1" x14ac:dyDescent="0.25">
      <c r="B852" s="1"/>
      <c r="C852" s="1"/>
      <c r="D852" s="1"/>
      <c r="E852" s="1"/>
      <c r="F852" s="1"/>
      <c r="G852" s="1"/>
      <c r="H852" s="1"/>
      <c r="I852" s="1"/>
    </row>
    <row r="853" spans="2:9" ht="15.75" customHeight="1" x14ac:dyDescent="0.25">
      <c r="B853" s="1"/>
      <c r="C853" s="1"/>
      <c r="D853" s="1"/>
      <c r="E853" s="1"/>
      <c r="F853" s="1"/>
      <c r="G853" s="1"/>
      <c r="H853" s="1"/>
      <c r="I853" s="1"/>
    </row>
    <row r="854" spans="2:9" ht="15.75" customHeight="1" x14ac:dyDescent="0.25">
      <c r="B854" s="1"/>
      <c r="C854" s="1"/>
      <c r="D854" s="1"/>
      <c r="E854" s="1"/>
      <c r="F854" s="1"/>
      <c r="G854" s="1"/>
      <c r="H854" s="1"/>
      <c r="I854" s="1"/>
    </row>
    <row r="855" spans="2:9" ht="15.75" customHeight="1" x14ac:dyDescent="0.25">
      <c r="B855" s="1"/>
      <c r="C855" s="1"/>
      <c r="D855" s="1"/>
      <c r="E855" s="1"/>
      <c r="F855" s="1"/>
      <c r="G855" s="1"/>
      <c r="H855" s="1"/>
      <c r="I855" s="1"/>
    </row>
    <row r="856" spans="2:9" ht="15.75" customHeight="1" x14ac:dyDescent="0.25">
      <c r="B856" s="1"/>
      <c r="C856" s="1"/>
      <c r="D856" s="1"/>
      <c r="E856" s="1"/>
      <c r="F856" s="1"/>
      <c r="G856" s="1"/>
      <c r="H856" s="1"/>
      <c r="I856" s="1"/>
    </row>
    <row r="857" spans="2:9" ht="15.75" customHeight="1" x14ac:dyDescent="0.25">
      <c r="B857" s="1"/>
      <c r="C857" s="1"/>
      <c r="D857" s="1"/>
      <c r="E857" s="1"/>
      <c r="F857" s="1"/>
      <c r="G857" s="1"/>
      <c r="H857" s="1"/>
      <c r="I857" s="1"/>
    </row>
    <row r="858" spans="2:9" ht="15.75" customHeight="1" x14ac:dyDescent="0.25">
      <c r="B858" s="1"/>
      <c r="C858" s="1"/>
      <c r="D858" s="1"/>
      <c r="E858" s="1"/>
      <c r="F858" s="1"/>
      <c r="G858" s="1"/>
      <c r="H858" s="1"/>
      <c r="I858" s="1"/>
    </row>
    <row r="859" spans="2:9" ht="15.75" customHeight="1" x14ac:dyDescent="0.25">
      <c r="B859" s="1"/>
      <c r="C859" s="1"/>
      <c r="D859" s="1"/>
      <c r="E859" s="1"/>
      <c r="F859" s="1"/>
      <c r="G859" s="1"/>
      <c r="H859" s="1"/>
      <c r="I859" s="1"/>
    </row>
    <row r="860" spans="2:9" ht="15.75" customHeight="1" x14ac:dyDescent="0.25">
      <c r="B860" s="1"/>
      <c r="C860" s="1"/>
      <c r="D860" s="1"/>
      <c r="E860" s="1"/>
      <c r="F860" s="1"/>
      <c r="G860" s="1"/>
      <c r="H860" s="1"/>
      <c r="I860" s="1"/>
    </row>
    <row r="861" spans="2:9" ht="15.75" customHeight="1" x14ac:dyDescent="0.25">
      <c r="B861" s="1"/>
      <c r="C861" s="1"/>
      <c r="D861" s="1"/>
      <c r="E861" s="1"/>
      <c r="F861" s="1"/>
      <c r="G861" s="1"/>
      <c r="H861" s="1"/>
      <c r="I861" s="1"/>
    </row>
    <row r="862" spans="2:9" ht="15.75" customHeight="1" x14ac:dyDescent="0.25">
      <c r="B862" s="1"/>
      <c r="C862" s="1"/>
      <c r="D862" s="1"/>
      <c r="E862" s="1"/>
      <c r="F862" s="1"/>
      <c r="G862" s="1"/>
      <c r="H862" s="1"/>
      <c r="I862" s="1"/>
    </row>
    <row r="863" spans="2:9" ht="15.75" customHeight="1" x14ac:dyDescent="0.25">
      <c r="B863" s="1"/>
      <c r="C863" s="1"/>
      <c r="D863" s="1"/>
      <c r="E863" s="1"/>
      <c r="F863" s="1"/>
      <c r="G863" s="1"/>
      <c r="H863" s="1"/>
      <c r="I863" s="1"/>
    </row>
    <row r="864" spans="2:9" ht="15.75" customHeight="1" x14ac:dyDescent="0.25">
      <c r="B864" s="1"/>
      <c r="C864" s="1"/>
      <c r="D864" s="1"/>
      <c r="E864" s="1"/>
      <c r="F864" s="1"/>
      <c r="G864" s="1"/>
      <c r="H864" s="1"/>
      <c r="I864" s="1"/>
    </row>
    <row r="865" spans="2:9" ht="15.75" customHeight="1" x14ac:dyDescent="0.25">
      <c r="B865" s="1"/>
      <c r="C865" s="1"/>
      <c r="D865" s="1"/>
      <c r="E865" s="1"/>
      <c r="F865" s="1"/>
      <c r="G865" s="1"/>
      <c r="H865" s="1"/>
      <c r="I865" s="1"/>
    </row>
    <row r="866" spans="2:9" ht="15.75" customHeight="1" x14ac:dyDescent="0.25">
      <c r="B866" s="1"/>
      <c r="C866" s="1"/>
      <c r="D866" s="1"/>
      <c r="E866" s="1"/>
      <c r="F866" s="1"/>
      <c r="G866" s="1"/>
      <c r="H866" s="1"/>
      <c r="I866" s="1"/>
    </row>
    <row r="867" spans="2:9" ht="15.75" customHeight="1" x14ac:dyDescent="0.25">
      <c r="B867" s="1"/>
      <c r="C867" s="1"/>
      <c r="D867" s="1"/>
      <c r="E867" s="1"/>
      <c r="F867" s="1"/>
      <c r="G867" s="1"/>
      <c r="H867" s="1"/>
      <c r="I867" s="1"/>
    </row>
    <row r="868" spans="2:9" ht="15.75" customHeight="1" x14ac:dyDescent="0.25">
      <c r="B868" s="1"/>
      <c r="C868" s="1"/>
      <c r="D868" s="1"/>
      <c r="E868" s="1"/>
      <c r="F868" s="1"/>
      <c r="G868" s="1"/>
      <c r="H868" s="1"/>
      <c r="I868" s="1"/>
    </row>
    <row r="869" spans="2:9" ht="15.75" customHeight="1" x14ac:dyDescent="0.25">
      <c r="B869" s="1"/>
      <c r="C869" s="1"/>
      <c r="D869" s="1"/>
      <c r="E869" s="1"/>
      <c r="F869" s="1"/>
      <c r="G869" s="1"/>
      <c r="H869" s="1"/>
      <c r="I869" s="1"/>
    </row>
    <row r="870" spans="2:9" ht="15.75" customHeight="1" x14ac:dyDescent="0.25">
      <c r="B870" s="1"/>
      <c r="C870" s="1"/>
      <c r="D870" s="1"/>
      <c r="E870" s="1"/>
      <c r="F870" s="1"/>
      <c r="G870" s="1"/>
      <c r="H870" s="1"/>
      <c r="I870" s="1"/>
    </row>
    <row r="871" spans="2:9" ht="15.75" customHeight="1" x14ac:dyDescent="0.25">
      <c r="B871" s="1"/>
      <c r="C871" s="1"/>
      <c r="D871" s="1"/>
      <c r="E871" s="1"/>
      <c r="F871" s="1"/>
      <c r="G871" s="1"/>
      <c r="H871" s="1"/>
      <c r="I871" s="1"/>
    </row>
    <row r="872" spans="2:9" ht="15.75" customHeight="1" x14ac:dyDescent="0.25">
      <c r="B872" s="1"/>
      <c r="C872" s="1"/>
      <c r="D872" s="1"/>
      <c r="E872" s="1"/>
      <c r="F872" s="1"/>
      <c r="G872" s="1"/>
      <c r="H872" s="1"/>
      <c r="I872" s="1"/>
    </row>
    <row r="873" spans="2:9" ht="15.75" customHeight="1" x14ac:dyDescent="0.25">
      <c r="B873" s="1"/>
      <c r="C873" s="1"/>
      <c r="D873" s="1"/>
      <c r="E873" s="1"/>
      <c r="F873" s="1"/>
      <c r="G873" s="1"/>
      <c r="H873" s="1"/>
      <c r="I873" s="1"/>
    </row>
    <row r="874" spans="2:9" ht="15.75" customHeight="1" x14ac:dyDescent="0.25">
      <c r="B874" s="1"/>
      <c r="C874" s="1"/>
      <c r="D874" s="1"/>
      <c r="E874" s="1"/>
      <c r="F874" s="1"/>
      <c r="G874" s="1"/>
      <c r="H874" s="1"/>
      <c r="I874" s="1"/>
    </row>
    <row r="875" spans="2:9" ht="15.75" customHeight="1" x14ac:dyDescent="0.25">
      <c r="B875" s="1"/>
      <c r="C875" s="1"/>
      <c r="D875" s="1"/>
      <c r="E875" s="1"/>
      <c r="F875" s="1"/>
      <c r="G875" s="1"/>
      <c r="H875" s="1"/>
      <c r="I875" s="1"/>
    </row>
    <row r="876" spans="2:9" ht="15.75" customHeight="1" x14ac:dyDescent="0.25">
      <c r="B876" s="1"/>
      <c r="C876" s="1"/>
      <c r="D876" s="1"/>
      <c r="E876" s="1"/>
      <c r="F876" s="1"/>
      <c r="G876" s="1"/>
      <c r="H876" s="1"/>
      <c r="I876" s="1"/>
    </row>
    <row r="877" spans="2:9" ht="15.75" customHeight="1" x14ac:dyDescent="0.25">
      <c r="B877" s="1"/>
      <c r="C877" s="1"/>
      <c r="D877" s="1"/>
      <c r="E877" s="1"/>
      <c r="F877" s="1"/>
      <c r="G877" s="1"/>
      <c r="H877" s="1"/>
      <c r="I877" s="1"/>
    </row>
    <row r="878" spans="2:9" ht="15.75" customHeight="1" x14ac:dyDescent="0.25">
      <c r="B878" s="1"/>
      <c r="C878" s="1"/>
      <c r="D878" s="1"/>
      <c r="E878" s="1"/>
      <c r="F878" s="1"/>
      <c r="G878" s="1"/>
      <c r="H878" s="1"/>
      <c r="I878" s="1"/>
    </row>
    <row r="879" spans="2:9" ht="15.75" customHeight="1" x14ac:dyDescent="0.25">
      <c r="B879" s="1"/>
      <c r="C879" s="1"/>
      <c r="D879" s="1"/>
      <c r="E879" s="1"/>
      <c r="F879" s="1"/>
      <c r="G879" s="1"/>
      <c r="H879" s="1"/>
      <c r="I879" s="1"/>
    </row>
    <row r="880" spans="2:9" ht="15.75" customHeight="1" x14ac:dyDescent="0.25">
      <c r="B880" s="1"/>
      <c r="C880" s="1"/>
      <c r="D880" s="1"/>
      <c r="E880" s="1"/>
      <c r="F880" s="1"/>
      <c r="G880" s="1"/>
      <c r="H880" s="1"/>
      <c r="I880" s="1"/>
    </row>
    <row r="881" spans="2:9" ht="15.75" customHeight="1" x14ac:dyDescent="0.25">
      <c r="B881" s="1"/>
      <c r="C881" s="1"/>
      <c r="D881" s="1"/>
      <c r="E881" s="1"/>
      <c r="F881" s="1"/>
      <c r="G881" s="1"/>
      <c r="H881" s="1"/>
      <c r="I881" s="1"/>
    </row>
    <row r="882" spans="2:9" ht="15.75" customHeight="1" x14ac:dyDescent="0.25">
      <c r="B882" s="1"/>
      <c r="C882" s="1"/>
      <c r="D882" s="1"/>
      <c r="E882" s="1"/>
      <c r="F882" s="1"/>
      <c r="G882" s="1"/>
      <c r="H882" s="1"/>
      <c r="I882" s="1"/>
    </row>
    <row r="883" spans="2:9" ht="15.75" customHeight="1" x14ac:dyDescent="0.25">
      <c r="B883" s="1"/>
      <c r="C883" s="1"/>
      <c r="D883" s="1"/>
      <c r="E883" s="1"/>
      <c r="F883" s="1"/>
      <c r="G883" s="1"/>
      <c r="H883" s="1"/>
      <c r="I883" s="1"/>
    </row>
    <row r="884" spans="2:9" ht="15.75" customHeight="1" x14ac:dyDescent="0.25">
      <c r="B884" s="1"/>
      <c r="C884" s="1"/>
      <c r="D884" s="1"/>
      <c r="E884" s="1"/>
      <c r="F884" s="1"/>
      <c r="G884" s="1"/>
      <c r="H884" s="1"/>
      <c r="I884" s="1"/>
    </row>
    <row r="885" spans="2:9" ht="15.75" customHeight="1" x14ac:dyDescent="0.25">
      <c r="B885" s="1"/>
      <c r="C885" s="1"/>
      <c r="D885" s="1"/>
      <c r="E885" s="1"/>
      <c r="F885" s="1"/>
      <c r="G885" s="1"/>
      <c r="H885" s="1"/>
      <c r="I885" s="1"/>
    </row>
    <row r="886" spans="2:9" ht="15.75" customHeight="1" x14ac:dyDescent="0.25">
      <c r="B886" s="1"/>
      <c r="C886" s="1"/>
      <c r="D886" s="1"/>
      <c r="E886" s="1"/>
      <c r="F886" s="1"/>
      <c r="G886" s="1"/>
      <c r="H886" s="1"/>
      <c r="I886" s="1"/>
    </row>
    <row r="887" spans="2:9" ht="15.75" customHeight="1" x14ac:dyDescent="0.25">
      <c r="B887" s="1"/>
      <c r="C887" s="1"/>
      <c r="D887" s="1"/>
      <c r="E887" s="1"/>
      <c r="F887" s="1"/>
      <c r="G887" s="1"/>
      <c r="H887" s="1"/>
      <c r="I887" s="1"/>
    </row>
    <row r="888" spans="2:9" ht="15.75" customHeight="1" x14ac:dyDescent="0.25">
      <c r="B888" s="1"/>
      <c r="C888" s="1"/>
      <c r="D888" s="1"/>
      <c r="E888" s="1"/>
      <c r="F888" s="1"/>
      <c r="G888" s="1"/>
      <c r="H888" s="1"/>
      <c r="I888" s="1"/>
    </row>
    <row r="889" spans="2:9" ht="15.75" customHeight="1" x14ac:dyDescent="0.25">
      <c r="B889" s="1"/>
      <c r="C889" s="1"/>
      <c r="D889" s="1"/>
      <c r="E889" s="1"/>
      <c r="F889" s="1"/>
      <c r="G889" s="1"/>
      <c r="H889" s="1"/>
      <c r="I889" s="1"/>
    </row>
    <row r="890" spans="2:9" ht="15.75" customHeight="1" x14ac:dyDescent="0.25">
      <c r="B890" s="1"/>
      <c r="C890" s="1"/>
      <c r="D890" s="1"/>
      <c r="E890" s="1"/>
      <c r="F890" s="1"/>
      <c r="G890" s="1"/>
      <c r="H890" s="1"/>
      <c r="I890" s="1"/>
    </row>
    <row r="891" spans="2:9" ht="15.75" customHeight="1" x14ac:dyDescent="0.25">
      <c r="B891" s="1"/>
      <c r="C891" s="1"/>
      <c r="D891" s="1"/>
      <c r="E891" s="1"/>
      <c r="F891" s="1"/>
      <c r="G891" s="1"/>
      <c r="H891" s="1"/>
      <c r="I891" s="1"/>
    </row>
    <row r="892" spans="2:9" ht="15.75" customHeight="1" x14ac:dyDescent="0.25">
      <c r="B892" s="1"/>
      <c r="C892" s="1"/>
      <c r="D892" s="1"/>
      <c r="E892" s="1"/>
      <c r="F892" s="1"/>
      <c r="G892" s="1"/>
      <c r="H892" s="1"/>
      <c r="I892" s="1"/>
    </row>
    <row r="893" spans="2:9" ht="15.75" customHeight="1" x14ac:dyDescent="0.25">
      <c r="B893" s="1"/>
      <c r="C893" s="1"/>
      <c r="D893" s="1"/>
      <c r="E893" s="1"/>
      <c r="F893" s="1"/>
      <c r="G893" s="1"/>
      <c r="H893" s="1"/>
      <c r="I893" s="1"/>
    </row>
    <row r="894" spans="2:9" ht="15.75" customHeight="1" x14ac:dyDescent="0.25">
      <c r="B894" s="1"/>
      <c r="C894" s="1"/>
      <c r="D894" s="1"/>
      <c r="E894" s="1"/>
      <c r="F894" s="1"/>
      <c r="G894" s="1"/>
      <c r="H894" s="1"/>
      <c r="I894" s="1"/>
    </row>
    <row r="895" spans="2:9" ht="15.75" customHeight="1" x14ac:dyDescent="0.25">
      <c r="B895" s="1"/>
      <c r="C895" s="1"/>
      <c r="D895" s="1"/>
      <c r="E895" s="1"/>
      <c r="F895" s="1"/>
      <c r="G895" s="1"/>
      <c r="H895" s="1"/>
      <c r="I895" s="1"/>
    </row>
    <row r="896" spans="2:9" ht="15.75" customHeight="1" x14ac:dyDescent="0.25">
      <c r="B896" s="1"/>
      <c r="C896" s="1"/>
      <c r="D896" s="1"/>
      <c r="E896" s="1"/>
      <c r="F896" s="1"/>
      <c r="G896" s="1"/>
      <c r="H896" s="1"/>
      <c r="I896" s="1"/>
    </row>
    <row r="897" spans="2:9" ht="15.75" customHeight="1" x14ac:dyDescent="0.25">
      <c r="B897" s="1"/>
      <c r="C897" s="1"/>
      <c r="D897" s="1"/>
      <c r="E897" s="1"/>
      <c r="F897" s="1"/>
      <c r="G897" s="1"/>
      <c r="H897" s="1"/>
      <c r="I897" s="1"/>
    </row>
    <row r="898" spans="2:9" ht="15.75" customHeight="1" x14ac:dyDescent="0.25">
      <c r="B898" s="1"/>
      <c r="C898" s="1"/>
      <c r="D898" s="1"/>
      <c r="E898" s="1"/>
      <c r="F898" s="1"/>
      <c r="G898" s="1"/>
      <c r="H898" s="1"/>
      <c r="I898" s="1"/>
    </row>
    <row r="899" spans="2:9" ht="15.75" customHeight="1" x14ac:dyDescent="0.25">
      <c r="B899" s="1"/>
      <c r="C899" s="1"/>
      <c r="D899" s="1"/>
      <c r="E899" s="1"/>
      <c r="F899" s="1"/>
      <c r="G899" s="1"/>
      <c r="H899" s="1"/>
      <c r="I899" s="1"/>
    </row>
    <row r="900" spans="2:9" ht="15.75" customHeight="1" x14ac:dyDescent="0.25">
      <c r="B900" s="1"/>
      <c r="C900" s="1"/>
      <c r="D900" s="1"/>
      <c r="E900" s="1"/>
      <c r="F900" s="1"/>
      <c r="G900" s="1"/>
      <c r="H900" s="1"/>
      <c r="I900" s="1"/>
    </row>
    <row r="901" spans="2:9" ht="15.75" customHeight="1" x14ac:dyDescent="0.25">
      <c r="B901" s="1"/>
      <c r="C901" s="1"/>
      <c r="D901" s="1"/>
      <c r="E901" s="1"/>
      <c r="F901" s="1"/>
      <c r="G901" s="1"/>
      <c r="H901" s="1"/>
      <c r="I901" s="1"/>
    </row>
    <row r="902" spans="2:9" ht="15.75" customHeight="1" x14ac:dyDescent="0.25">
      <c r="B902" s="1"/>
      <c r="C902" s="1"/>
      <c r="D902" s="1"/>
      <c r="E902" s="1"/>
      <c r="F902" s="1"/>
      <c r="G902" s="1"/>
      <c r="H902" s="1"/>
      <c r="I902" s="1"/>
    </row>
    <row r="903" spans="2:9" ht="15.75" customHeight="1" x14ac:dyDescent="0.25">
      <c r="B903" s="1"/>
      <c r="C903" s="1"/>
      <c r="D903" s="1"/>
      <c r="E903" s="1"/>
      <c r="F903" s="1"/>
      <c r="G903" s="1"/>
      <c r="H903" s="1"/>
      <c r="I903" s="1"/>
    </row>
    <row r="904" spans="2:9" ht="15.75" customHeight="1" x14ac:dyDescent="0.25">
      <c r="B904" s="1"/>
      <c r="C904" s="1"/>
      <c r="D904" s="1"/>
      <c r="E904" s="1"/>
      <c r="F904" s="1"/>
      <c r="G904" s="1"/>
      <c r="H904" s="1"/>
      <c r="I904" s="1"/>
    </row>
    <row r="905" spans="2:9" ht="15.75" customHeight="1" x14ac:dyDescent="0.25">
      <c r="B905" s="1"/>
      <c r="C905" s="1"/>
      <c r="D905" s="1"/>
      <c r="E905" s="1"/>
      <c r="F905" s="1"/>
      <c r="G905" s="1"/>
      <c r="H905" s="1"/>
      <c r="I905" s="1"/>
    </row>
    <row r="906" spans="2:9" ht="15.75" customHeight="1" x14ac:dyDescent="0.25">
      <c r="B906" s="1"/>
      <c r="C906" s="1"/>
      <c r="D906" s="1"/>
      <c r="E906" s="1"/>
      <c r="F906" s="1"/>
      <c r="G906" s="1"/>
      <c r="H906" s="1"/>
      <c r="I906" s="1"/>
    </row>
    <row r="907" spans="2:9" ht="15.75" customHeight="1" x14ac:dyDescent="0.25">
      <c r="B907" s="1"/>
      <c r="C907" s="1"/>
      <c r="D907" s="1"/>
      <c r="E907" s="1"/>
      <c r="F907" s="1"/>
      <c r="G907" s="1"/>
      <c r="H907" s="1"/>
      <c r="I907" s="1"/>
    </row>
    <row r="908" spans="2:9" ht="15.75" customHeight="1" x14ac:dyDescent="0.25">
      <c r="B908" s="1"/>
      <c r="C908" s="1"/>
      <c r="D908" s="1"/>
      <c r="E908" s="1"/>
      <c r="F908" s="1"/>
      <c r="G908" s="1"/>
      <c r="H908" s="1"/>
      <c r="I908" s="1"/>
    </row>
    <row r="909" spans="2:9" ht="15.75" customHeight="1" x14ac:dyDescent="0.25">
      <c r="B909" s="1"/>
      <c r="C909" s="1"/>
      <c r="D909" s="1"/>
      <c r="E909" s="1"/>
      <c r="F909" s="1"/>
      <c r="G909" s="1"/>
      <c r="H909" s="1"/>
      <c r="I909" s="1"/>
    </row>
    <row r="910" spans="2:9" ht="15.75" customHeight="1" x14ac:dyDescent="0.25">
      <c r="B910" s="1"/>
      <c r="C910" s="1"/>
      <c r="D910" s="1"/>
      <c r="E910" s="1"/>
      <c r="F910" s="1"/>
      <c r="G910" s="1"/>
      <c r="H910" s="1"/>
      <c r="I910" s="1"/>
    </row>
    <row r="911" spans="2:9" ht="15.75" customHeight="1" x14ac:dyDescent="0.25">
      <c r="B911" s="1"/>
      <c r="C911" s="1"/>
      <c r="D911" s="1"/>
      <c r="E911" s="1"/>
      <c r="F911" s="1"/>
      <c r="G911" s="1"/>
      <c r="H911" s="1"/>
      <c r="I911" s="1"/>
    </row>
    <row r="912" spans="2:9" ht="15.75" customHeight="1" x14ac:dyDescent="0.25">
      <c r="B912" s="1"/>
      <c r="C912" s="1"/>
      <c r="D912" s="1"/>
      <c r="E912" s="1"/>
      <c r="F912" s="1"/>
      <c r="G912" s="1"/>
      <c r="H912" s="1"/>
      <c r="I912" s="1"/>
    </row>
    <row r="913" spans="2:9" ht="15.75" customHeight="1" x14ac:dyDescent="0.25">
      <c r="B913" s="1"/>
      <c r="C913" s="1"/>
      <c r="D913" s="1"/>
      <c r="E913" s="1"/>
      <c r="F913" s="1"/>
      <c r="G913" s="1"/>
      <c r="H913" s="1"/>
      <c r="I913" s="1"/>
    </row>
    <row r="914" spans="2:9" ht="15.75" customHeight="1" x14ac:dyDescent="0.25">
      <c r="B914" s="1"/>
      <c r="C914" s="1"/>
      <c r="D914" s="1"/>
      <c r="E914" s="1"/>
      <c r="F914" s="1"/>
      <c r="G914" s="1"/>
      <c r="H914" s="1"/>
      <c r="I914" s="1"/>
    </row>
    <row r="915" spans="2:9" ht="15.75" customHeight="1" x14ac:dyDescent="0.25">
      <c r="B915" s="1"/>
      <c r="C915" s="1"/>
      <c r="D915" s="1"/>
      <c r="E915" s="1"/>
      <c r="F915" s="1"/>
      <c r="G915" s="1"/>
      <c r="H915" s="1"/>
      <c r="I915" s="1"/>
    </row>
    <row r="916" spans="2:9" ht="15.75" customHeight="1" x14ac:dyDescent="0.25">
      <c r="B916" s="1"/>
      <c r="C916" s="1"/>
      <c r="D916" s="1"/>
      <c r="E916" s="1"/>
      <c r="F916" s="1"/>
      <c r="G916" s="1"/>
      <c r="H916" s="1"/>
      <c r="I916" s="1"/>
    </row>
    <row r="917" spans="2:9" ht="15.75" customHeight="1" x14ac:dyDescent="0.25">
      <c r="B917" s="1"/>
      <c r="C917" s="1"/>
      <c r="D917" s="1"/>
      <c r="E917" s="1"/>
      <c r="F917" s="1"/>
      <c r="G917" s="1"/>
      <c r="H917" s="1"/>
      <c r="I917" s="1"/>
    </row>
    <row r="918" spans="2:9" ht="15.75" customHeight="1" x14ac:dyDescent="0.25">
      <c r="B918" s="1"/>
      <c r="C918" s="1"/>
      <c r="D918" s="1"/>
      <c r="E918" s="1"/>
      <c r="F918" s="1"/>
      <c r="G918" s="1"/>
      <c r="H918" s="1"/>
      <c r="I918" s="1"/>
    </row>
    <row r="919" spans="2:9" ht="15.75" customHeight="1" x14ac:dyDescent="0.25">
      <c r="B919" s="1"/>
      <c r="C919" s="1"/>
      <c r="D919" s="1"/>
      <c r="E919" s="1"/>
      <c r="F919" s="1"/>
      <c r="G919" s="1"/>
      <c r="H919" s="1"/>
      <c r="I919" s="1"/>
    </row>
    <row r="920" spans="2:9" ht="15.75" customHeight="1" x14ac:dyDescent="0.25">
      <c r="B920" s="1"/>
      <c r="C920" s="1"/>
      <c r="D920" s="1"/>
      <c r="E920" s="1"/>
      <c r="F920" s="1"/>
      <c r="G920" s="1"/>
      <c r="H920" s="1"/>
      <c r="I920" s="1"/>
    </row>
    <row r="921" spans="2:9" ht="15.75" customHeight="1" x14ac:dyDescent="0.25">
      <c r="B921" s="1"/>
      <c r="C921" s="1"/>
      <c r="D921" s="1"/>
      <c r="E921" s="1"/>
      <c r="F921" s="1"/>
      <c r="G921" s="1"/>
      <c r="H921" s="1"/>
      <c r="I921" s="1"/>
    </row>
    <row r="922" spans="2:9" ht="15.75" customHeight="1" x14ac:dyDescent="0.25">
      <c r="B922" s="1"/>
      <c r="C922" s="1"/>
      <c r="D922" s="1"/>
      <c r="E922" s="1"/>
      <c r="F922" s="1"/>
      <c r="G922" s="1"/>
      <c r="H922" s="1"/>
      <c r="I922" s="1"/>
    </row>
    <row r="923" spans="2:9" ht="15.75" customHeight="1" x14ac:dyDescent="0.25">
      <c r="B923" s="1"/>
      <c r="C923" s="1"/>
      <c r="D923" s="1"/>
      <c r="E923" s="1"/>
      <c r="F923" s="1"/>
      <c r="G923" s="1"/>
      <c r="H923" s="1"/>
      <c r="I923" s="1"/>
    </row>
    <row r="924" spans="2:9" ht="15.75" customHeight="1" x14ac:dyDescent="0.25">
      <c r="B924" s="1"/>
      <c r="C924" s="1"/>
      <c r="D924" s="1"/>
      <c r="E924" s="1"/>
      <c r="F924" s="1"/>
      <c r="G924" s="1"/>
      <c r="H924" s="1"/>
      <c r="I924" s="1"/>
    </row>
    <row r="925" spans="2:9" ht="15.75" customHeight="1" x14ac:dyDescent="0.25">
      <c r="B925" s="1"/>
      <c r="C925" s="1"/>
      <c r="D925" s="1"/>
      <c r="E925" s="1"/>
      <c r="F925" s="1"/>
      <c r="G925" s="1"/>
      <c r="H925" s="1"/>
      <c r="I925" s="1"/>
    </row>
    <row r="926" spans="2:9" ht="15.75" customHeight="1" x14ac:dyDescent="0.25">
      <c r="B926" s="1"/>
      <c r="C926" s="1"/>
      <c r="D926" s="1"/>
      <c r="E926" s="1"/>
      <c r="F926" s="1"/>
      <c r="G926" s="1"/>
      <c r="H926" s="1"/>
      <c r="I926" s="1"/>
    </row>
    <row r="927" spans="2:9" ht="15.75" customHeight="1" x14ac:dyDescent="0.25">
      <c r="B927" s="1"/>
      <c r="C927" s="1"/>
      <c r="D927" s="1"/>
      <c r="E927" s="1"/>
      <c r="F927" s="1"/>
      <c r="G927" s="1"/>
      <c r="H927" s="1"/>
      <c r="I927" s="1"/>
    </row>
    <row r="928" spans="2:9" ht="15.75" customHeight="1" x14ac:dyDescent="0.25">
      <c r="B928" s="1"/>
      <c r="C928" s="1"/>
      <c r="D928" s="1"/>
      <c r="E928" s="1"/>
      <c r="F928" s="1"/>
      <c r="G928" s="1"/>
      <c r="H928" s="1"/>
      <c r="I928" s="1"/>
    </row>
    <row r="929" spans="2:9" ht="15.75" customHeight="1" x14ac:dyDescent="0.25">
      <c r="B929" s="1"/>
      <c r="C929" s="1"/>
      <c r="D929" s="1"/>
      <c r="E929" s="1"/>
      <c r="F929" s="1"/>
      <c r="G929" s="1"/>
      <c r="H929" s="1"/>
      <c r="I929" s="1"/>
    </row>
    <row r="930" spans="2:9" ht="15.75" customHeight="1" x14ac:dyDescent="0.25">
      <c r="B930" s="1"/>
      <c r="C930" s="1"/>
      <c r="D930" s="1"/>
      <c r="E930" s="1"/>
      <c r="F930" s="1"/>
      <c r="G930" s="1"/>
      <c r="H930" s="1"/>
      <c r="I930" s="1"/>
    </row>
    <row r="931" spans="2:9" ht="15.75" customHeight="1" x14ac:dyDescent="0.25">
      <c r="B931" s="1"/>
      <c r="C931" s="1"/>
      <c r="D931" s="1"/>
      <c r="E931" s="1"/>
      <c r="F931" s="1"/>
      <c r="G931" s="1"/>
      <c r="H931" s="1"/>
      <c r="I931" s="1"/>
    </row>
    <row r="932" spans="2:9" ht="15.75" customHeight="1" x14ac:dyDescent="0.25">
      <c r="B932" s="1"/>
      <c r="C932" s="1"/>
      <c r="D932" s="1"/>
      <c r="E932" s="1"/>
      <c r="F932" s="1"/>
      <c r="G932" s="1"/>
      <c r="H932" s="1"/>
      <c r="I932" s="1"/>
    </row>
    <row r="933" spans="2:9" ht="15.75" customHeight="1" x14ac:dyDescent="0.25">
      <c r="B933" s="1"/>
      <c r="C933" s="1"/>
      <c r="D933" s="1"/>
      <c r="E933" s="1"/>
      <c r="F933" s="1"/>
      <c r="G933" s="1"/>
      <c r="H933" s="1"/>
      <c r="I933" s="1"/>
    </row>
    <row r="934" spans="2:9" ht="15.75" customHeight="1" x14ac:dyDescent="0.25">
      <c r="B934" s="1"/>
      <c r="C934" s="1"/>
      <c r="D934" s="1"/>
      <c r="E934" s="1"/>
      <c r="F934" s="1"/>
      <c r="G934" s="1"/>
      <c r="H934" s="1"/>
      <c r="I934" s="1"/>
    </row>
    <row r="935" spans="2:9" ht="15.75" customHeight="1" x14ac:dyDescent="0.25">
      <c r="B935" s="1"/>
      <c r="C935" s="1"/>
      <c r="D935" s="1"/>
      <c r="E935" s="1"/>
      <c r="F935" s="1"/>
      <c r="G935" s="1"/>
      <c r="H935" s="1"/>
      <c r="I935" s="1"/>
    </row>
    <row r="936" spans="2:9" ht="15.75" customHeight="1" x14ac:dyDescent="0.25">
      <c r="B936" s="1"/>
      <c r="C936" s="1"/>
      <c r="D936" s="1"/>
      <c r="E936" s="1"/>
      <c r="F936" s="1"/>
      <c r="G936" s="1"/>
      <c r="H936" s="1"/>
      <c r="I936" s="1"/>
    </row>
    <row r="937" spans="2:9" ht="15.75" customHeight="1" x14ac:dyDescent="0.25">
      <c r="B937" s="1"/>
      <c r="C937" s="1"/>
      <c r="D937" s="1"/>
      <c r="E937" s="1"/>
      <c r="F937" s="1"/>
      <c r="G937" s="1"/>
      <c r="H937" s="1"/>
      <c r="I937" s="1"/>
    </row>
    <row r="938" spans="2:9" ht="15.75" customHeight="1" x14ac:dyDescent="0.25">
      <c r="B938" s="1"/>
      <c r="C938" s="1"/>
      <c r="D938" s="1"/>
      <c r="E938" s="1"/>
      <c r="F938" s="1"/>
      <c r="G938" s="1"/>
      <c r="H938" s="1"/>
      <c r="I938" s="1"/>
    </row>
    <row r="939" spans="2:9" ht="15.75" customHeight="1" x14ac:dyDescent="0.25">
      <c r="B939" s="1"/>
      <c r="C939" s="1"/>
      <c r="D939" s="1"/>
      <c r="E939" s="1"/>
      <c r="F939" s="1"/>
      <c r="G939" s="1"/>
      <c r="H939" s="1"/>
      <c r="I939" s="1"/>
    </row>
    <row r="940" spans="2:9" ht="15.75" customHeight="1" x14ac:dyDescent="0.25">
      <c r="B940" s="1"/>
      <c r="C940" s="1"/>
      <c r="D940" s="1"/>
      <c r="E940" s="1"/>
      <c r="F940" s="1"/>
      <c r="G940" s="1"/>
      <c r="H940" s="1"/>
      <c r="I940" s="1"/>
    </row>
    <row r="941" spans="2:9" ht="15.75" customHeight="1" x14ac:dyDescent="0.25">
      <c r="B941" s="1"/>
      <c r="C941" s="1"/>
      <c r="D941" s="1"/>
      <c r="E941" s="1"/>
      <c r="F941" s="1"/>
      <c r="G941" s="1"/>
      <c r="H941" s="1"/>
      <c r="I941" s="1"/>
    </row>
    <row r="942" spans="2:9" ht="15.75" customHeight="1" x14ac:dyDescent="0.25">
      <c r="B942" s="1"/>
      <c r="C942" s="1"/>
      <c r="D942" s="1"/>
      <c r="E942" s="1"/>
      <c r="F942" s="1"/>
      <c r="G942" s="1"/>
      <c r="H942" s="1"/>
      <c r="I942" s="1"/>
    </row>
    <row r="943" spans="2:9" ht="15.75" customHeight="1" x14ac:dyDescent="0.25">
      <c r="B943" s="1"/>
      <c r="C943" s="1"/>
      <c r="D943" s="1"/>
      <c r="E943" s="1"/>
      <c r="F943" s="1"/>
      <c r="G943" s="1"/>
      <c r="H943" s="1"/>
      <c r="I943" s="1"/>
    </row>
    <row r="944" spans="2:9" ht="15.75" customHeight="1" x14ac:dyDescent="0.25">
      <c r="B944" s="1"/>
      <c r="C944" s="1"/>
      <c r="D944" s="1"/>
      <c r="E944" s="1"/>
      <c r="F944" s="1"/>
      <c r="G944" s="1"/>
      <c r="H944" s="1"/>
      <c r="I944" s="1"/>
    </row>
    <row r="945" spans="2:9" ht="15.75" customHeight="1" x14ac:dyDescent="0.25">
      <c r="B945" s="1"/>
      <c r="C945" s="1"/>
      <c r="D945" s="1"/>
      <c r="E945" s="1"/>
      <c r="F945" s="1"/>
      <c r="G945" s="1"/>
      <c r="H945" s="1"/>
      <c r="I945" s="1"/>
    </row>
    <row r="946" spans="2:9" ht="15.75" customHeight="1" x14ac:dyDescent="0.25">
      <c r="B946" s="1"/>
      <c r="C946" s="1"/>
      <c r="D946" s="1"/>
      <c r="E946" s="1"/>
      <c r="F946" s="1"/>
      <c r="G946" s="1"/>
      <c r="H946" s="1"/>
      <c r="I946" s="1"/>
    </row>
    <row r="947" spans="2:9" ht="15.75" customHeight="1" x14ac:dyDescent="0.25">
      <c r="B947" s="1"/>
      <c r="C947" s="1"/>
      <c r="D947" s="1"/>
      <c r="E947" s="1"/>
      <c r="F947" s="1"/>
      <c r="G947" s="1"/>
      <c r="H947" s="1"/>
      <c r="I947" s="1"/>
    </row>
    <row r="948" spans="2:9" ht="15.75" customHeight="1" x14ac:dyDescent="0.25">
      <c r="B948" s="1"/>
      <c r="C948" s="1"/>
      <c r="D948" s="1"/>
      <c r="E948" s="1"/>
      <c r="F948" s="1"/>
      <c r="G948" s="1"/>
      <c r="H948" s="1"/>
      <c r="I948" s="1"/>
    </row>
    <row r="949" spans="2:9" ht="15.75" customHeight="1" x14ac:dyDescent="0.25">
      <c r="B949" s="1"/>
      <c r="C949" s="1"/>
      <c r="D949" s="1"/>
      <c r="E949" s="1"/>
      <c r="F949" s="1"/>
      <c r="G949" s="1"/>
      <c r="H949" s="1"/>
      <c r="I949" s="1"/>
    </row>
    <row r="950" spans="2:9" ht="15.75" customHeight="1" x14ac:dyDescent="0.25">
      <c r="B950" s="1"/>
      <c r="C950" s="1"/>
      <c r="D950" s="1"/>
      <c r="E950" s="1"/>
      <c r="F950" s="1"/>
      <c r="G950" s="1"/>
      <c r="H950" s="1"/>
      <c r="I950" s="1"/>
    </row>
    <row r="951" spans="2:9" ht="15.75" customHeight="1" x14ac:dyDescent="0.25">
      <c r="B951" s="1"/>
      <c r="C951" s="1"/>
      <c r="D951" s="1"/>
      <c r="E951" s="1"/>
      <c r="F951" s="1"/>
      <c r="G951" s="1"/>
      <c r="H951" s="1"/>
      <c r="I951" s="1"/>
    </row>
    <row r="952" spans="2:9" ht="15.75" customHeight="1" x14ac:dyDescent="0.25">
      <c r="B952" s="1"/>
      <c r="C952" s="1"/>
      <c r="D952" s="1"/>
      <c r="E952" s="1"/>
      <c r="F952" s="1"/>
      <c r="G952" s="1"/>
      <c r="H952" s="1"/>
      <c r="I952" s="1"/>
    </row>
    <row r="953" spans="2:9" ht="15.75" customHeight="1" x14ac:dyDescent="0.25">
      <c r="B953" s="1"/>
      <c r="C953" s="1"/>
      <c r="D953" s="1"/>
      <c r="E953" s="1"/>
      <c r="F953" s="1"/>
      <c r="G953" s="1"/>
      <c r="H953" s="1"/>
      <c r="I953" s="1"/>
    </row>
    <row r="954" spans="2:9" ht="15.75" customHeight="1" x14ac:dyDescent="0.25">
      <c r="B954" s="1"/>
      <c r="C954" s="1"/>
      <c r="D954" s="1"/>
      <c r="E954" s="1"/>
      <c r="F954" s="1"/>
      <c r="G954" s="1"/>
      <c r="H954" s="1"/>
      <c r="I954" s="1"/>
    </row>
    <row r="955" spans="2:9" ht="15.75" customHeight="1" x14ac:dyDescent="0.25">
      <c r="B955" s="1"/>
      <c r="C955" s="1"/>
      <c r="D955" s="1"/>
      <c r="E955" s="1"/>
      <c r="F955" s="1"/>
      <c r="G955" s="1"/>
      <c r="H955" s="1"/>
      <c r="I955" s="1"/>
    </row>
    <row r="956" spans="2:9" ht="15.75" customHeight="1" x14ac:dyDescent="0.25">
      <c r="B956" s="1"/>
      <c r="C956" s="1"/>
      <c r="D956" s="1"/>
      <c r="E956" s="1"/>
      <c r="F956" s="1"/>
      <c r="G956" s="1"/>
      <c r="H956" s="1"/>
      <c r="I956" s="1"/>
    </row>
    <row r="957" spans="2:9" ht="15.75" customHeight="1" x14ac:dyDescent="0.25">
      <c r="B957" s="1"/>
      <c r="C957" s="1"/>
      <c r="D957" s="1"/>
      <c r="E957" s="1"/>
      <c r="F957" s="1"/>
      <c r="G957" s="1"/>
      <c r="H957" s="1"/>
      <c r="I957" s="1"/>
    </row>
    <row r="958" spans="2:9" ht="15.75" customHeight="1" x14ac:dyDescent="0.25">
      <c r="B958" s="1"/>
      <c r="C958" s="1"/>
      <c r="D958" s="1"/>
      <c r="E958" s="1"/>
      <c r="F958" s="1"/>
      <c r="G958" s="1"/>
      <c r="H958" s="1"/>
      <c r="I958" s="1"/>
    </row>
    <row r="959" spans="2:9" ht="15.75" customHeight="1" x14ac:dyDescent="0.25">
      <c r="B959" s="1"/>
      <c r="C959" s="1"/>
      <c r="D959" s="1"/>
      <c r="E959" s="1"/>
      <c r="F959" s="1"/>
      <c r="G959" s="1"/>
      <c r="H959" s="1"/>
      <c r="I959" s="1"/>
    </row>
    <row r="960" spans="2:9" ht="15.75" customHeight="1" x14ac:dyDescent="0.25">
      <c r="B960" s="1"/>
      <c r="C960" s="1"/>
      <c r="D960" s="1"/>
      <c r="E960" s="1"/>
      <c r="F960" s="1"/>
      <c r="G960" s="1"/>
      <c r="H960" s="1"/>
      <c r="I960" s="1"/>
    </row>
    <row r="961" spans="2:9" ht="15.75" customHeight="1" x14ac:dyDescent="0.25">
      <c r="B961" s="1"/>
      <c r="C961" s="1"/>
      <c r="D961" s="1"/>
      <c r="E961" s="1"/>
      <c r="F961" s="1"/>
      <c r="G961" s="1"/>
      <c r="H961" s="1"/>
      <c r="I961" s="1"/>
    </row>
    <row r="962" spans="2:9" ht="15.75" customHeight="1" x14ac:dyDescent="0.25">
      <c r="B962" s="1"/>
      <c r="C962" s="1"/>
      <c r="D962" s="1"/>
      <c r="E962" s="1"/>
      <c r="F962" s="1"/>
      <c r="G962" s="1"/>
      <c r="H962" s="1"/>
      <c r="I962" s="1"/>
    </row>
    <row r="963" spans="2:9" ht="15.75" customHeight="1" x14ac:dyDescent="0.25">
      <c r="B963" s="1"/>
      <c r="C963" s="1"/>
      <c r="D963" s="1"/>
      <c r="E963" s="1"/>
      <c r="F963" s="1"/>
      <c r="G963" s="1"/>
      <c r="H963" s="1"/>
      <c r="I963" s="1"/>
    </row>
    <row r="964" spans="2:9" ht="15.75" customHeight="1" x14ac:dyDescent="0.25">
      <c r="B964" s="1"/>
      <c r="C964" s="1"/>
      <c r="D964" s="1"/>
      <c r="E964" s="1"/>
      <c r="F964" s="1"/>
      <c r="G964" s="1"/>
      <c r="H964" s="1"/>
      <c r="I964" s="1"/>
    </row>
    <row r="965" spans="2:9" ht="15.75" customHeight="1" x14ac:dyDescent="0.25">
      <c r="B965" s="1"/>
      <c r="C965" s="1"/>
      <c r="D965" s="1"/>
      <c r="E965" s="1"/>
      <c r="F965" s="1"/>
      <c r="G965" s="1"/>
      <c r="H965" s="1"/>
      <c r="I965" s="1"/>
    </row>
    <row r="966" spans="2:9" ht="15.75" customHeight="1" x14ac:dyDescent="0.25">
      <c r="B966" s="1"/>
      <c r="C966" s="1"/>
      <c r="D966" s="1"/>
      <c r="E966" s="1"/>
      <c r="F966" s="1"/>
      <c r="G966" s="1"/>
      <c r="H966" s="1"/>
      <c r="I966" s="1"/>
    </row>
    <row r="967" spans="2:9" ht="15.75" customHeight="1" x14ac:dyDescent="0.25">
      <c r="B967" s="1"/>
      <c r="C967" s="1"/>
      <c r="D967" s="1"/>
      <c r="E967" s="1"/>
      <c r="F967" s="1"/>
      <c r="G967" s="1"/>
      <c r="H967" s="1"/>
      <c r="I967" s="1"/>
    </row>
    <row r="968" spans="2:9" ht="15.75" customHeight="1" x14ac:dyDescent="0.25">
      <c r="B968" s="1"/>
      <c r="C968" s="1"/>
      <c r="D968" s="1"/>
      <c r="E968" s="1"/>
      <c r="F968" s="1"/>
      <c r="G968" s="1"/>
      <c r="H968" s="1"/>
      <c r="I968" s="1"/>
    </row>
    <row r="969" spans="2:9" ht="15.75" customHeight="1" x14ac:dyDescent="0.25">
      <c r="B969" s="1"/>
      <c r="C969" s="1"/>
      <c r="D969" s="1"/>
      <c r="E969" s="1"/>
      <c r="F969" s="1"/>
      <c r="G969" s="1"/>
      <c r="H969" s="1"/>
      <c r="I969" s="1"/>
    </row>
    <row r="970" spans="2:9" ht="15.75" customHeight="1" x14ac:dyDescent="0.25">
      <c r="B970" s="1"/>
      <c r="C970" s="1"/>
      <c r="D970" s="1"/>
      <c r="E970" s="1"/>
      <c r="F970" s="1"/>
      <c r="G970" s="1"/>
      <c r="H970" s="1"/>
      <c r="I970" s="1"/>
    </row>
    <row r="971" spans="2:9" ht="15.75" customHeight="1" x14ac:dyDescent="0.25">
      <c r="B971" s="1"/>
      <c r="C971" s="1"/>
      <c r="D971" s="1"/>
      <c r="E971" s="1"/>
      <c r="F971" s="1"/>
      <c r="G971" s="1"/>
      <c r="H971" s="1"/>
      <c r="I971" s="1"/>
    </row>
    <row r="972" spans="2:9" ht="15.75" customHeight="1" x14ac:dyDescent="0.25">
      <c r="B972" s="1"/>
      <c r="C972" s="1"/>
      <c r="D972" s="1"/>
      <c r="E972" s="1"/>
      <c r="F972" s="1"/>
      <c r="G972" s="1"/>
      <c r="H972" s="1"/>
      <c r="I972" s="1"/>
    </row>
    <row r="973" spans="2:9" ht="15.75" customHeight="1" x14ac:dyDescent="0.25">
      <c r="B973" s="1"/>
      <c r="C973" s="1"/>
      <c r="D973" s="1"/>
      <c r="E973" s="1"/>
      <c r="F973" s="1"/>
      <c r="G973" s="1"/>
      <c r="H973" s="1"/>
      <c r="I973" s="1"/>
    </row>
    <row r="974" spans="2:9" ht="15.75" customHeight="1" x14ac:dyDescent="0.25">
      <c r="B974" s="1"/>
      <c r="C974" s="1"/>
      <c r="D974" s="1"/>
      <c r="E974" s="1"/>
      <c r="F974" s="1"/>
      <c r="G974" s="1"/>
      <c r="H974" s="1"/>
      <c r="I974" s="1"/>
    </row>
    <row r="975" spans="2:9" ht="15.75" customHeight="1" x14ac:dyDescent="0.25">
      <c r="B975" s="1"/>
      <c r="C975" s="1"/>
      <c r="D975" s="1"/>
      <c r="E975" s="1"/>
      <c r="F975" s="1"/>
      <c r="G975" s="1"/>
      <c r="H975" s="1"/>
      <c r="I975" s="1"/>
    </row>
    <row r="976" spans="2:9" ht="15.75" customHeight="1" x14ac:dyDescent="0.25">
      <c r="B976" s="1"/>
      <c r="C976" s="1"/>
      <c r="D976" s="1"/>
      <c r="E976" s="1"/>
      <c r="F976" s="1"/>
      <c r="G976" s="1"/>
      <c r="H976" s="1"/>
      <c r="I976" s="1"/>
    </row>
    <row r="977" spans="2:9" ht="15.75" customHeight="1" x14ac:dyDescent="0.25">
      <c r="B977" s="1"/>
      <c r="C977" s="1"/>
      <c r="D977" s="1"/>
      <c r="E977" s="1"/>
      <c r="F977" s="1"/>
      <c r="G977" s="1"/>
      <c r="H977" s="1"/>
      <c r="I977" s="1"/>
    </row>
    <row r="978" spans="2:9" ht="15.75" customHeight="1" x14ac:dyDescent="0.25">
      <c r="B978" s="1"/>
      <c r="C978" s="1"/>
      <c r="D978" s="1"/>
      <c r="E978" s="1"/>
      <c r="F978" s="1"/>
      <c r="G978" s="1"/>
      <c r="H978" s="1"/>
      <c r="I978" s="1"/>
    </row>
    <row r="979" spans="2:9" ht="15.75" customHeight="1" x14ac:dyDescent="0.25">
      <c r="B979" s="1"/>
      <c r="C979" s="1"/>
      <c r="D979" s="1"/>
      <c r="E979" s="1"/>
      <c r="F979" s="1"/>
      <c r="G979" s="1"/>
      <c r="H979" s="1"/>
      <c r="I979" s="1"/>
    </row>
    <row r="980" spans="2:9" ht="15.75" customHeight="1" x14ac:dyDescent="0.25">
      <c r="B980" s="1"/>
      <c r="C980" s="1"/>
      <c r="D980" s="1"/>
      <c r="E980" s="1"/>
      <c r="F980" s="1"/>
      <c r="G980" s="1"/>
      <c r="H980" s="1"/>
      <c r="I980" s="1"/>
    </row>
    <row r="981" spans="2:9" ht="15.75" customHeight="1" x14ac:dyDescent="0.25">
      <c r="B981" s="1"/>
      <c r="C981" s="1"/>
      <c r="D981" s="1"/>
      <c r="E981" s="1"/>
      <c r="F981" s="1"/>
      <c r="G981" s="1"/>
      <c r="H981" s="1"/>
      <c r="I981" s="1"/>
    </row>
    <row r="982" spans="2:9" ht="15.75" customHeight="1" x14ac:dyDescent="0.25">
      <c r="B982" s="1"/>
      <c r="C982" s="1"/>
      <c r="D982" s="1"/>
      <c r="E982" s="1"/>
      <c r="F982" s="1"/>
      <c r="G982" s="1"/>
      <c r="H982" s="1"/>
      <c r="I982" s="1"/>
    </row>
    <row r="983" spans="2:9" ht="15.75" customHeight="1" x14ac:dyDescent="0.25">
      <c r="B983" s="1"/>
      <c r="C983" s="1"/>
      <c r="D983" s="1"/>
      <c r="E983" s="1"/>
      <c r="F983" s="1"/>
      <c r="G983" s="1"/>
      <c r="H983" s="1"/>
      <c r="I983" s="1"/>
    </row>
    <row r="984" spans="2:9" ht="15.75" customHeight="1" x14ac:dyDescent="0.25">
      <c r="B984" s="1"/>
      <c r="C984" s="1"/>
      <c r="D984" s="1"/>
      <c r="E984" s="1"/>
      <c r="F984" s="1"/>
      <c r="G984" s="1"/>
      <c r="H984" s="1"/>
      <c r="I984" s="1"/>
    </row>
    <row r="985" spans="2:9" ht="15.75" customHeight="1" x14ac:dyDescent="0.25">
      <c r="B985" s="1"/>
      <c r="C985" s="1"/>
      <c r="D985" s="1"/>
      <c r="E985" s="1"/>
      <c r="F985" s="1"/>
      <c r="G985" s="1"/>
      <c r="H985" s="1"/>
      <c r="I985" s="1"/>
    </row>
    <row r="986" spans="2:9" ht="15.75" customHeight="1" x14ac:dyDescent="0.25">
      <c r="B986" s="1"/>
      <c r="C986" s="1"/>
      <c r="D986" s="1"/>
      <c r="E986" s="1"/>
      <c r="F986" s="1"/>
      <c r="G986" s="1"/>
      <c r="H986" s="1"/>
      <c r="I986" s="1"/>
    </row>
    <row r="987" spans="2:9" ht="15.75" customHeight="1" x14ac:dyDescent="0.25">
      <c r="B987" s="1"/>
      <c r="C987" s="1"/>
      <c r="D987" s="1"/>
      <c r="E987" s="1"/>
      <c r="F987" s="1"/>
      <c r="G987" s="1"/>
      <c r="H987" s="1"/>
      <c r="I987" s="1"/>
    </row>
    <row r="988" spans="2:9" ht="15.75" customHeight="1" x14ac:dyDescent="0.25">
      <c r="B988" s="1"/>
      <c r="C988" s="1"/>
      <c r="D988" s="1"/>
      <c r="E988" s="1"/>
      <c r="F988" s="1"/>
      <c r="G988" s="1"/>
      <c r="H988" s="1"/>
      <c r="I988" s="1"/>
    </row>
    <row r="989" spans="2:9" ht="15.75" customHeight="1" x14ac:dyDescent="0.25">
      <c r="B989" s="1"/>
      <c r="C989" s="1"/>
      <c r="D989" s="1"/>
      <c r="E989" s="1"/>
      <c r="F989" s="1"/>
      <c r="G989" s="1"/>
      <c r="H989" s="1"/>
      <c r="I989" s="1"/>
    </row>
    <row r="990" spans="2:9" ht="15.75" customHeight="1" x14ac:dyDescent="0.25">
      <c r="B990" s="1"/>
      <c r="C990" s="1"/>
      <c r="D990" s="1"/>
      <c r="E990" s="1"/>
      <c r="F990" s="1"/>
      <c r="G990" s="1"/>
      <c r="H990" s="1"/>
      <c r="I990" s="1"/>
    </row>
    <row r="991" spans="2:9" ht="15.75" customHeight="1" x14ac:dyDescent="0.25">
      <c r="B991" s="1"/>
      <c r="C991" s="1"/>
      <c r="D991" s="1"/>
      <c r="E991" s="1"/>
      <c r="F991" s="1"/>
      <c r="G991" s="1"/>
      <c r="H991" s="1"/>
      <c r="I991" s="1"/>
    </row>
    <row r="992" spans="2:9" ht="15.75" customHeight="1" x14ac:dyDescent="0.25">
      <c r="B992" s="1"/>
      <c r="C992" s="1"/>
      <c r="D992" s="1"/>
      <c r="E992" s="1"/>
      <c r="F992" s="1"/>
      <c r="G992" s="1"/>
      <c r="H992" s="1"/>
      <c r="I992" s="1"/>
    </row>
    <row r="993" spans="2:9" ht="15.75" customHeight="1" x14ac:dyDescent="0.25">
      <c r="B993" s="1"/>
      <c r="C993" s="1"/>
      <c r="D993" s="1"/>
      <c r="E993" s="1"/>
      <c r="F993" s="1"/>
      <c r="G993" s="1"/>
      <c r="H993" s="1"/>
      <c r="I993" s="1"/>
    </row>
    <row r="994" spans="2:9" ht="15.75" customHeight="1" x14ac:dyDescent="0.25">
      <c r="B994" s="1"/>
      <c r="C994" s="1"/>
      <c r="D994" s="1"/>
      <c r="E994" s="1"/>
      <c r="F994" s="1"/>
      <c r="G994" s="1"/>
      <c r="H994" s="1"/>
      <c r="I994" s="1"/>
    </row>
    <row r="995" spans="2:9" ht="15.75" customHeight="1" x14ac:dyDescent="0.25">
      <c r="B995" s="1"/>
      <c r="C995" s="1"/>
      <c r="D995" s="1"/>
      <c r="E995" s="1"/>
      <c r="F995" s="1"/>
      <c r="G995" s="1"/>
      <c r="H995" s="1"/>
      <c r="I995" s="1"/>
    </row>
    <row r="996" spans="2:9" ht="15.75" customHeight="1" x14ac:dyDescent="0.25">
      <c r="B996" s="1"/>
      <c r="C996" s="1"/>
      <c r="D996" s="1"/>
      <c r="E996" s="1"/>
      <c r="F996" s="1"/>
      <c r="G996" s="1"/>
      <c r="H996" s="1"/>
      <c r="I996" s="1"/>
    </row>
    <row r="997" spans="2:9" ht="15.75" customHeight="1" x14ac:dyDescent="0.25">
      <c r="B997" s="1"/>
      <c r="C997" s="1"/>
      <c r="D997" s="1"/>
      <c r="E997" s="1"/>
      <c r="F997" s="1"/>
      <c r="G997" s="1"/>
      <c r="H997" s="1"/>
      <c r="I997" s="1"/>
    </row>
    <row r="998" spans="2:9" ht="15.75" customHeight="1" x14ac:dyDescent="0.25">
      <c r="B998" s="1"/>
      <c r="C998" s="1"/>
      <c r="D998" s="1"/>
      <c r="E998" s="1"/>
      <c r="F998" s="1"/>
      <c r="G998" s="1"/>
      <c r="H998" s="1"/>
      <c r="I998" s="1"/>
    </row>
    <row r="999" spans="2:9" ht="15.75" customHeight="1" x14ac:dyDescent="0.25">
      <c r="B999" s="1"/>
      <c r="C999" s="1"/>
      <c r="D999" s="1"/>
      <c r="E999" s="1"/>
      <c r="F999" s="1"/>
      <c r="G999" s="1"/>
      <c r="H999" s="1"/>
      <c r="I999" s="1"/>
    </row>
    <row r="1000" spans="2:9" ht="15.75" customHeight="1" x14ac:dyDescent="0.25">
      <c r="B1000" s="1"/>
      <c r="C1000" s="1"/>
      <c r="D1000" s="1"/>
      <c r="E1000" s="1"/>
      <c r="F1000" s="1"/>
      <c r="G1000" s="1"/>
      <c r="H1000" s="1"/>
      <c r="I1000" s="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000"/>
  <sheetViews>
    <sheetView topLeftCell="A151" workbookViewId="0">
      <selection activeCell="C21" sqref="C21"/>
    </sheetView>
  </sheetViews>
  <sheetFormatPr defaultColWidth="14.42578125" defaultRowHeight="15" customHeight="1" x14ac:dyDescent="0.25"/>
  <cols>
    <col min="1" max="1" width="10.7109375" customWidth="1"/>
    <col min="2" max="2" width="10.28515625" customWidth="1"/>
    <col min="3" max="3" width="98.85546875" customWidth="1"/>
    <col min="4" max="4" width="3.7109375" customWidth="1"/>
    <col min="5" max="5" width="8.28515625" customWidth="1"/>
    <col min="6" max="6" width="10" customWidth="1"/>
    <col min="7" max="7" width="14.28515625" customWidth="1"/>
    <col min="8" max="8" width="8.7109375" customWidth="1"/>
    <col min="9" max="9" width="13.28515625" customWidth="1"/>
    <col min="10" max="26" width="10.7109375" customWidth="1"/>
  </cols>
  <sheetData>
    <row r="1" spans="2:9" x14ac:dyDescent="0.25">
      <c r="B1" s="1"/>
      <c r="C1" s="1"/>
      <c r="D1" s="1"/>
      <c r="E1" s="1"/>
      <c r="F1" s="1"/>
      <c r="G1" s="2">
        <f>0+0+0+G3+0+0+0+0+0</f>
        <v>839612.58</v>
      </c>
      <c r="H1" s="1"/>
      <c r="I1" s="2">
        <f>0+0+0+I3+0+0+0+0+0</f>
        <v>27394.83</v>
      </c>
    </row>
    <row r="2" spans="2:9" ht="33.75" x14ac:dyDescent="0.25">
      <c r="B2" s="3" t="s">
        <v>3</v>
      </c>
      <c r="C2" s="3" t="s">
        <v>4</v>
      </c>
      <c r="D2" s="3" t="s">
        <v>5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</row>
    <row r="3" spans="2:9" x14ac:dyDescent="0.25">
      <c r="B3" s="2" t="s">
        <v>14</v>
      </c>
      <c r="C3" s="2" t="s">
        <v>7</v>
      </c>
      <c r="D3" s="1"/>
      <c r="E3" s="1"/>
      <c r="F3" s="1"/>
      <c r="G3" s="2">
        <v>839612.58</v>
      </c>
      <c r="H3" s="1"/>
      <c r="I3" s="2">
        <v>27394.83</v>
      </c>
    </row>
    <row r="4" spans="2:9" x14ac:dyDescent="0.25">
      <c r="B4" s="5" t="s">
        <v>16</v>
      </c>
      <c r="C4" s="5" t="s">
        <v>2460</v>
      </c>
      <c r="D4" s="1"/>
      <c r="E4" s="1"/>
      <c r="F4" s="1"/>
      <c r="G4" s="5">
        <v>498536.2</v>
      </c>
      <c r="H4" s="1"/>
      <c r="I4" s="5">
        <v>0</v>
      </c>
    </row>
    <row r="5" spans="2:9" x14ac:dyDescent="0.25">
      <c r="B5" s="7" t="s">
        <v>18</v>
      </c>
      <c r="C5" s="7" t="s">
        <v>2461</v>
      </c>
      <c r="D5" s="1"/>
      <c r="E5" s="1"/>
      <c r="F5" s="1"/>
      <c r="G5" s="7">
        <v>8200.86</v>
      </c>
      <c r="H5" s="1"/>
      <c r="I5" s="7">
        <v>0</v>
      </c>
    </row>
    <row r="6" spans="2:9" x14ac:dyDescent="0.25">
      <c r="B6" s="6" t="s">
        <v>455</v>
      </c>
      <c r="C6" s="6" t="s">
        <v>2462</v>
      </c>
      <c r="D6" s="6" t="s">
        <v>2463</v>
      </c>
      <c r="E6" s="6">
        <v>109.17</v>
      </c>
      <c r="F6" s="6">
        <v>2.4</v>
      </c>
      <c r="G6" s="6">
        <v>262.01</v>
      </c>
      <c r="H6" s="6">
        <v>0</v>
      </c>
      <c r="I6" s="6">
        <v>0</v>
      </c>
    </row>
    <row r="7" spans="2:9" x14ac:dyDescent="0.25">
      <c r="B7" s="6" t="s">
        <v>458</v>
      </c>
      <c r="C7" s="6" t="s">
        <v>2464</v>
      </c>
      <c r="D7" s="6" t="s">
        <v>2463</v>
      </c>
      <c r="E7" s="6">
        <v>109.17</v>
      </c>
      <c r="F7" s="6">
        <v>27.86</v>
      </c>
      <c r="G7" s="6">
        <v>3041.48</v>
      </c>
      <c r="H7" s="6">
        <v>0</v>
      </c>
      <c r="I7" s="6">
        <v>0</v>
      </c>
    </row>
    <row r="8" spans="2:9" x14ac:dyDescent="0.25">
      <c r="B8" s="6" t="s">
        <v>460</v>
      </c>
      <c r="C8" s="6" t="s">
        <v>2465</v>
      </c>
      <c r="D8" s="6" t="s">
        <v>2463</v>
      </c>
      <c r="E8" s="6">
        <v>109.17</v>
      </c>
      <c r="F8" s="6">
        <v>16.39</v>
      </c>
      <c r="G8" s="6">
        <v>1789.3</v>
      </c>
      <c r="H8" s="6">
        <v>0</v>
      </c>
      <c r="I8" s="6">
        <v>0</v>
      </c>
    </row>
    <row r="9" spans="2:9" x14ac:dyDescent="0.25">
      <c r="B9" s="6" t="s">
        <v>462</v>
      </c>
      <c r="C9" s="6" t="s">
        <v>2466</v>
      </c>
      <c r="D9" s="6" t="s">
        <v>2463</v>
      </c>
      <c r="E9" s="6">
        <v>109.17</v>
      </c>
      <c r="F9" s="6">
        <v>14.43</v>
      </c>
      <c r="G9" s="6">
        <v>1575.32</v>
      </c>
      <c r="H9" s="6">
        <v>0</v>
      </c>
      <c r="I9" s="6">
        <v>0</v>
      </c>
    </row>
    <row r="10" spans="2:9" x14ac:dyDescent="0.25">
      <c r="B10" s="6" t="s">
        <v>464</v>
      </c>
      <c r="C10" s="6" t="s">
        <v>2467</v>
      </c>
      <c r="D10" s="6" t="s">
        <v>2463</v>
      </c>
      <c r="E10" s="6">
        <v>109.17</v>
      </c>
      <c r="F10" s="6">
        <v>14.04</v>
      </c>
      <c r="G10" s="6">
        <v>1532.75</v>
      </c>
      <c r="H10" s="6">
        <v>0</v>
      </c>
      <c r="I10" s="6">
        <v>0</v>
      </c>
    </row>
    <row r="11" spans="2:9" x14ac:dyDescent="0.25">
      <c r="B11" s="7" t="s">
        <v>21</v>
      </c>
      <c r="C11" s="7" t="s">
        <v>2468</v>
      </c>
      <c r="D11" s="1"/>
      <c r="E11" s="1"/>
      <c r="F11" s="1"/>
      <c r="G11" s="7">
        <v>59082.53</v>
      </c>
      <c r="H11" s="1"/>
      <c r="I11" s="7">
        <v>0</v>
      </c>
    </row>
    <row r="12" spans="2:9" x14ac:dyDescent="0.25">
      <c r="B12" s="6" t="s">
        <v>145</v>
      </c>
      <c r="C12" s="6" t="s">
        <v>2469</v>
      </c>
      <c r="D12" s="6" t="s">
        <v>34</v>
      </c>
      <c r="E12" s="6">
        <v>50.17</v>
      </c>
      <c r="F12" s="6">
        <v>79.239999999999995</v>
      </c>
      <c r="G12" s="6">
        <v>3975.47</v>
      </c>
      <c r="H12" s="6">
        <v>0</v>
      </c>
      <c r="I12" s="6">
        <v>0</v>
      </c>
    </row>
    <row r="13" spans="2:9" x14ac:dyDescent="0.25">
      <c r="B13" s="6" t="s">
        <v>478</v>
      </c>
      <c r="C13" s="6" t="s">
        <v>2470</v>
      </c>
      <c r="D13" s="6" t="s">
        <v>34</v>
      </c>
      <c r="E13" s="6">
        <v>67.44</v>
      </c>
      <c r="F13" s="6">
        <v>30.05</v>
      </c>
      <c r="G13" s="6">
        <v>2026.57</v>
      </c>
      <c r="H13" s="6">
        <v>0</v>
      </c>
      <c r="I13" s="6">
        <v>0</v>
      </c>
    </row>
    <row r="14" spans="2:9" x14ac:dyDescent="0.25">
      <c r="B14" s="6" t="s">
        <v>479</v>
      </c>
      <c r="C14" s="6" t="s">
        <v>2471</v>
      </c>
      <c r="D14" s="6" t="s">
        <v>34</v>
      </c>
      <c r="E14" s="6">
        <v>56.44</v>
      </c>
      <c r="F14" s="6">
        <v>42.62</v>
      </c>
      <c r="G14" s="6">
        <v>2405.4699999999998</v>
      </c>
      <c r="H14" s="6">
        <v>0</v>
      </c>
      <c r="I14" s="6">
        <v>0</v>
      </c>
    </row>
    <row r="15" spans="2:9" x14ac:dyDescent="0.25">
      <c r="B15" s="6" t="s">
        <v>480</v>
      </c>
      <c r="C15" s="6" t="s">
        <v>2472</v>
      </c>
      <c r="D15" s="6" t="s">
        <v>34</v>
      </c>
      <c r="E15" s="6">
        <v>45.66</v>
      </c>
      <c r="F15" s="6">
        <v>52.46</v>
      </c>
      <c r="G15" s="6">
        <v>2395.3200000000002</v>
      </c>
      <c r="H15" s="6">
        <v>0</v>
      </c>
      <c r="I15" s="6">
        <v>0</v>
      </c>
    </row>
    <row r="16" spans="2:9" x14ac:dyDescent="0.25">
      <c r="B16" s="6" t="s">
        <v>481</v>
      </c>
      <c r="C16" s="6" t="s">
        <v>2473</v>
      </c>
      <c r="D16" s="6" t="s">
        <v>34</v>
      </c>
      <c r="E16" s="6">
        <v>83.22</v>
      </c>
      <c r="F16" s="6">
        <v>103.83</v>
      </c>
      <c r="G16" s="6">
        <v>8640.73</v>
      </c>
      <c r="H16" s="6">
        <v>0</v>
      </c>
      <c r="I16" s="6">
        <v>0</v>
      </c>
    </row>
    <row r="17" spans="2:9" x14ac:dyDescent="0.25">
      <c r="B17" s="6" t="s">
        <v>482</v>
      </c>
      <c r="C17" s="6" t="s">
        <v>2474</v>
      </c>
      <c r="D17" s="6" t="s">
        <v>34</v>
      </c>
      <c r="E17" s="6">
        <v>876</v>
      </c>
      <c r="F17" s="6">
        <v>24.04</v>
      </c>
      <c r="G17" s="6">
        <v>21059.040000000001</v>
      </c>
      <c r="H17" s="6">
        <v>0</v>
      </c>
      <c r="I17" s="6">
        <v>0</v>
      </c>
    </row>
    <row r="18" spans="2:9" x14ac:dyDescent="0.25">
      <c r="B18" s="6" t="s">
        <v>484</v>
      </c>
      <c r="C18" s="6" t="s">
        <v>2475</v>
      </c>
      <c r="D18" s="6" t="s">
        <v>34</v>
      </c>
      <c r="E18" s="6">
        <v>41</v>
      </c>
      <c r="F18" s="6">
        <v>37.159999999999997</v>
      </c>
      <c r="G18" s="6">
        <v>1523.56</v>
      </c>
      <c r="H18" s="6">
        <v>0</v>
      </c>
      <c r="I18" s="6">
        <v>0</v>
      </c>
    </row>
    <row r="19" spans="2:9" x14ac:dyDescent="0.25">
      <c r="B19" s="6" t="s">
        <v>486</v>
      </c>
      <c r="C19" s="6" t="s">
        <v>2476</v>
      </c>
      <c r="D19" s="6" t="s">
        <v>34</v>
      </c>
      <c r="E19" s="6">
        <v>12</v>
      </c>
      <c r="F19" s="6">
        <v>44.8</v>
      </c>
      <c r="G19" s="6">
        <v>537.6</v>
      </c>
      <c r="H19" s="6">
        <v>0</v>
      </c>
      <c r="I19" s="6">
        <v>0</v>
      </c>
    </row>
    <row r="20" spans="2:9" x14ac:dyDescent="0.25">
      <c r="B20" s="6" t="s">
        <v>488</v>
      </c>
      <c r="C20" s="6" t="s">
        <v>2477</v>
      </c>
      <c r="D20" s="6" t="s">
        <v>34</v>
      </c>
      <c r="E20" s="6">
        <v>234</v>
      </c>
      <c r="F20" s="6">
        <v>11.47</v>
      </c>
      <c r="G20" s="6">
        <v>2683.98</v>
      </c>
      <c r="H20" s="6">
        <v>0</v>
      </c>
      <c r="I20" s="6">
        <v>0</v>
      </c>
    </row>
    <row r="21" spans="2:9" ht="15.75" customHeight="1" x14ac:dyDescent="0.25">
      <c r="B21" s="6" t="s">
        <v>490</v>
      </c>
      <c r="C21" s="6" t="s">
        <v>2478</v>
      </c>
      <c r="D21" s="6" t="s">
        <v>34</v>
      </c>
      <c r="E21" s="6">
        <v>56</v>
      </c>
      <c r="F21" s="6">
        <v>24.04</v>
      </c>
      <c r="G21" s="6">
        <v>1346.24</v>
      </c>
      <c r="H21" s="6">
        <v>0</v>
      </c>
      <c r="I21" s="6">
        <v>0</v>
      </c>
    </row>
    <row r="22" spans="2:9" ht="15.75" customHeight="1" x14ac:dyDescent="0.25">
      <c r="B22" s="6" t="s">
        <v>492</v>
      </c>
      <c r="C22" s="6" t="s">
        <v>2479</v>
      </c>
      <c r="D22" s="6" t="s">
        <v>34</v>
      </c>
      <c r="E22" s="6">
        <v>65.33</v>
      </c>
      <c r="F22" s="6">
        <v>56.82</v>
      </c>
      <c r="G22" s="6">
        <v>3712.05</v>
      </c>
      <c r="H22" s="6">
        <v>0</v>
      </c>
      <c r="I22" s="6">
        <v>0</v>
      </c>
    </row>
    <row r="23" spans="2:9" ht="15.75" customHeight="1" x14ac:dyDescent="0.25">
      <c r="B23" s="6" t="s">
        <v>2480</v>
      </c>
      <c r="C23" s="6" t="s">
        <v>2481</v>
      </c>
      <c r="D23" s="6" t="s">
        <v>34</v>
      </c>
      <c r="E23" s="6">
        <v>10</v>
      </c>
      <c r="F23" s="6">
        <v>56.82</v>
      </c>
      <c r="G23" s="6">
        <v>568.20000000000005</v>
      </c>
      <c r="H23" s="6">
        <v>0</v>
      </c>
      <c r="I23" s="6">
        <v>0</v>
      </c>
    </row>
    <row r="24" spans="2:9" ht="15.75" customHeight="1" x14ac:dyDescent="0.25">
      <c r="B24" s="6" t="s">
        <v>2482</v>
      </c>
      <c r="C24" s="6" t="s">
        <v>2483</v>
      </c>
      <c r="D24" s="6" t="s">
        <v>34</v>
      </c>
      <c r="E24" s="6">
        <v>56.33</v>
      </c>
      <c r="F24" s="6">
        <v>45.9</v>
      </c>
      <c r="G24" s="6">
        <v>2585.5500000000002</v>
      </c>
      <c r="H24" s="6">
        <v>0</v>
      </c>
      <c r="I24" s="6">
        <v>0</v>
      </c>
    </row>
    <row r="25" spans="2:9" ht="15.75" customHeight="1" x14ac:dyDescent="0.25">
      <c r="B25" s="6" t="s">
        <v>2484</v>
      </c>
      <c r="C25" s="6" t="s">
        <v>2485</v>
      </c>
      <c r="D25" s="6" t="s">
        <v>34</v>
      </c>
      <c r="E25" s="6">
        <v>122.5</v>
      </c>
      <c r="F25" s="6">
        <v>45.9</v>
      </c>
      <c r="G25" s="6">
        <v>5622.75</v>
      </c>
      <c r="H25" s="6">
        <v>0</v>
      </c>
      <c r="I25" s="6">
        <v>0</v>
      </c>
    </row>
    <row r="26" spans="2:9" ht="15.75" customHeight="1" x14ac:dyDescent="0.25">
      <c r="B26" s="7" t="s">
        <v>23</v>
      </c>
      <c r="C26" s="7" t="s">
        <v>2486</v>
      </c>
      <c r="D26" s="1"/>
      <c r="E26" s="1"/>
      <c r="F26" s="1"/>
      <c r="G26" s="7">
        <v>302525.84999999998</v>
      </c>
      <c r="H26" s="1"/>
      <c r="I26" s="7">
        <v>0</v>
      </c>
    </row>
    <row r="27" spans="2:9" ht="15.75" customHeight="1" x14ac:dyDescent="0.25">
      <c r="B27" s="6" t="s">
        <v>495</v>
      </c>
      <c r="C27" s="6" t="s">
        <v>2487</v>
      </c>
      <c r="D27" s="6" t="s">
        <v>34</v>
      </c>
      <c r="E27" s="6">
        <v>963.71</v>
      </c>
      <c r="F27" s="6">
        <v>24.04</v>
      </c>
      <c r="G27" s="6">
        <v>23167.59</v>
      </c>
      <c r="H27" s="6">
        <v>0</v>
      </c>
      <c r="I27" s="6">
        <v>0</v>
      </c>
    </row>
    <row r="28" spans="2:9" ht="15.75" customHeight="1" x14ac:dyDescent="0.25">
      <c r="B28" s="6" t="s">
        <v>497</v>
      </c>
      <c r="C28" s="6" t="s">
        <v>2488</v>
      </c>
      <c r="D28" s="6" t="s">
        <v>34</v>
      </c>
      <c r="E28" s="6">
        <v>604.35</v>
      </c>
      <c r="F28" s="6">
        <v>42.62</v>
      </c>
      <c r="G28" s="6">
        <v>25757.4</v>
      </c>
      <c r="H28" s="6">
        <v>0</v>
      </c>
      <c r="I28" s="6">
        <v>0</v>
      </c>
    </row>
    <row r="29" spans="2:9" ht="15.75" customHeight="1" x14ac:dyDescent="0.25">
      <c r="B29" s="6" t="s">
        <v>499</v>
      </c>
      <c r="C29" s="6" t="s">
        <v>2489</v>
      </c>
      <c r="D29" s="6" t="s">
        <v>34</v>
      </c>
      <c r="E29" s="6">
        <v>2049.63</v>
      </c>
      <c r="F29" s="6">
        <v>44.8</v>
      </c>
      <c r="G29" s="6">
        <v>91823.42</v>
      </c>
      <c r="H29" s="6">
        <v>0</v>
      </c>
      <c r="I29" s="6">
        <v>0</v>
      </c>
    </row>
    <row r="30" spans="2:9" ht="15.75" customHeight="1" x14ac:dyDescent="0.25">
      <c r="B30" s="6" t="s">
        <v>2490</v>
      </c>
      <c r="C30" s="6" t="s">
        <v>2491</v>
      </c>
      <c r="D30" s="6" t="s">
        <v>34</v>
      </c>
      <c r="E30" s="6">
        <v>2231.2399999999998</v>
      </c>
      <c r="F30" s="6">
        <v>24.04</v>
      </c>
      <c r="G30" s="6">
        <v>53639.01</v>
      </c>
      <c r="H30" s="6">
        <v>0</v>
      </c>
      <c r="I30" s="6">
        <v>0</v>
      </c>
    </row>
    <row r="31" spans="2:9" ht="15.75" customHeight="1" x14ac:dyDescent="0.25">
      <c r="B31" s="6" t="s">
        <v>2492</v>
      </c>
      <c r="C31" s="6" t="s">
        <v>2493</v>
      </c>
      <c r="D31" s="6" t="s">
        <v>34</v>
      </c>
      <c r="E31" s="6">
        <v>469.7</v>
      </c>
      <c r="F31" s="6">
        <v>42.62</v>
      </c>
      <c r="G31" s="6">
        <v>20018.61</v>
      </c>
      <c r="H31" s="6">
        <v>0</v>
      </c>
      <c r="I31" s="6">
        <v>0</v>
      </c>
    </row>
    <row r="32" spans="2:9" ht="15.75" customHeight="1" x14ac:dyDescent="0.25">
      <c r="B32" s="6" t="s">
        <v>2494</v>
      </c>
      <c r="C32" s="6" t="s">
        <v>2495</v>
      </c>
      <c r="D32" s="6" t="s">
        <v>34</v>
      </c>
      <c r="E32" s="6">
        <v>1806.64</v>
      </c>
      <c r="F32" s="6">
        <v>44.8</v>
      </c>
      <c r="G32" s="6">
        <v>80937.47</v>
      </c>
      <c r="H32" s="6">
        <v>0</v>
      </c>
      <c r="I32" s="6">
        <v>0</v>
      </c>
    </row>
    <row r="33" spans="2:9" ht="15.75" customHeight="1" x14ac:dyDescent="0.25">
      <c r="B33" s="6" t="s">
        <v>2496</v>
      </c>
      <c r="C33" s="6" t="s">
        <v>2497</v>
      </c>
      <c r="D33" s="6" t="s">
        <v>34</v>
      </c>
      <c r="E33" s="6">
        <v>60.9</v>
      </c>
      <c r="F33" s="6">
        <v>56.82</v>
      </c>
      <c r="G33" s="6">
        <v>3460.34</v>
      </c>
      <c r="H33" s="6">
        <v>0</v>
      </c>
      <c r="I33" s="6">
        <v>0</v>
      </c>
    </row>
    <row r="34" spans="2:9" ht="15.75" customHeight="1" x14ac:dyDescent="0.25">
      <c r="B34" s="6" t="s">
        <v>2498</v>
      </c>
      <c r="C34" s="6" t="s">
        <v>2499</v>
      </c>
      <c r="D34" s="6" t="s">
        <v>34</v>
      </c>
      <c r="E34" s="6">
        <v>5</v>
      </c>
      <c r="F34" s="6">
        <v>56.82</v>
      </c>
      <c r="G34" s="6">
        <v>284.10000000000002</v>
      </c>
      <c r="H34" s="6">
        <v>0</v>
      </c>
      <c r="I34" s="6">
        <v>0</v>
      </c>
    </row>
    <row r="35" spans="2:9" ht="15.75" customHeight="1" x14ac:dyDescent="0.25">
      <c r="B35" s="6" t="s">
        <v>2500</v>
      </c>
      <c r="C35" s="6" t="s">
        <v>2501</v>
      </c>
      <c r="D35" s="6" t="s">
        <v>34</v>
      </c>
      <c r="E35" s="6">
        <v>59.9</v>
      </c>
      <c r="F35" s="6">
        <v>45.9</v>
      </c>
      <c r="G35" s="6">
        <v>2749.41</v>
      </c>
      <c r="H35" s="6">
        <v>0</v>
      </c>
      <c r="I35" s="6">
        <v>0</v>
      </c>
    </row>
    <row r="36" spans="2:9" ht="15.75" customHeight="1" x14ac:dyDescent="0.25">
      <c r="B36" s="6" t="s">
        <v>2502</v>
      </c>
      <c r="C36" s="6" t="s">
        <v>2503</v>
      </c>
      <c r="D36" s="6" t="s">
        <v>34</v>
      </c>
      <c r="E36" s="6">
        <v>15</v>
      </c>
      <c r="F36" s="6">
        <v>45.9</v>
      </c>
      <c r="G36" s="6">
        <v>688.5</v>
      </c>
      <c r="H36" s="6">
        <v>0</v>
      </c>
      <c r="I36" s="6">
        <v>0</v>
      </c>
    </row>
    <row r="37" spans="2:9" ht="15.75" customHeight="1" x14ac:dyDescent="0.25">
      <c r="B37" s="7" t="s">
        <v>26</v>
      </c>
      <c r="C37" s="7" t="s">
        <v>2504</v>
      </c>
      <c r="D37" s="1"/>
      <c r="E37" s="1"/>
      <c r="F37" s="1"/>
      <c r="G37" s="7">
        <v>62813.120000000003</v>
      </c>
      <c r="H37" s="1"/>
      <c r="I37" s="7">
        <v>0</v>
      </c>
    </row>
    <row r="38" spans="2:9" ht="15.75" customHeight="1" x14ac:dyDescent="0.25">
      <c r="B38" s="6" t="s">
        <v>2505</v>
      </c>
      <c r="C38" s="6" t="s">
        <v>2506</v>
      </c>
      <c r="D38" s="6" t="s">
        <v>2507</v>
      </c>
      <c r="E38" s="6">
        <v>374</v>
      </c>
      <c r="F38" s="6">
        <v>63.38</v>
      </c>
      <c r="G38" s="6">
        <v>23704.12</v>
      </c>
      <c r="H38" s="6">
        <v>0</v>
      </c>
      <c r="I38" s="6">
        <v>0</v>
      </c>
    </row>
    <row r="39" spans="2:9" ht="15.75" customHeight="1" x14ac:dyDescent="0.25">
      <c r="B39" s="6" t="s">
        <v>2508</v>
      </c>
      <c r="C39" s="6" t="s">
        <v>2509</v>
      </c>
      <c r="D39" s="6" t="s">
        <v>2507</v>
      </c>
      <c r="E39" s="6">
        <v>150</v>
      </c>
      <c r="F39" s="6">
        <v>71.040000000000006</v>
      </c>
      <c r="G39" s="6">
        <v>10656</v>
      </c>
      <c r="H39" s="6">
        <v>0</v>
      </c>
      <c r="I39" s="6">
        <v>0</v>
      </c>
    </row>
    <row r="40" spans="2:9" ht="15.75" customHeight="1" x14ac:dyDescent="0.25">
      <c r="B40" s="6" t="s">
        <v>2510</v>
      </c>
      <c r="C40" s="6" t="s">
        <v>2511</v>
      </c>
      <c r="D40" s="6" t="s">
        <v>2507</v>
      </c>
      <c r="E40" s="6">
        <v>351</v>
      </c>
      <c r="F40" s="6">
        <v>61.2</v>
      </c>
      <c r="G40" s="6">
        <v>21481.200000000001</v>
      </c>
      <c r="H40" s="6">
        <v>0</v>
      </c>
      <c r="I40" s="6">
        <v>0</v>
      </c>
    </row>
    <row r="41" spans="2:9" ht="15.75" customHeight="1" x14ac:dyDescent="0.25">
      <c r="B41" s="6" t="s">
        <v>2512</v>
      </c>
      <c r="C41" s="6" t="s">
        <v>2513</v>
      </c>
      <c r="D41" s="6" t="s">
        <v>2507</v>
      </c>
      <c r="E41" s="6">
        <v>110</v>
      </c>
      <c r="F41" s="6">
        <v>63.38</v>
      </c>
      <c r="G41" s="6">
        <v>6971.8</v>
      </c>
      <c r="H41" s="6">
        <v>0</v>
      </c>
      <c r="I41" s="6">
        <v>0</v>
      </c>
    </row>
    <row r="42" spans="2:9" ht="15.75" customHeight="1" x14ac:dyDescent="0.25">
      <c r="B42" s="7" t="s">
        <v>28</v>
      </c>
      <c r="C42" s="7" t="s">
        <v>2514</v>
      </c>
      <c r="D42" s="1"/>
      <c r="E42" s="1"/>
      <c r="F42" s="1"/>
      <c r="G42" s="7">
        <v>54262.83</v>
      </c>
      <c r="H42" s="1"/>
      <c r="I42" s="7">
        <v>0</v>
      </c>
    </row>
    <row r="43" spans="2:9" ht="15.75" customHeight="1" x14ac:dyDescent="0.25">
      <c r="B43" s="6" t="s">
        <v>2515</v>
      </c>
      <c r="C43" s="6" t="s">
        <v>2516</v>
      </c>
      <c r="D43" s="6" t="s">
        <v>112</v>
      </c>
      <c r="E43" s="6">
        <v>393</v>
      </c>
      <c r="F43" s="6">
        <v>25.14</v>
      </c>
      <c r="G43" s="6">
        <v>9880.02</v>
      </c>
      <c r="H43" s="6">
        <v>0</v>
      </c>
      <c r="I43" s="6">
        <v>0</v>
      </c>
    </row>
    <row r="44" spans="2:9" ht="15.75" customHeight="1" x14ac:dyDescent="0.25">
      <c r="B44" s="6" t="s">
        <v>2517</v>
      </c>
      <c r="C44" s="6" t="s">
        <v>2518</v>
      </c>
      <c r="D44" s="6" t="s">
        <v>112</v>
      </c>
      <c r="E44" s="6">
        <v>111</v>
      </c>
      <c r="F44" s="6">
        <v>117.28</v>
      </c>
      <c r="G44" s="6">
        <v>13018.08</v>
      </c>
      <c r="H44" s="6">
        <v>0</v>
      </c>
      <c r="I44" s="6">
        <v>0</v>
      </c>
    </row>
    <row r="45" spans="2:9" ht="15.75" customHeight="1" x14ac:dyDescent="0.25">
      <c r="B45" s="6" t="s">
        <v>2519</v>
      </c>
      <c r="C45" s="6" t="s">
        <v>2520</v>
      </c>
      <c r="D45" s="6" t="s">
        <v>112</v>
      </c>
      <c r="E45" s="6">
        <v>6</v>
      </c>
      <c r="F45" s="6">
        <v>34.97</v>
      </c>
      <c r="G45" s="6">
        <v>209.82</v>
      </c>
      <c r="H45" s="6">
        <v>0</v>
      </c>
      <c r="I45" s="6">
        <v>0</v>
      </c>
    </row>
    <row r="46" spans="2:9" ht="15.75" customHeight="1" x14ac:dyDescent="0.25">
      <c r="B46" s="6" t="s">
        <v>2521</v>
      </c>
      <c r="C46" s="6" t="s">
        <v>2522</v>
      </c>
      <c r="D46" s="6" t="s">
        <v>112</v>
      </c>
      <c r="E46" s="6">
        <v>286</v>
      </c>
      <c r="F46" s="6">
        <v>25.14</v>
      </c>
      <c r="G46" s="6">
        <v>7190.04</v>
      </c>
      <c r="H46" s="6">
        <v>0</v>
      </c>
      <c r="I46" s="6">
        <v>0</v>
      </c>
    </row>
    <row r="47" spans="2:9" ht="15.75" customHeight="1" x14ac:dyDescent="0.25">
      <c r="B47" s="6" t="s">
        <v>2523</v>
      </c>
      <c r="C47" s="6" t="s">
        <v>2524</v>
      </c>
      <c r="D47" s="6" t="s">
        <v>112</v>
      </c>
      <c r="E47" s="6">
        <v>3</v>
      </c>
      <c r="F47" s="6">
        <v>34.97</v>
      </c>
      <c r="G47" s="6">
        <v>104.91</v>
      </c>
      <c r="H47" s="6">
        <v>0</v>
      </c>
      <c r="I47" s="6">
        <v>0</v>
      </c>
    </row>
    <row r="48" spans="2:9" ht="15.75" customHeight="1" x14ac:dyDescent="0.25">
      <c r="B48" s="6" t="s">
        <v>2525</v>
      </c>
      <c r="C48" s="6" t="s">
        <v>2526</v>
      </c>
      <c r="D48" s="6" t="s">
        <v>112</v>
      </c>
      <c r="E48" s="6">
        <v>56</v>
      </c>
      <c r="F48" s="6">
        <v>41.53</v>
      </c>
      <c r="G48" s="6">
        <v>2325.6799999999998</v>
      </c>
      <c r="H48" s="6">
        <v>0</v>
      </c>
      <c r="I48" s="6">
        <v>0</v>
      </c>
    </row>
    <row r="49" spans="2:9" ht="15.75" customHeight="1" x14ac:dyDescent="0.25">
      <c r="B49" s="6" t="s">
        <v>2527</v>
      </c>
      <c r="C49" s="6" t="s">
        <v>2528</v>
      </c>
      <c r="D49" s="6" t="s">
        <v>112</v>
      </c>
      <c r="E49" s="6">
        <v>1</v>
      </c>
      <c r="F49" s="6">
        <v>99.45</v>
      </c>
      <c r="G49" s="6">
        <v>99.45</v>
      </c>
      <c r="H49" s="6">
        <v>0</v>
      </c>
      <c r="I49" s="6">
        <v>0</v>
      </c>
    </row>
    <row r="50" spans="2:9" ht="15.75" customHeight="1" x14ac:dyDescent="0.25">
      <c r="B50" s="6" t="s">
        <v>2529</v>
      </c>
      <c r="C50" s="6" t="s">
        <v>2530</v>
      </c>
      <c r="D50" s="6" t="s">
        <v>112</v>
      </c>
      <c r="E50" s="6">
        <v>141</v>
      </c>
      <c r="F50" s="6">
        <v>26.23</v>
      </c>
      <c r="G50" s="6">
        <v>3698.43</v>
      </c>
      <c r="H50" s="6">
        <v>0</v>
      </c>
      <c r="I50" s="6">
        <v>0</v>
      </c>
    </row>
    <row r="51" spans="2:9" ht="15.75" customHeight="1" x14ac:dyDescent="0.25">
      <c r="B51" s="6" t="s">
        <v>2531</v>
      </c>
      <c r="C51" s="6" t="s">
        <v>2532</v>
      </c>
      <c r="D51" s="6" t="s">
        <v>112</v>
      </c>
      <c r="E51" s="6">
        <v>15</v>
      </c>
      <c r="F51" s="6">
        <v>37.159999999999997</v>
      </c>
      <c r="G51" s="6">
        <v>557.4</v>
      </c>
      <c r="H51" s="6">
        <v>0</v>
      </c>
      <c r="I51" s="6">
        <v>0</v>
      </c>
    </row>
    <row r="52" spans="2:9" ht="15.75" customHeight="1" x14ac:dyDescent="0.25">
      <c r="B52" s="6" t="s">
        <v>2533</v>
      </c>
      <c r="C52" s="6" t="s">
        <v>2534</v>
      </c>
      <c r="D52" s="6" t="s">
        <v>112</v>
      </c>
      <c r="E52" s="6">
        <v>46</v>
      </c>
      <c r="F52" s="6">
        <v>46.99</v>
      </c>
      <c r="G52" s="6">
        <v>2161.54</v>
      </c>
      <c r="H52" s="6">
        <v>0</v>
      </c>
      <c r="I52" s="6">
        <v>0</v>
      </c>
    </row>
    <row r="53" spans="2:9" ht="15.75" customHeight="1" x14ac:dyDescent="0.25">
      <c r="B53" s="6" t="s">
        <v>2535</v>
      </c>
      <c r="C53" s="6" t="s">
        <v>2536</v>
      </c>
      <c r="D53" s="6" t="s">
        <v>112</v>
      </c>
      <c r="E53" s="6">
        <v>9</v>
      </c>
      <c r="F53" s="6">
        <v>101.64</v>
      </c>
      <c r="G53" s="6">
        <v>914.76</v>
      </c>
      <c r="H53" s="6">
        <v>0</v>
      </c>
      <c r="I53" s="6">
        <v>0</v>
      </c>
    </row>
    <row r="54" spans="2:9" ht="15.75" customHeight="1" x14ac:dyDescent="0.25">
      <c r="B54" s="6" t="s">
        <v>2537</v>
      </c>
      <c r="C54" s="6" t="s">
        <v>2538</v>
      </c>
      <c r="D54" s="6" t="s">
        <v>112</v>
      </c>
      <c r="E54" s="6">
        <v>10</v>
      </c>
      <c r="F54" s="6">
        <v>16.39</v>
      </c>
      <c r="G54" s="6">
        <v>163.9</v>
      </c>
      <c r="H54" s="6">
        <v>0</v>
      </c>
      <c r="I54" s="6">
        <v>0</v>
      </c>
    </row>
    <row r="55" spans="2:9" ht="15.75" customHeight="1" x14ac:dyDescent="0.25">
      <c r="B55" s="6" t="s">
        <v>2539</v>
      </c>
      <c r="C55" s="6" t="s">
        <v>2540</v>
      </c>
      <c r="D55" s="6" t="s">
        <v>112</v>
      </c>
      <c r="E55" s="6">
        <v>18</v>
      </c>
      <c r="F55" s="6">
        <v>26.23</v>
      </c>
      <c r="G55" s="6">
        <v>472.14</v>
      </c>
      <c r="H55" s="6">
        <v>0</v>
      </c>
      <c r="I55" s="6">
        <v>0</v>
      </c>
    </row>
    <row r="56" spans="2:9" ht="15.75" customHeight="1" x14ac:dyDescent="0.25">
      <c r="B56" s="6" t="s">
        <v>2541</v>
      </c>
      <c r="C56" s="6" t="s">
        <v>2542</v>
      </c>
      <c r="D56" s="6" t="s">
        <v>112</v>
      </c>
      <c r="E56" s="6">
        <v>28</v>
      </c>
      <c r="F56" s="6">
        <v>29.51</v>
      </c>
      <c r="G56" s="6">
        <v>826.28</v>
      </c>
      <c r="H56" s="6">
        <v>0</v>
      </c>
      <c r="I56" s="6">
        <v>0</v>
      </c>
    </row>
    <row r="57" spans="2:9" ht="15.75" customHeight="1" x14ac:dyDescent="0.25">
      <c r="B57" s="6" t="s">
        <v>2543</v>
      </c>
      <c r="C57" s="6" t="s">
        <v>2544</v>
      </c>
      <c r="D57" s="6" t="s">
        <v>112</v>
      </c>
      <c r="E57" s="6">
        <v>2</v>
      </c>
      <c r="F57" s="6">
        <v>710.36</v>
      </c>
      <c r="G57" s="6">
        <v>1420.72</v>
      </c>
      <c r="H57" s="6">
        <v>0</v>
      </c>
      <c r="I57" s="6">
        <v>0</v>
      </c>
    </row>
    <row r="58" spans="2:9" ht="15.75" customHeight="1" x14ac:dyDescent="0.25">
      <c r="B58" s="6" t="s">
        <v>2545</v>
      </c>
      <c r="C58" s="6" t="s">
        <v>2546</v>
      </c>
      <c r="D58" s="6" t="s">
        <v>112</v>
      </c>
      <c r="E58" s="6">
        <v>1</v>
      </c>
      <c r="F58" s="6">
        <v>431.68</v>
      </c>
      <c r="G58" s="6">
        <v>431.68</v>
      </c>
      <c r="H58" s="6">
        <v>0</v>
      </c>
      <c r="I58" s="6">
        <v>0</v>
      </c>
    </row>
    <row r="59" spans="2:9" ht="15.75" customHeight="1" x14ac:dyDescent="0.25">
      <c r="B59" s="6" t="s">
        <v>2547</v>
      </c>
      <c r="C59" s="6" t="s">
        <v>2548</v>
      </c>
      <c r="D59" s="6" t="s">
        <v>112</v>
      </c>
      <c r="E59" s="6">
        <v>7</v>
      </c>
      <c r="F59" s="6">
        <v>398.9</v>
      </c>
      <c r="G59" s="6">
        <v>2792.3</v>
      </c>
      <c r="H59" s="6">
        <v>0</v>
      </c>
      <c r="I59" s="6">
        <v>0</v>
      </c>
    </row>
    <row r="60" spans="2:9" ht="15.75" customHeight="1" x14ac:dyDescent="0.25">
      <c r="B60" s="6" t="s">
        <v>2549</v>
      </c>
      <c r="C60" s="6" t="s">
        <v>2550</v>
      </c>
      <c r="D60" s="6" t="s">
        <v>112</v>
      </c>
      <c r="E60" s="6">
        <v>118</v>
      </c>
      <c r="F60" s="6">
        <v>67.760000000000005</v>
      </c>
      <c r="G60" s="6">
        <v>7995.68</v>
      </c>
      <c r="H60" s="6">
        <v>0</v>
      </c>
      <c r="I60" s="6">
        <v>0</v>
      </c>
    </row>
    <row r="61" spans="2:9" ht="15.75" customHeight="1" x14ac:dyDescent="0.25">
      <c r="B61" s="7" t="s">
        <v>1953</v>
      </c>
      <c r="C61" s="7" t="s">
        <v>2551</v>
      </c>
      <c r="D61" s="1"/>
      <c r="E61" s="1"/>
      <c r="F61" s="1"/>
      <c r="G61" s="7">
        <v>3104.85</v>
      </c>
      <c r="H61" s="1"/>
      <c r="I61" s="7">
        <v>0</v>
      </c>
    </row>
    <row r="62" spans="2:9" ht="15.75" customHeight="1" x14ac:dyDescent="0.25">
      <c r="B62" s="6" t="s">
        <v>2552</v>
      </c>
      <c r="C62" s="6" t="s">
        <v>2553</v>
      </c>
      <c r="D62" s="6" t="s">
        <v>6</v>
      </c>
      <c r="E62" s="6">
        <v>2</v>
      </c>
      <c r="F62" s="6">
        <v>710.36</v>
      </c>
      <c r="G62" s="6">
        <v>1420.72</v>
      </c>
      <c r="H62" s="6">
        <v>0</v>
      </c>
      <c r="I62" s="6">
        <v>0</v>
      </c>
    </row>
    <row r="63" spans="2:9" ht="15.75" customHeight="1" x14ac:dyDescent="0.25">
      <c r="B63" s="6" t="s">
        <v>2554</v>
      </c>
      <c r="C63" s="6" t="s">
        <v>2555</v>
      </c>
      <c r="D63" s="6" t="s">
        <v>6</v>
      </c>
      <c r="E63" s="6">
        <v>1</v>
      </c>
      <c r="F63" s="6">
        <v>710.36</v>
      </c>
      <c r="G63" s="6">
        <v>710.36</v>
      </c>
      <c r="H63" s="6">
        <v>0</v>
      </c>
      <c r="I63" s="6">
        <v>0</v>
      </c>
    </row>
    <row r="64" spans="2:9" ht="15.75" customHeight="1" x14ac:dyDescent="0.25">
      <c r="B64" s="6" t="s">
        <v>2556</v>
      </c>
      <c r="C64" s="6" t="s">
        <v>2557</v>
      </c>
      <c r="D64" s="6" t="s">
        <v>2463</v>
      </c>
      <c r="E64" s="6">
        <v>5</v>
      </c>
      <c r="F64" s="6">
        <v>101.64</v>
      </c>
      <c r="G64" s="6">
        <v>508.2</v>
      </c>
      <c r="H64" s="6">
        <v>0</v>
      </c>
      <c r="I64" s="6">
        <v>0</v>
      </c>
    </row>
    <row r="65" spans="2:9" ht="15.75" customHeight="1" x14ac:dyDescent="0.25">
      <c r="B65" s="6" t="s">
        <v>2558</v>
      </c>
      <c r="C65" s="6" t="s">
        <v>2559</v>
      </c>
      <c r="D65" s="6" t="s">
        <v>112</v>
      </c>
      <c r="E65" s="6">
        <v>3</v>
      </c>
      <c r="F65" s="6">
        <v>155.19</v>
      </c>
      <c r="G65" s="6">
        <v>465.57</v>
      </c>
      <c r="H65" s="6">
        <v>0</v>
      </c>
      <c r="I65" s="6">
        <v>0</v>
      </c>
    </row>
    <row r="66" spans="2:9" ht="15.75" customHeight="1" x14ac:dyDescent="0.25">
      <c r="B66" s="7" t="s">
        <v>1955</v>
      </c>
      <c r="C66" s="7" t="s">
        <v>2560</v>
      </c>
      <c r="D66" s="1"/>
      <c r="E66" s="1"/>
      <c r="F66" s="1"/>
      <c r="G66" s="7">
        <v>459</v>
      </c>
      <c r="H66" s="1"/>
      <c r="I66" s="7">
        <v>0</v>
      </c>
    </row>
    <row r="67" spans="2:9" ht="15.75" customHeight="1" x14ac:dyDescent="0.25">
      <c r="B67" s="6" t="s">
        <v>2561</v>
      </c>
      <c r="C67" s="6" t="s">
        <v>2562</v>
      </c>
      <c r="D67" s="6" t="s">
        <v>6</v>
      </c>
      <c r="E67" s="6">
        <v>1</v>
      </c>
      <c r="F67" s="6">
        <v>459</v>
      </c>
      <c r="G67" s="6">
        <v>459</v>
      </c>
      <c r="H67" s="6">
        <v>0</v>
      </c>
      <c r="I67" s="6">
        <v>0</v>
      </c>
    </row>
    <row r="68" spans="2:9" ht="15.75" customHeight="1" x14ac:dyDescent="0.25">
      <c r="B68" s="7" t="s">
        <v>1957</v>
      </c>
      <c r="C68" s="7" t="s">
        <v>2563</v>
      </c>
      <c r="D68" s="1"/>
      <c r="E68" s="1"/>
      <c r="F68" s="1"/>
      <c r="G68" s="7">
        <v>8087.16</v>
      </c>
      <c r="H68" s="1"/>
      <c r="I68" s="7">
        <v>0</v>
      </c>
    </row>
    <row r="69" spans="2:9" ht="15.75" customHeight="1" x14ac:dyDescent="0.25">
      <c r="B69" s="6" t="s">
        <v>2564</v>
      </c>
      <c r="C69" s="6" t="s">
        <v>2565</v>
      </c>
      <c r="D69" s="6" t="s">
        <v>6</v>
      </c>
      <c r="E69" s="6">
        <v>1</v>
      </c>
      <c r="F69" s="6">
        <v>8087.16</v>
      </c>
      <c r="G69" s="6">
        <v>8087.16</v>
      </c>
      <c r="H69" s="6">
        <v>0</v>
      </c>
      <c r="I69" s="6">
        <v>0</v>
      </c>
    </row>
    <row r="70" spans="2:9" ht="15.75" customHeight="1" x14ac:dyDescent="0.25">
      <c r="B70" s="5" t="s">
        <v>30</v>
      </c>
      <c r="C70" s="5" t="s">
        <v>2566</v>
      </c>
      <c r="D70" s="1"/>
      <c r="E70" s="1"/>
      <c r="F70" s="1"/>
      <c r="G70" s="5">
        <v>238841.61</v>
      </c>
      <c r="H70" s="1"/>
      <c r="I70" s="5">
        <v>27394.83</v>
      </c>
    </row>
    <row r="71" spans="2:9" ht="15.75" customHeight="1" x14ac:dyDescent="0.25">
      <c r="B71" s="7" t="s">
        <v>32</v>
      </c>
      <c r="C71" s="7" t="s">
        <v>2567</v>
      </c>
      <c r="D71" s="1"/>
      <c r="E71" s="1"/>
      <c r="F71" s="1"/>
      <c r="G71" s="7">
        <v>7431.45</v>
      </c>
      <c r="H71" s="1"/>
      <c r="I71" s="7">
        <v>0</v>
      </c>
    </row>
    <row r="72" spans="2:9" ht="15.75" customHeight="1" x14ac:dyDescent="0.25">
      <c r="B72" s="6" t="s">
        <v>149</v>
      </c>
      <c r="C72" s="6" t="s">
        <v>2462</v>
      </c>
      <c r="D72" s="6" t="s">
        <v>6</v>
      </c>
      <c r="E72" s="6">
        <v>1</v>
      </c>
      <c r="F72" s="6">
        <v>7431.45</v>
      </c>
      <c r="G72" s="6">
        <v>7431.45</v>
      </c>
      <c r="H72" s="6">
        <v>0</v>
      </c>
      <c r="I72" s="6">
        <v>0</v>
      </c>
    </row>
    <row r="73" spans="2:9" ht="15.75" customHeight="1" x14ac:dyDescent="0.25">
      <c r="B73" s="7" t="s">
        <v>35</v>
      </c>
      <c r="C73" s="7" t="s">
        <v>2568</v>
      </c>
      <c r="D73" s="1"/>
      <c r="E73" s="1"/>
      <c r="F73" s="1"/>
      <c r="G73" s="7">
        <v>64631.18</v>
      </c>
      <c r="H73" s="1"/>
      <c r="I73" s="7">
        <v>0</v>
      </c>
    </row>
    <row r="74" spans="2:9" ht="15.75" customHeight="1" x14ac:dyDescent="0.25">
      <c r="B74" s="6" t="s">
        <v>159</v>
      </c>
      <c r="C74" s="6" t="s">
        <v>2569</v>
      </c>
      <c r="D74" s="6" t="s">
        <v>34</v>
      </c>
      <c r="E74" s="6">
        <v>1577.83</v>
      </c>
      <c r="F74" s="6">
        <v>10.11</v>
      </c>
      <c r="G74" s="6">
        <v>15951.86</v>
      </c>
      <c r="H74" s="6">
        <v>0</v>
      </c>
      <c r="I74" s="6">
        <v>0</v>
      </c>
    </row>
    <row r="75" spans="2:9" ht="15.75" customHeight="1" x14ac:dyDescent="0.25">
      <c r="B75" s="6" t="s">
        <v>161</v>
      </c>
      <c r="C75" s="6" t="s">
        <v>2570</v>
      </c>
      <c r="D75" s="6" t="s">
        <v>34</v>
      </c>
      <c r="E75" s="6">
        <v>1277</v>
      </c>
      <c r="F75" s="6">
        <v>12.24</v>
      </c>
      <c r="G75" s="6">
        <v>15630.48</v>
      </c>
      <c r="H75" s="6">
        <v>0</v>
      </c>
      <c r="I75" s="6">
        <v>0</v>
      </c>
    </row>
    <row r="76" spans="2:9" ht="15.75" customHeight="1" x14ac:dyDescent="0.25">
      <c r="B76" s="6" t="s">
        <v>163</v>
      </c>
      <c r="C76" s="6" t="s">
        <v>2571</v>
      </c>
      <c r="D76" s="6" t="s">
        <v>34</v>
      </c>
      <c r="E76" s="6">
        <v>932</v>
      </c>
      <c r="F76" s="6">
        <v>17.27</v>
      </c>
      <c r="G76" s="6">
        <v>16095.64</v>
      </c>
      <c r="H76" s="6">
        <v>0</v>
      </c>
      <c r="I76" s="6">
        <v>0</v>
      </c>
    </row>
    <row r="77" spans="2:9" ht="15.75" customHeight="1" x14ac:dyDescent="0.25">
      <c r="B77" s="6" t="s">
        <v>165</v>
      </c>
      <c r="C77" s="6" t="s">
        <v>2572</v>
      </c>
      <c r="D77" s="6" t="s">
        <v>34</v>
      </c>
      <c r="E77" s="6">
        <v>158.30000000000001</v>
      </c>
      <c r="F77" s="6">
        <v>27.32</v>
      </c>
      <c r="G77" s="6">
        <v>4324.76</v>
      </c>
      <c r="H77" s="6">
        <v>0</v>
      </c>
      <c r="I77" s="6">
        <v>0</v>
      </c>
    </row>
    <row r="78" spans="2:9" ht="15.75" customHeight="1" x14ac:dyDescent="0.25">
      <c r="B78" s="6" t="s">
        <v>2573</v>
      </c>
      <c r="C78" s="6" t="s">
        <v>2574</v>
      </c>
      <c r="D78" s="6" t="s">
        <v>34</v>
      </c>
      <c r="E78" s="6">
        <v>62.35</v>
      </c>
      <c r="F78" s="6">
        <v>14.76</v>
      </c>
      <c r="G78" s="6">
        <v>920.29</v>
      </c>
      <c r="H78" s="6">
        <v>0</v>
      </c>
      <c r="I78" s="6">
        <v>0</v>
      </c>
    </row>
    <row r="79" spans="2:9" ht="15.75" customHeight="1" x14ac:dyDescent="0.25">
      <c r="B79" s="6" t="s">
        <v>2575</v>
      </c>
      <c r="C79" s="6" t="s">
        <v>2576</v>
      </c>
      <c r="D79" s="6" t="s">
        <v>34</v>
      </c>
      <c r="E79" s="6">
        <v>19</v>
      </c>
      <c r="F79" s="6">
        <v>18.79</v>
      </c>
      <c r="G79" s="6">
        <v>357.01</v>
      </c>
      <c r="H79" s="6">
        <v>0</v>
      </c>
      <c r="I79" s="6">
        <v>0</v>
      </c>
    </row>
    <row r="80" spans="2:9" ht="15.75" customHeight="1" x14ac:dyDescent="0.25">
      <c r="B80" s="6" t="s">
        <v>2577</v>
      </c>
      <c r="C80" s="6" t="s">
        <v>2578</v>
      </c>
      <c r="D80" s="6" t="s">
        <v>34</v>
      </c>
      <c r="E80" s="6">
        <v>7.2</v>
      </c>
      <c r="F80" s="6">
        <v>22.95</v>
      </c>
      <c r="G80" s="6">
        <v>165.24</v>
      </c>
      <c r="H80" s="6">
        <v>0</v>
      </c>
      <c r="I80" s="6">
        <v>0</v>
      </c>
    </row>
    <row r="81" spans="2:9" ht="15.75" customHeight="1" x14ac:dyDescent="0.25">
      <c r="B81" s="6" t="s">
        <v>2579</v>
      </c>
      <c r="C81" s="6" t="s">
        <v>2580</v>
      </c>
      <c r="D81" s="6" t="s">
        <v>34</v>
      </c>
      <c r="E81" s="6">
        <v>28</v>
      </c>
      <c r="F81" s="6">
        <v>30.6</v>
      </c>
      <c r="G81" s="6">
        <v>856.8</v>
      </c>
      <c r="H81" s="6">
        <v>0</v>
      </c>
      <c r="I81" s="6">
        <v>0</v>
      </c>
    </row>
    <row r="82" spans="2:9" ht="15.75" customHeight="1" x14ac:dyDescent="0.25">
      <c r="B82" s="6" t="s">
        <v>2581</v>
      </c>
      <c r="C82" s="6" t="s">
        <v>2582</v>
      </c>
      <c r="D82" s="6" t="s">
        <v>34</v>
      </c>
      <c r="E82" s="6">
        <v>33</v>
      </c>
      <c r="F82" s="6">
        <v>85.25</v>
      </c>
      <c r="G82" s="6">
        <v>2813.25</v>
      </c>
      <c r="H82" s="6">
        <v>0</v>
      </c>
      <c r="I82" s="6">
        <v>0</v>
      </c>
    </row>
    <row r="83" spans="2:9" ht="15.75" customHeight="1" x14ac:dyDescent="0.25">
      <c r="B83" s="6" t="s">
        <v>2583</v>
      </c>
      <c r="C83" s="6" t="s">
        <v>2584</v>
      </c>
      <c r="D83" s="6" t="s">
        <v>34</v>
      </c>
      <c r="E83" s="6">
        <v>10</v>
      </c>
      <c r="F83" s="6">
        <v>10.11</v>
      </c>
      <c r="G83" s="6">
        <v>101.1</v>
      </c>
      <c r="H83" s="6">
        <v>0</v>
      </c>
      <c r="I83" s="6">
        <v>0</v>
      </c>
    </row>
    <row r="84" spans="2:9" ht="15.75" customHeight="1" x14ac:dyDescent="0.25">
      <c r="B84" s="6" t="s">
        <v>2585</v>
      </c>
      <c r="C84" s="6" t="s">
        <v>2586</v>
      </c>
      <c r="D84" s="6" t="s">
        <v>34</v>
      </c>
      <c r="E84" s="6">
        <v>78</v>
      </c>
      <c r="F84" s="6">
        <v>81.96</v>
      </c>
      <c r="G84" s="6">
        <v>6392.88</v>
      </c>
      <c r="H84" s="6">
        <v>0</v>
      </c>
      <c r="I84" s="6">
        <v>0</v>
      </c>
    </row>
    <row r="85" spans="2:9" ht="15.75" customHeight="1" x14ac:dyDescent="0.25">
      <c r="B85" s="6" t="s">
        <v>2587</v>
      </c>
      <c r="C85" s="6" t="s">
        <v>2588</v>
      </c>
      <c r="D85" s="6" t="s">
        <v>34</v>
      </c>
      <c r="E85" s="6">
        <v>17</v>
      </c>
      <c r="F85" s="6">
        <v>60.11</v>
      </c>
      <c r="G85" s="6">
        <v>1021.87</v>
      </c>
      <c r="H85" s="6">
        <v>0</v>
      </c>
      <c r="I85" s="6">
        <v>0</v>
      </c>
    </row>
    <row r="86" spans="2:9" ht="15.75" customHeight="1" x14ac:dyDescent="0.25">
      <c r="B86" s="7" t="s">
        <v>37</v>
      </c>
      <c r="C86" s="7" t="s">
        <v>2589</v>
      </c>
      <c r="D86" s="1"/>
      <c r="E86" s="1"/>
      <c r="F86" s="1"/>
      <c r="G86" s="7">
        <v>2256.7399999999998</v>
      </c>
      <c r="H86" s="1"/>
      <c r="I86" s="7">
        <v>0</v>
      </c>
    </row>
    <row r="87" spans="2:9" ht="15.75" customHeight="1" x14ac:dyDescent="0.25">
      <c r="B87" s="6" t="s">
        <v>167</v>
      </c>
      <c r="C87" s="6" t="s">
        <v>2590</v>
      </c>
      <c r="D87" s="6" t="s">
        <v>6</v>
      </c>
      <c r="E87" s="6">
        <v>1</v>
      </c>
      <c r="F87" s="6">
        <v>273.22000000000003</v>
      </c>
      <c r="G87" s="6">
        <v>273.22000000000003</v>
      </c>
      <c r="H87" s="6">
        <v>0</v>
      </c>
      <c r="I87" s="6">
        <v>0</v>
      </c>
    </row>
    <row r="88" spans="2:9" ht="15.75" customHeight="1" x14ac:dyDescent="0.25">
      <c r="B88" s="6" t="s">
        <v>168</v>
      </c>
      <c r="C88" s="6" t="s">
        <v>2580</v>
      </c>
      <c r="D88" s="6" t="s">
        <v>34</v>
      </c>
      <c r="E88" s="6">
        <v>55</v>
      </c>
      <c r="F88" s="6">
        <v>30.6</v>
      </c>
      <c r="G88" s="6">
        <v>1683</v>
      </c>
      <c r="H88" s="6">
        <v>0</v>
      </c>
      <c r="I88" s="6">
        <v>0</v>
      </c>
    </row>
    <row r="89" spans="2:9" ht="15.75" customHeight="1" x14ac:dyDescent="0.25">
      <c r="B89" s="6" t="s">
        <v>169</v>
      </c>
      <c r="C89" s="6" t="s">
        <v>2591</v>
      </c>
      <c r="D89" s="6" t="s">
        <v>34</v>
      </c>
      <c r="E89" s="6">
        <v>11</v>
      </c>
      <c r="F89" s="6">
        <v>27.32</v>
      </c>
      <c r="G89" s="6">
        <v>300.52</v>
      </c>
      <c r="H89" s="6">
        <v>0</v>
      </c>
      <c r="I89" s="6">
        <v>0</v>
      </c>
    </row>
    <row r="90" spans="2:9" ht="15.75" customHeight="1" x14ac:dyDescent="0.25">
      <c r="B90" s="7" t="s">
        <v>39</v>
      </c>
      <c r="C90" s="7" t="s">
        <v>2592</v>
      </c>
      <c r="D90" s="1"/>
      <c r="E90" s="1"/>
      <c r="F90" s="1"/>
      <c r="G90" s="7">
        <v>30171.040000000001</v>
      </c>
      <c r="H90" s="1"/>
      <c r="I90" s="7">
        <v>0</v>
      </c>
    </row>
    <row r="91" spans="2:9" ht="15.75" customHeight="1" x14ac:dyDescent="0.25">
      <c r="B91" s="6" t="s">
        <v>172</v>
      </c>
      <c r="C91" s="6" t="s">
        <v>2593</v>
      </c>
      <c r="D91" s="6" t="s">
        <v>112</v>
      </c>
      <c r="E91" s="6">
        <v>13</v>
      </c>
      <c r="F91" s="6">
        <v>52.46</v>
      </c>
      <c r="G91" s="6">
        <v>681.98</v>
      </c>
      <c r="H91" s="6">
        <v>0</v>
      </c>
      <c r="I91" s="6">
        <v>0</v>
      </c>
    </row>
    <row r="92" spans="2:9" ht="15.75" customHeight="1" x14ac:dyDescent="0.25">
      <c r="B92" s="6" t="s">
        <v>174</v>
      </c>
      <c r="C92" s="6" t="s">
        <v>2594</v>
      </c>
      <c r="D92" s="6" t="s">
        <v>112</v>
      </c>
      <c r="E92" s="6">
        <v>170</v>
      </c>
      <c r="F92" s="6">
        <v>74.31</v>
      </c>
      <c r="G92" s="6">
        <v>12632.7</v>
      </c>
      <c r="H92" s="6">
        <v>0</v>
      </c>
      <c r="I92" s="6">
        <v>0</v>
      </c>
    </row>
    <row r="93" spans="2:9" ht="15.75" customHeight="1" x14ac:dyDescent="0.25">
      <c r="B93" s="6" t="s">
        <v>175</v>
      </c>
      <c r="C93" s="6" t="s">
        <v>2595</v>
      </c>
      <c r="D93" s="6" t="s">
        <v>112</v>
      </c>
      <c r="E93" s="6">
        <v>135</v>
      </c>
      <c r="F93" s="6">
        <v>79.78</v>
      </c>
      <c r="G93" s="6">
        <v>10770.3</v>
      </c>
      <c r="H93" s="6">
        <v>0</v>
      </c>
      <c r="I93" s="6">
        <v>0</v>
      </c>
    </row>
    <row r="94" spans="2:9" ht="15.75" customHeight="1" x14ac:dyDescent="0.25">
      <c r="B94" s="6" t="s">
        <v>176</v>
      </c>
      <c r="C94" s="6" t="s">
        <v>2596</v>
      </c>
      <c r="D94" s="6" t="s">
        <v>112</v>
      </c>
      <c r="E94" s="6">
        <v>43</v>
      </c>
      <c r="F94" s="6">
        <v>96.17</v>
      </c>
      <c r="G94" s="6">
        <v>4135.3100000000004</v>
      </c>
      <c r="H94" s="6">
        <v>0</v>
      </c>
      <c r="I94" s="6">
        <v>0</v>
      </c>
    </row>
    <row r="95" spans="2:9" ht="15.75" customHeight="1" x14ac:dyDescent="0.25">
      <c r="B95" s="6" t="s">
        <v>2597</v>
      </c>
      <c r="C95" s="6" t="s">
        <v>2598</v>
      </c>
      <c r="D95" s="6" t="s">
        <v>112</v>
      </c>
      <c r="E95" s="6">
        <v>7</v>
      </c>
      <c r="F95" s="6">
        <v>191.25</v>
      </c>
      <c r="G95" s="6">
        <v>1338.75</v>
      </c>
      <c r="H95" s="6">
        <v>0</v>
      </c>
      <c r="I95" s="6">
        <v>0</v>
      </c>
    </row>
    <row r="96" spans="2:9" ht="15.75" customHeight="1" x14ac:dyDescent="0.25">
      <c r="B96" s="6" t="s">
        <v>2599</v>
      </c>
      <c r="C96" s="6" t="s">
        <v>2600</v>
      </c>
      <c r="D96" s="6" t="s">
        <v>112</v>
      </c>
      <c r="E96" s="6">
        <v>1</v>
      </c>
      <c r="F96" s="6">
        <v>612</v>
      </c>
      <c r="G96" s="6">
        <v>612</v>
      </c>
      <c r="H96" s="6">
        <v>0</v>
      </c>
      <c r="I96" s="6">
        <v>0</v>
      </c>
    </row>
    <row r="97" spans="2:9" ht="15.75" customHeight="1" x14ac:dyDescent="0.25">
      <c r="B97" s="7" t="s">
        <v>41</v>
      </c>
      <c r="C97" s="7" t="s">
        <v>2601</v>
      </c>
      <c r="D97" s="1"/>
      <c r="E97" s="1"/>
      <c r="F97" s="1"/>
      <c r="G97" s="7">
        <v>48108.14</v>
      </c>
      <c r="H97" s="1"/>
      <c r="I97" s="7">
        <v>0</v>
      </c>
    </row>
    <row r="98" spans="2:9" ht="15.75" customHeight="1" x14ac:dyDescent="0.25">
      <c r="B98" s="6" t="s">
        <v>178</v>
      </c>
      <c r="C98" s="6" t="s">
        <v>2602</v>
      </c>
      <c r="D98" s="6" t="s">
        <v>2507</v>
      </c>
      <c r="E98" s="6">
        <v>703</v>
      </c>
      <c r="F98" s="6">
        <v>63.38</v>
      </c>
      <c r="G98" s="6">
        <v>44556.14</v>
      </c>
      <c r="H98" s="6">
        <v>0</v>
      </c>
      <c r="I98" s="6">
        <v>0</v>
      </c>
    </row>
    <row r="99" spans="2:9" ht="15.75" customHeight="1" x14ac:dyDescent="0.25">
      <c r="B99" s="6" t="s">
        <v>180</v>
      </c>
      <c r="C99" s="6" t="s">
        <v>2603</v>
      </c>
      <c r="D99" s="6" t="s">
        <v>2507</v>
      </c>
      <c r="E99" s="6">
        <v>50</v>
      </c>
      <c r="F99" s="6">
        <v>71.040000000000006</v>
      </c>
      <c r="G99" s="6">
        <v>3552</v>
      </c>
      <c r="H99" s="6">
        <v>0</v>
      </c>
      <c r="I99" s="6">
        <v>0</v>
      </c>
    </row>
    <row r="100" spans="2:9" ht="15.75" customHeight="1" x14ac:dyDescent="0.25">
      <c r="B100" s="7" t="s">
        <v>43</v>
      </c>
      <c r="C100" s="7" t="s">
        <v>2604</v>
      </c>
      <c r="D100" s="1"/>
      <c r="E100" s="1"/>
      <c r="F100" s="1"/>
      <c r="G100" s="7">
        <v>44240.9</v>
      </c>
      <c r="H100" s="1"/>
      <c r="I100" s="7">
        <v>0</v>
      </c>
    </row>
    <row r="101" spans="2:9" ht="15.75" customHeight="1" x14ac:dyDescent="0.25">
      <c r="B101" s="6" t="s">
        <v>187</v>
      </c>
      <c r="C101" s="6" t="s">
        <v>2605</v>
      </c>
      <c r="D101" s="6" t="s">
        <v>112</v>
      </c>
      <c r="E101" s="6">
        <v>63</v>
      </c>
      <c r="F101" s="6">
        <v>84.63</v>
      </c>
      <c r="G101" s="6">
        <v>5331.69</v>
      </c>
      <c r="H101" s="6">
        <v>0</v>
      </c>
      <c r="I101" s="6">
        <v>0</v>
      </c>
    </row>
    <row r="102" spans="2:9" ht="15.75" customHeight="1" x14ac:dyDescent="0.25">
      <c r="B102" s="6" t="s">
        <v>188</v>
      </c>
      <c r="C102" s="6" t="s">
        <v>2606</v>
      </c>
      <c r="D102" s="6" t="s">
        <v>112</v>
      </c>
      <c r="E102" s="6">
        <v>59</v>
      </c>
      <c r="F102" s="6">
        <v>84.63</v>
      </c>
      <c r="G102" s="6">
        <v>4993.17</v>
      </c>
      <c r="H102" s="6">
        <v>0</v>
      </c>
      <c r="I102" s="6">
        <v>0</v>
      </c>
    </row>
    <row r="103" spans="2:9" ht="15.75" customHeight="1" x14ac:dyDescent="0.25">
      <c r="B103" s="6" t="s">
        <v>190</v>
      </c>
      <c r="C103" s="6" t="s">
        <v>2607</v>
      </c>
      <c r="D103" s="6" t="s">
        <v>112</v>
      </c>
      <c r="E103" s="6">
        <v>133</v>
      </c>
      <c r="F103" s="6">
        <v>86.82</v>
      </c>
      <c r="G103" s="6">
        <v>11547.06</v>
      </c>
      <c r="H103" s="6">
        <v>0</v>
      </c>
      <c r="I103" s="6">
        <v>0</v>
      </c>
    </row>
    <row r="104" spans="2:9" ht="15.75" customHeight="1" x14ac:dyDescent="0.25">
      <c r="B104" s="6" t="s">
        <v>192</v>
      </c>
      <c r="C104" s="6" t="s">
        <v>2608</v>
      </c>
      <c r="D104" s="6" t="s">
        <v>112</v>
      </c>
      <c r="E104" s="6">
        <v>157</v>
      </c>
      <c r="F104" s="6">
        <v>84.63</v>
      </c>
      <c r="G104" s="6">
        <v>13286.91</v>
      </c>
      <c r="H104" s="6">
        <v>0</v>
      </c>
      <c r="I104" s="6">
        <v>0</v>
      </c>
    </row>
    <row r="105" spans="2:9" ht="15.75" customHeight="1" x14ac:dyDescent="0.25">
      <c r="B105" s="6" t="s">
        <v>193</v>
      </c>
      <c r="C105" s="6" t="s">
        <v>2609</v>
      </c>
      <c r="D105" s="6" t="s">
        <v>112</v>
      </c>
      <c r="E105" s="6">
        <v>111</v>
      </c>
      <c r="F105" s="6">
        <v>74.25</v>
      </c>
      <c r="G105" s="6">
        <v>8241.75</v>
      </c>
      <c r="H105" s="6">
        <v>0</v>
      </c>
      <c r="I105" s="6">
        <v>0</v>
      </c>
    </row>
    <row r="106" spans="2:9" ht="15.75" customHeight="1" x14ac:dyDescent="0.25">
      <c r="B106" s="6" t="s">
        <v>2610</v>
      </c>
      <c r="C106" s="6" t="s">
        <v>2611</v>
      </c>
      <c r="D106" s="6" t="s">
        <v>112</v>
      </c>
      <c r="E106" s="6">
        <v>13</v>
      </c>
      <c r="F106" s="6">
        <v>64.64</v>
      </c>
      <c r="G106" s="6">
        <v>840.32</v>
      </c>
      <c r="H106" s="6">
        <v>0</v>
      </c>
      <c r="I106" s="6">
        <v>0</v>
      </c>
    </row>
    <row r="107" spans="2:9" ht="15.75" customHeight="1" x14ac:dyDescent="0.25">
      <c r="B107" s="7" t="s">
        <v>45</v>
      </c>
      <c r="C107" s="7" t="s">
        <v>2612</v>
      </c>
      <c r="D107" s="1"/>
      <c r="E107" s="1"/>
      <c r="F107" s="1"/>
      <c r="G107" s="7">
        <v>1442.58</v>
      </c>
      <c r="H107" s="1"/>
      <c r="I107" s="7">
        <v>27394.83</v>
      </c>
    </row>
    <row r="108" spans="2:9" ht="15.75" customHeight="1" x14ac:dyDescent="0.25">
      <c r="B108" s="6" t="s">
        <v>195</v>
      </c>
      <c r="C108" s="6" t="s">
        <v>2613</v>
      </c>
      <c r="D108" s="6" t="s">
        <v>20</v>
      </c>
      <c r="E108" s="6">
        <v>1</v>
      </c>
      <c r="F108" s="6">
        <v>0</v>
      </c>
      <c r="G108" s="6">
        <v>0</v>
      </c>
      <c r="H108" s="6">
        <v>15299.29</v>
      </c>
      <c r="I108" s="6">
        <v>15299.29</v>
      </c>
    </row>
    <row r="109" spans="2:9" ht="15.75" customHeight="1" x14ac:dyDescent="0.25">
      <c r="B109" s="6" t="s">
        <v>197</v>
      </c>
      <c r="C109" s="6" t="s">
        <v>2614</v>
      </c>
      <c r="D109" s="6" t="s">
        <v>20</v>
      </c>
      <c r="E109" s="6">
        <v>1</v>
      </c>
      <c r="F109" s="6">
        <v>0</v>
      </c>
      <c r="G109" s="6">
        <v>0</v>
      </c>
      <c r="H109" s="6">
        <v>7997.96</v>
      </c>
      <c r="I109" s="6">
        <v>7997.96</v>
      </c>
    </row>
    <row r="110" spans="2:9" ht="15.75" customHeight="1" x14ac:dyDescent="0.25">
      <c r="B110" s="6" t="s">
        <v>199</v>
      </c>
      <c r="C110" s="6" t="s">
        <v>2615</v>
      </c>
      <c r="D110" s="6" t="s">
        <v>20</v>
      </c>
      <c r="E110" s="6">
        <v>1</v>
      </c>
      <c r="F110" s="6">
        <v>0</v>
      </c>
      <c r="G110" s="6">
        <v>0</v>
      </c>
      <c r="H110" s="6">
        <v>4097.58</v>
      </c>
      <c r="I110" s="6">
        <v>4097.58</v>
      </c>
    </row>
    <row r="111" spans="2:9" ht="15.75" customHeight="1" x14ac:dyDescent="0.25">
      <c r="B111" s="6" t="s">
        <v>201</v>
      </c>
      <c r="C111" s="6" t="s">
        <v>2616</v>
      </c>
      <c r="D111" s="6" t="s">
        <v>112</v>
      </c>
      <c r="E111" s="6">
        <v>3</v>
      </c>
      <c r="F111" s="6">
        <v>191.25</v>
      </c>
      <c r="G111" s="6">
        <v>573.75</v>
      </c>
      <c r="H111" s="6">
        <v>0</v>
      </c>
      <c r="I111" s="6">
        <v>0</v>
      </c>
    </row>
    <row r="112" spans="2:9" ht="15.75" customHeight="1" x14ac:dyDescent="0.25">
      <c r="B112" s="6" t="s">
        <v>202</v>
      </c>
      <c r="C112" s="6" t="s">
        <v>2617</v>
      </c>
      <c r="D112" s="6" t="s">
        <v>112</v>
      </c>
      <c r="E112" s="6">
        <v>3</v>
      </c>
      <c r="F112" s="6">
        <v>289.61</v>
      </c>
      <c r="G112" s="6">
        <v>868.83</v>
      </c>
      <c r="H112" s="6">
        <v>0</v>
      </c>
      <c r="I112" s="6">
        <v>0</v>
      </c>
    </row>
    <row r="113" spans="2:9" ht="15.75" customHeight="1" x14ac:dyDescent="0.25">
      <c r="B113" s="7" t="s">
        <v>47</v>
      </c>
      <c r="C113" s="7" t="s">
        <v>2618</v>
      </c>
      <c r="D113" s="1"/>
      <c r="E113" s="1"/>
      <c r="F113" s="1"/>
      <c r="G113" s="7">
        <v>24110.080000000002</v>
      </c>
      <c r="H113" s="1"/>
      <c r="I113" s="7">
        <v>0</v>
      </c>
    </row>
    <row r="114" spans="2:9" ht="15.75" customHeight="1" x14ac:dyDescent="0.25">
      <c r="B114" s="6" t="s">
        <v>204</v>
      </c>
      <c r="C114" s="6" t="s">
        <v>2619</v>
      </c>
      <c r="D114" s="6" t="s">
        <v>112</v>
      </c>
      <c r="E114" s="6">
        <v>7</v>
      </c>
      <c r="F114" s="6">
        <v>624.92999999999995</v>
      </c>
      <c r="G114" s="6">
        <v>4374.51</v>
      </c>
      <c r="H114" s="6">
        <v>0</v>
      </c>
      <c r="I114" s="6">
        <v>0</v>
      </c>
    </row>
    <row r="115" spans="2:9" ht="15.75" customHeight="1" x14ac:dyDescent="0.25">
      <c r="B115" s="6" t="s">
        <v>206</v>
      </c>
      <c r="C115" s="6" t="s">
        <v>2620</v>
      </c>
      <c r="D115" s="6" t="s">
        <v>112</v>
      </c>
      <c r="E115" s="6">
        <v>42</v>
      </c>
      <c r="F115" s="6">
        <v>461</v>
      </c>
      <c r="G115" s="6">
        <v>19362</v>
      </c>
      <c r="H115" s="6">
        <v>0</v>
      </c>
      <c r="I115" s="6">
        <v>0</v>
      </c>
    </row>
    <row r="116" spans="2:9" ht="15.75" customHeight="1" x14ac:dyDescent="0.25">
      <c r="B116" s="6" t="s">
        <v>208</v>
      </c>
      <c r="C116" s="6" t="s">
        <v>2621</v>
      </c>
      <c r="D116" s="6" t="s">
        <v>112</v>
      </c>
      <c r="E116" s="6">
        <v>1</v>
      </c>
      <c r="F116" s="6">
        <v>373.57</v>
      </c>
      <c r="G116" s="6">
        <v>373.57</v>
      </c>
      <c r="H116" s="6">
        <v>0</v>
      </c>
      <c r="I116" s="6">
        <v>0</v>
      </c>
    </row>
    <row r="117" spans="2:9" ht="15.75" customHeight="1" x14ac:dyDescent="0.25">
      <c r="B117" s="7" t="s">
        <v>49</v>
      </c>
      <c r="C117" s="7" t="s">
        <v>2622</v>
      </c>
      <c r="D117" s="1"/>
      <c r="E117" s="1"/>
      <c r="F117" s="1"/>
      <c r="G117" s="7">
        <v>16449.5</v>
      </c>
      <c r="H117" s="1"/>
      <c r="I117" s="7">
        <v>0</v>
      </c>
    </row>
    <row r="118" spans="2:9" ht="15.75" customHeight="1" x14ac:dyDescent="0.25">
      <c r="B118" s="6" t="s">
        <v>215</v>
      </c>
      <c r="C118" s="6" t="s">
        <v>2623</v>
      </c>
      <c r="D118" s="6" t="s">
        <v>6</v>
      </c>
      <c r="E118" s="6">
        <v>1</v>
      </c>
      <c r="F118" s="6">
        <v>8141.81</v>
      </c>
      <c r="G118" s="6">
        <v>8141.81</v>
      </c>
      <c r="H118" s="6">
        <v>0</v>
      </c>
      <c r="I118" s="6">
        <v>0</v>
      </c>
    </row>
    <row r="119" spans="2:9" ht="15.75" customHeight="1" x14ac:dyDescent="0.25">
      <c r="B119" s="6" t="s">
        <v>217</v>
      </c>
      <c r="C119" s="6" t="s">
        <v>2624</v>
      </c>
      <c r="D119" s="6" t="s">
        <v>6</v>
      </c>
      <c r="E119" s="6">
        <v>1</v>
      </c>
      <c r="F119" s="6">
        <v>8307.69</v>
      </c>
      <c r="G119" s="6">
        <v>8307.69</v>
      </c>
      <c r="H119" s="6">
        <v>0</v>
      </c>
      <c r="I119" s="6">
        <v>0</v>
      </c>
    </row>
    <row r="120" spans="2:9" ht="15.75" customHeight="1" x14ac:dyDescent="0.25">
      <c r="B120" s="5" t="s">
        <v>73</v>
      </c>
      <c r="C120" s="5" t="s">
        <v>2625</v>
      </c>
      <c r="D120" s="1"/>
      <c r="E120" s="1"/>
      <c r="F120" s="1"/>
      <c r="G120" s="5">
        <v>88270.03</v>
      </c>
      <c r="H120" s="1"/>
      <c r="I120" s="5">
        <v>0</v>
      </c>
    </row>
    <row r="121" spans="2:9" ht="15.75" customHeight="1" x14ac:dyDescent="0.25">
      <c r="B121" s="7" t="s">
        <v>75</v>
      </c>
      <c r="C121" s="7" t="s">
        <v>2567</v>
      </c>
      <c r="D121" s="1"/>
      <c r="E121" s="1"/>
      <c r="F121" s="1"/>
      <c r="G121" s="7">
        <v>7431.45</v>
      </c>
      <c r="H121" s="1"/>
      <c r="I121" s="7">
        <v>0</v>
      </c>
    </row>
    <row r="122" spans="2:9" ht="15.75" customHeight="1" x14ac:dyDescent="0.25">
      <c r="B122" s="6" t="s">
        <v>2626</v>
      </c>
      <c r="C122" s="6" t="s">
        <v>2462</v>
      </c>
      <c r="D122" s="6" t="s">
        <v>6</v>
      </c>
      <c r="E122" s="6">
        <v>1</v>
      </c>
      <c r="F122" s="6">
        <v>7431.45</v>
      </c>
      <c r="G122" s="6">
        <v>7431.45</v>
      </c>
      <c r="H122" s="6">
        <v>0</v>
      </c>
      <c r="I122" s="6">
        <v>0</v>
      </c>
    </row>
    <row r="123" spans="2:9" ht="15.75" customHeight="1" x14ac:dyDescent="0.25">
      <c r="B123" s="7" t="s">
        <v>78</v>
      </c>
      <c r="C123" s="7" t="s">
        <v>2568</v>
      </c>
      <c r="D123" s="1"/>
      <c r="E123" s="1"/>
      <c r="F123" s="1"/>
      <c r="G123" s="7">
        <v>29354.240000000002</v>
      </c>
      <c r="H123" s="1"/>
      <c r="I123" s="7">
        <v>0</v>
      </c>
    </row>
    <row r="124" spans="2:9" ht="15.75" customHeight="1" x14ac:dyDescent="0.25">
      <c r="B124" s="6" t="s">
        <v>2627</v>
      </c>
      <c r="C124" s="6" t="s">
        <v>2628</v>
      </c>
      <c r="D124" s="6" t="s">
        <v>34</v>
      </c>
      <c r="E124" s="6">
        <v>1918.7</v>
      </c>
      <c r="F124" s="6">
        <v>10.71</v>
      </c>
      <c r="G124" s="6">
        <v>20549.28</v>
      </c>
      <c r="H124" s="6">
        <v>0</v>
      </c>
      <c r="I124" s="6">
        <v>0</v>
      </c>
    </row>
    <row r="125" spans="2:9" ht="15.75" customHeight="1" x14ac:dyDescent="0.25">
      <c r="B125" s="6" t="s">
        <v>2629</v>
      </c>
      <c r="C125" s="6" t="s">
        <v>2630</v>
      </c>
      <c r="D125" s="6" t="s">
        <v>34</v>
      </c>
      <c r="E125" s="6">
        <v>679.92</v>
      </c>
      <c r="F125" s="6">
        <v>12.95</v>
      </c>
      <c r="G125" s="6">
        <v>8804.9599999999991</v>
      </c>
      <c r="H125" s="6">
        <v>0</v>
      </c>
      <c r="I125" s="6">
        <v>0</v>
      </c>
    </row>
    <row r="126" spans="2:9" ht="15.75" customHeight="1" x14ac:dyDescent="0.25">
      <c r="B126" s="7" t="s">
        <v>527</v>
      </c>
      <c r="C126" s="7" t="s">
        <v>2631</v>
      </c>
      <c r="D126" s="1"/>
      <c r="E126" s="1"/>
      <c r="F126" s="1"/>
      <c r="G126" s="7">
        <v>31518.69</v>
      </c>
      <c r="H126" s="1"/>
      <c r="I126" s="7">
        <v>0</v>
      </c>
    </row>
    <row r="127" spans="2:9" ht="15.75" customHeight="1" x14ac:dyDescent="0.25">
      <c r="B127" s="6" t="s">
        <v>2632</v>
      </c>
      <c r="C127" s="6" t="s">
        <v>2633</v>
      </c>
      <c r="D127" s="6" t="s">
        <v>2507</v>
      </c>
      <c r="E127" s="6">
        <v>434</v>
      </c>
      <c r="F127" s="6">
        <v>64.48</v>
      </c>
      <c r="G127" s="6">
        <v>27984.32</v>
      </c>
      <c r="H127" s="6">
        <v>0</v>
      </c>
      <c r="I127" s="6">
        <v>0</v>
      </c>
    </row>
    <row r="128" spans="2:9" ht="15.75" customHeight="1" x14ac:dyDescent="0.25">
      <c r="B128" s="6" t="s">
        <v>2634</v>
      </c>
      <c r="C128" s="6" t="s">
        <v>2635</v>
      </c>
      <c r="D128" s="6" t="s">
        <v>2507</v>
      </c>
      <c r="E128" s="6">
        <v>49</v>
      </c>
      <c r="F128" s="6">
        <v>72.13</v>
      </c>
      <c r="G128" s="6">
        <v>3534.37</v>
      </c>
      <c r="H128" s="6">
        <v>0</v>
      </c>
      <c r="I128" s="6">
        <v>0</v>
      </c>
    </row>
    <row r="129" spans="2:9" ht="15.75" customHeight="1" x14ac:dyDescent="0.25">
      <c r="B129" s="7" t="s">
        <v>529</v>
      </c>
      <c r="C129" s="7" t="s">
        <v>2592</v>
      </c>
      <c r="D129" s="1"/>
      <c r="E129" s="1"/>
      <c r="F129" s="1"/>
      <c r="G129" s="7">
        <v>19965.650000000001</v>
      </c>
      <c r="H129" s="1"/>
      <c r="I129" s="7">
        <v>0</v>
      </c>
    </row>
    <row r="130" spans="2:9" ht="15.75" customHeight="1" x14ac:dyDescent="0.25">
      <c r="B130" s="6" t="s">
        <v>2636</v>
      </c>
      <c r="C130" s="6" t="s">
        <v>2594</v>
      </c>
      <c r="D130" s="6" t="s">
        <v>112</v>
      </c>
      <c r="E130" s="6">
        <v>215</v>
      </c>
      <c r="F130" s="6">
        <v>74.31</v>
      </c>
      <c r="G130" s="6">
        <v>15976.65</v>
      </c>
      <c r="H130" s="6">
        <v>0</v>
      </c>
      <c r="I130" s="6">
        <v>0</v>
      </c>
    </row>
    <row r="131" spans="2:9" ht="15.75" customHeight="1" x14ac:dyDescent="0.25">
      <c r="B131" s="6" t="s">
        <v>2637</v>
      </c>
      <c r="C131" s="6" t="s">
        <v>2595</v>
      </c>
      <c r="D131" s="6" t="s">
        <v>112</v>
      </c>
      <c r="E131" s="6">
        <v>50</v>
      </c>
      <c r="F131" s="6">
        <v>79.78</v>
      </c>
      <c r="G131" s="6">
        <v>3989</v>
      </c>
      <c r="H131" s="6">
        <v>0</v>
      </c>
      <c r="I131" s="6">
        <v>0</v>
      </c>
    </row>
    <row r="132" spans="2:9" ht="15.75" customHeight="1" x14ac:dyDescent="0.25">
      <c r="B132" s="5" t="s">
        <v>80</v>
      </c>
      <c r="C132" s="5" t="s">
        <v>136</v>
      </c>
      <c r="D132" s="1"/>
      <c r="E132" s="1"/>
      <c r="F132" s="1"/>
      <c r="G132" s="5">
        <v>13964.74</v>
      </c>
      <c r="H132" s="1"/>
      <c r="I132" s="5">
        <v>0</v>
      </c>
    </row>
    <row r="133" spans="2:9" ht="15.75" customHeight="1" x14ac:dyDescent="0.25">
      <c r="B133" s="6" t="s">
        <v>82</v>
      </c>
      <c r="C133" s="6" t="s">
        <v>2638</v>
      </c>
      <c r="D133" s="6" t="s">
        <v>34</v>
      </c>
      <c r="E133" s="6">
        <v>506.92</v>
      </c>
      <c r="F133" s="6">
        <v>5.87</v>
      </c>
      <c r="G133" s="6">
        <v>2975.62</v>
      </c>
      <c r="H133" s="6">
        <v>0</v>
      </c>
      <c r="I133" s="6">
        <v>0</v>
      </c>
    </row>
    <row r="134" spans="2:9" ht="15.75" customHeight="1" x14ac:dyDescent="0.25">
      <c r="B134" s="6" t="s">
        <v>84</v>
      </c>
      <c r="C134" s="6" t="s">
        <v>2639</v>
      </c>
      <c r="D134" s="6" t="s">
        <v>34</v>
      </c>
      <c r="E134" s="6">
        <v>204.55</v>
      </c>
      <c r="F134" s="6">
        <v>8.31</v>
      </c>
      <c r="G134" s="6">
        <v>1699.81</v>
      </c>
      <c r="H134" s="6">
        <v>0</v>
      </c>
      <c r="I134" s="6">
        <v>0</v>
      </c>
    </row>
    <row r="135" spans="2:9" ht="15.75" customHeight="1" x14ac:dyDescent="0.25">
      <c r="B135" s="6" t="s">
        <v>86</v>
      </c>
      <c r="C135" s="6" t="s">
        <v>2640</v>
      </c>
      <c r="D135" s="6" t="s">
        <v>112</v>
      </c>
      <c r="E135" s="6">
        <v>1</v>
      </c>
      <c r="F135" s="6">
        <v>3825.01</v>
      </c>
      <c r="G135" s="6">
        <v>3825.01</v>
      </c>
      <c r="H135" s="6">
        <v>0</v>
      </c>
      <c r="I135" s="6">
        <v>0</v>
      </c>
    </row>
    <row r="136" spans="2:9" ht="15.75" customHeight="1" x14ac:dyDescent="0.25">
      <c r="B136" s="6" t="s">
        <v>88</v>
      </c>
      <c r="C136" s="6" t="s">
        <v>2641</v>
      </c>
      <c r="D136" s="6" t="s">
        <v>112</v>
      </c>
      <c r="E136" s="6">
        <v>1</v>
      </c>
      <c r="F136" s="6">
        <v>5464.3</v>
      </c>
      <c r="G136" s="6">
        <v>5464.3</v>
      </c>
      <c r="H136" s="6">
        <v>0</v>
      </c>
      <c r="I136" s="6">
        <v>0</v>
      </c>
    </row>
    <row r="137" spans="2:9" ht="15.75" customHeight="1" x14ac:dyDescent="0.25">
      <c r="B137" s="1"/>
      <c r="C137" s="1"/>
      <c r="D137" s="1"/>
      <c r="E137" s="1"/>
      <c r="F137" s="1"/>
      <c r="G137" s="1"/>
      <c r="H137" s="1"/>
      <c r="I137" s="1"/>
    </row>
    <row r="138" spans="2:9" ht="15.75" customHeight="1" x14ac:dyDescent="0.25">
      <c r="B138" s="1"/>
      <c r="C138" s="1"/>
      <c r="D138" s="1"/>
      <c r="E138" s="1"/>
      <c r="F138" s="1"/>
      <c r="G138" s="1"/>
      <c r="H138" s="1"/>
      <c r="I138" s="1"/>
    </row>
    <row r="139" spans="2:9" ht="15.75" customHeight="1" x14ac:dyDescent="0.25">
      <c r="B139" s="1"/>
      <c r="C139" s="1"/>
      <c r="D139" s="1"/>
      <c r="E139" s="1"/>
      <c r="F139" s="1"/>
      <c r="G139" s="1"/>
      <c r="H139" s="1"/>
      <c r="I139" s="1"/>
    </row>
    <row r="140" spans="2:9" ht="15.75" customHeight="1" x14ac:dyDescent="0.25">
      <c r="B140" s="1"/>
      <c r="C140" s="1"/>
      <c r="D140" s="1"/>
      <c r="E140" s="1"/>
      <c r="F140" s="1"/>
      <c r="G140" s="1"/>
      <c r="H140" s="1"/>
      <c r="I140" s="1"/>
    </row>
    <row r="141" spans="2:9" ht="15.75" customHeight="1" x14ac:dyDescent="0.25">
      <c r="B141" s="1"/>
      <c r="C141" s="1"/>
      <c r="D141" s="1"/>
      <c r="E141" s="1"/>
      <c r="F141" s="1"/>
      <c r="G141" s="1"/>
      <c r="H141" s="1"/>
      <c r="I141" s="1"/>
    </row>
    <row r="142" spans="2:9" ht="15.75" customHeight="1" x14ac:dyDescent="0.25">
      <c r="B142" s="1"/>
      <c r="C142" s="1"/>
      <c r="D142" s="1"/>
      <c r="E142" s="1"/>
      <c r="F142" s="1"/>
      <c r="G142" s="1"/>
      <c r="H142" s="1"/>
      <c r="I142" s="1"/>
    </row>
    <row r="143" spans="2:9" ht="15.75" customHeight="1" x14ac:dyDescent="0.25">
      <c r="B143" s="1"/>
      <c r="C143" s="1"/>
      <c r="D143" s="1"/>
      <c r="E143" s="1"/>
      <c r="F143" s="1"/>
      <c r="G143" s="1"/>
      <c r="H143" s="1"/>
      <c r="I143" s="1"/>
    </row>
    <row r="144" spans="2:9" ht="15.75" customHeight="1" x14ac:dyDescent="0.25">
      <c r="B144" s="1"/>
      <c r="C144" s="1"/>
      <c r="D144" s="1"/>
      <c r="E144" s="1"/>
      <c r="F144" s="1"/>
      <c r="G144" s="1"/>
      <c r="H144" s="1"/>
      <c r="I144" s="1"/>
    </row>
    <row r="145" spans="2:9" ht="15.75" customHeight="1" x14ac:dyDescent="0.25">
      <c r="B145" s="1"/>
      <c r="C145" s="1"/>
      <c r="D145" s="1"/>
      <c r="E145" s="1"/>
      <c r="F145" s="1"/>
      <c r="G145" s="1"/>
      <c r="H145" s="1"/>
      <c r="I145" s="1"/>
    </row>
    <row r="146" spans="2:9" ht="15.75" customHeight="1" x14ac:dyDescent="0.25">
      <c r="B146" s="1"/>
      <c r="C146" s="1"/>
      <c r="D146" s="1"/>
      <c r="E146" s="1"/>
      <c r="F146" s="1"/>
      <c r="G146" s="1"/>
      <c r="H146" s="1"/>
      <c r="I146" s="1"/>
    </row>
    <row r="147" spans="2:9" ht="15.75" customHeight="1" x14ac:dyDescent="0.25">
      <c r="B147" s="1"/>
      <c r="C147" s="1"/>
      <c r="D147" s="1"/>
      <c r="E147" s="1"/>
      <c r="F147" s="1"/>
      <c r="G147" s="1"/>
      <c r="H147" s="1"/>
      <c r="I147" s="1"/>
    </row>
    <row r="148" spans="2:9" ht="15.75" customHeight="1" x14ac:dyDescent="0.25">
      <c r="B148" s="1"/>
      <c r="C148" s="1"/>
      <c r="D148" s="1"/>
      <c r="E148" s="1"/>
      <c r="F148" s="1"/>
      <c r="G148" s="1"/>
      <c r="H148" s="1"/>
      <c r="I148" s="1"/>
    </row>
    <row r="149" spans="2:9" ht="15.75" customHeight="1" x14ac:dyDescent="0.25">
      <c r="B149" s="1"/>
      <c r="C149" s="1"/>
      <c r="D149" s="1"/>
      <c r="E149" s="1"/>
      <c r="F149" s="1"/>
      <c r="G149" s="1"/>
      <c r="H149" s="1"/>
      <c r="I149" s="1"/>
    </row>
    <row r="150" spans="2:9" ht="15.75" customHeight="1" x14ac:dyDescent="0.25">
      <c r="B150" s="1"/>
      <c r="C150" s="1"/>
      <c r="D150" s="1"/>
      <c r="E150" s="1"/>
      <c r="F150" s="1"/>
      <c r="G150" s="1"/>
      <c r="H150" s="1"/>
      <c r="I150" s="1"/>
    </row>
    <row r="151" spans="2:9" ht="15.75" customHeight="1" x14ac:dyDescent="0.25">
      <c r="B151" s="1"/>
      <c r="C151" s="1"/>
      <c r="D151" s="1"/>
      <c r="E151" s="1"/>
      <c r="F151" s="1"/>
      <c r="G151" s="1"/>
      <c r="H151" s="1"/>
      <c r="I151" s="1"/>
    </row>
    <row r="152" spans="2:9" ht="15.75" customHeight="1" x14ac:dyDescent="0.25">
      <c r="B152" s="1"/>
      <c r="C152" s="1"/>
      <c r="D152" s="1"/>
      <c r="E152" s="1"/>
      <c r="F152" s="1"/>
      <c r="G152" s="1"/>
      <c r="H152" s="1"/>
      <c r="I152" s="1"/>
    </row>
    <row r="153" spans="2:9" ht="15.75" customHeight="1" x14ac:dyDescent="0.25">
      <c r="B153" s="1"/>
      <c r="C153" s="1"/>
      <c r="D153" s="1"/>
      <c r="E153" s="1"/>
      <c r="F153" s="1"/>
      <c r="G153" s="1"/>
      <c r="H153" s="1"/>
      <c r="I153" s="1"/>
    </row>
    <row r="154" spans="2:9" ht="15.75" customHeight="1" x14ac:dyDescent="0.25">
      <c r="B154" s="1"/>
      <c r="C154" s="1"/>
      <c r="D154" s="1"/>
      <c r="E154" s="1"/>
      <c r="F154" s="1"/>
      <c r="G154" s="1"/>
      <c r="H154" s="1"/>
      <c r="I154" s="1"/>
    </row>
    <row r="155" spans="2:9" ht="15.75" customHeight="1" x14ac:dyDescent="0.25">
      <c r="B155" s="1"/>
      <c r="C155" s="1"/>
      <c r="D155" s="1"/>
      <c r="E155" s="1"/>
      <c r="F155" s="1"/>
      <c r="G155" s="1"/>
      <c r="H155" s="1"/>
      <c r="I155" s="1"/>
    </row>
    <row r="156" spans="2:9" ht="15.75" customHeight="1" x14ac:dyDescent="0.25">
      <c r="B156" s="1"/>
      <c r="C156" s="1"/>
      <c r="D156" s="1"/>
      <c r="E156" s="1"/>
      <c r="F156" s="1"/>
      <c r="G156" s="1"/>
      <c r="H156" s="1"/>
      <c r="I156" s="1"/>
    </row>
    <row r="157" spans="2:9" ht="15.75" customHeight="1" x14ac:dyDescent="0.25">
      <c r="B157" s="1"/>
      <c r="C157" s="1"/>
      <c r="D157" s="1"/>
      <c r="E157" s="1"/>
      <c r="F157" s="1"/>
      <c r="G157" s="1"/>
      <c r="H157" s="1"/>
      <c r="I157" s="1"/>
    </row>
    <row r="158" spans="2:9" ht="15.75" customHeight="1" x14ac:dyDescent="0.25">
      <c r="B158" s="1"/>
      <c r="C158" s="1"/>
      <c r="D158" s="1"/>
      <c r="E158" s="1"/>
      <c r="F158" s="1"/>
      <c r="G158" s="1"/>
      <c r="H158" s="1"/>
      <c r="I158" s="1"/>
    </row>
    <row r="159" spans="2:9" ht="15.75" customHeight="1" x14ac:dyDescent="0.25">
      <c r="B159" s="1"/>
      <c r="C159" s="1"/>
      <c r="D159" s="1"/>
      <c r="E159" s="1"/>
      <c r="F159" s="1"/>
      <c r="G159" s="1"/>
      <c r="H159" s="1"/>
      <c r="I159" s="1"/>
    </row>
    <row r="160" spans="2:9" ht="15.75" customHeight="1" x14ac:dyDescent="0.25">
      <c r="B160" s="1"/>
      <c r="C160" s="1"/>
      <c r="D160" s="1"/>
      <c r="E160" s="1"/>
      <c r="F160" s="1"/>
      <c r="G160" s="1"/>
      <c r="H160" s="1"/>
      <c r="I160" s="1"/>
    </row>
    <row r="161" spans="2:9" ht="15.75" customHeight="1" x14ac:dyDescent="0.25">
      <c r="B161" s="1"/>
      <c r="C161" s="1"/>
      <c r="D161" s="1"/>
      <c r="E161" s="1"/>
      <c r="F161" s="1"/>
      <c r="G161" s="1"/>
      <c r="H161" s="1"/>
      <c r="I161" s="1"/>
    </row>
    <row r="162" spans="2:9" ht="15.75" customHeight="1" x14ac:dyDescent="0.25">
      <c r="B162" s="1"/>
      <c r="C162" s="1"/>
      <c r="D162" s="1"/>
      <c r="E162" s="1"/>
      <c r="F162" s="1"/>
      <c r="G162" s="1"/>
      <c r="H162" s="1"/>
      <c r="I162" s="1"/>
    </row>
    <row r="163" spans="2:9" ht="15.75" customHeight="1" x14ac:dyDescent="0.25">
      <c r="B163" s="1"/>
      <c r="C163" s="1"/>
      <c r="D163" s="1"/>
      <c r="E163" s="1"/>
      <c r="F163" s="1"/>
      <c r="G163" s="1"/>
      <c r="H163" s="1"/>
      <c r="I163" s="1"/>
    </row>
    <row r="164" spans="2:9" ht="15.75" customHeight="1" x14ac:dyDescent="0.25">
      <c r="B164" s="1"/>
      <c r="C164" s="1"/>
      <c r="D164" s="1"/>
      <c r="E164" s="1"/>
      <c r="F164" s="1"/>
      <c r="G164" s="1"/>
      <c r="H164" s="1"/>
      <c r="I164" s="1"/>
    </row>
    <row r="165" spans="2:9" ht="15.75" customHeight="1" x14ac:dyDescent="0.25">
      <c r="B165" s="1"/>
      <c r="C165" s="1"/>
      <c r="D165" s="1"/>
      <c r="E165" s="1"/>
      <c r="F165" s="1"/>
      <c r="G165" s="1"/>
      <c r="H165" s="1"/>
      <c r="I165" s="1"/>
    </row>
    <row r="166" spans="2:9" ht="15.75" customHeight="1" x14ac:dyDescent="0.25">
      <c r="B166" s="1"/>
      <c r="C166" s="1"/>
      <c r="D166" s="1"/>
      <c r="E166" s="1"/>
      <c r="F166" s="1"/>
      <c r="G166" s="1"/>
      <c r="H166" s="1"/>
      <c r="I166" s="1"/>
    </row>
    <row r="167" spans="2:9" ht="15.75" customHeight="1" x14ac:dyDescent="0.25">
      <c r="B167" s="1"/>
      <c r="C167" s="1"/>
      <c r="D167" s="1"/>
      <c r="E167" s="1"/>
      <c r="F167" s="1"/>
      <c r="G167" s="1"/>
      <c r="H167" s="1"/>
      <c r="I167" s="1"/>
    </row>
    <row r="168" spans="2:9" ht="15.75" customHeight="1" x14ac:dyDescent="0.25">
      <c r="B168" s="1"/>
      <c r="C168" s="1"/>
      <c r="D168" s="1"/>
      <c r="E168" s="1"/>
      <c r="F168" s="1"/>
      <c r="G168" s="1"/>
      <c r="H168" s="1"/>
      <c r="I168" s="1"/>
    </row>
    <row r="169" spans="2:9" ht="15.75" customHeight="1" x14ac:dyDescent="0.25">
      <c r="B169" s="1"/>
      <c r="C169" s="1"/>
      <c r="D169" s="1"/>
      <c r="E169" s="1"/>
      <c r="F169" s="1"/>
      <c r="G169" s="1"/>
      <c r="H169" s="1"/>
      <c r="I169" s="1"/>
    </row>
    <row r="170" spans="2:9" ht="15.75" customHeight="1" x14ac:dyDescent="0.25">
      <c r="B170" s="1"/>
      <c r="C170" s="1"/>
      <c r="D170" s="1"/>
      <c r="E170" s="1"/>
      <c r="F170" s="1"/>
      <c r="G170" s="1"/>
      <c r="H170" s="1"/>
      <c r="I170" s="1"/>
    </row>
    <row r="171" spans="2:9" ht="15.75" customHeight="1" x14ac:dyDescent="0.25">
      <c r="B171" s="1"/>
      <c r="C171" s="1"/>
      <c r="D171" s="1"/>
      <c r="E171" s="1"/>
      <c r="F171" s="1"/>
      <c r="G171" s="1"/>
      <c r="H171" s="1"/>
      <c r="I171" s="1"/>
    </row>
    <row r="172" spans="2:9" ht="15.75" customHeight="1" x14ac:dyDescent="0.25">
      <c r="B172" s="1"/>
      <c r="C172" s="1"/>
      <c r="D172" s="1"/>
      <c r="E172" s="1"/>
      <c r="F172" s="1"/>
      <c r="G172" s="1"/>
      <c r="H172" s="1"/>
      <c r="I172" s="1"/>
    </row>
    <row r="173" spans="2:9" ht="15.75" customHeight="1" x14ac:dyDescent="0.25">
      <c r="B173" s="1"/>
      <c r="C173" s="1"/>
      <c r="D173" s="1"/>
      <c r="E173" s="1"/>
      <c r="F173" s="1"/>
      <c r="G173" s="1"/>
      <c r="H173" s="1"/>
      <c r="I173" s="1"/>
    </row>
    <row r="174" spans="2:9" ht="15.75" customHeight="1" x14ac:dyDescent="0.25">
      <c r="B174" s="1"/>
      <c r="C174" s="1"/>
      <c r="D174" s="1"/>
      <c r="E174" s="1"/>
      <c r="F174" s="1"/>
      <c r="G174" s="1"/>
      <c r="H174" s="1"/>
      <c r="I174" s="1"/>
    </row>
    <row r="175" spans="2:9" ht="15.75" customHeight="1" x14ac:dyDescent="0.25">
      <c r="B175" s="1"/>
      <c r="C175" s="1"/>
      <c r="D175" s="1"/>
      <c r="E175" s="1"/>
      <c r="F175" s="1"/>
      <c r="G175" s="1"/>
      <c r="H175" s="1"/>
      <c r="I175" s="1"/>
    </row>
    <row r="176" spans="2:9" ht="15.75" customHeight="1" x14ac:dyDescent="0.25">
      <c r="B176" s="1"/>
      <c r="C176" s="1"/>
      <c r="D176" s="1"/>
      <c r="E176" s="1"/>
      <c r="F176" s="1"/>
      <c r="G176" s="1"/>
      <c r="H176" s="1"/>
      <c r="I176" s="1"/>
    </row>
    <row r="177" spans="2:9" ht="15.75" customHeight="1" x14ac:dyDescent="0.25">
      <c r="B177" s="1"/>
      <c r="C177" s="1"/>
      <c r="D177" s="1"/>
      <c r="E177" s="1"/>
      <c r="F177" s="1"/>
      <c r="G177" s="1"/>
      <c r="H177" s="1"/>
      <c r="I177" s="1"/>
    </row>
    <row r="178" spans="2:9" ht="15.75" customHeight="1" x14ac:dyDescent="0.25">
      <c r="B178" s="1"/>
      <c r="C178" s="1"/>
      <c r="D178" s="1"/>
      <c r="E178" s="1"/>
      <c r="F178" s="1"/>
      <c r="G178" s="1"/>
      <c r="H178" s="1"/>
      <c r="I178" s="1"/>
    </row>
    <row r="179" spans="2:9" ht="15.75" customHeight="1" x14ac:dyDescent="0.25">
      <c r="B179" s="1"/>
      <c r="C179" s="1"/>
      <c r="D179" s="1"/>
      <c r="E179" s="1"/>
      <c r="F179" s="1"/>
      <c r="G179" s="1"/>
      <c r="H179" s="1"/>
      <c r="I179" s="1"/>
    </row>
    <row r="180" spans="2:9" ht="15.75" customHeight="1" x14ac:dyDescent="0.25">
      <c r="B180" s="1"/>
      <c r="C180" s="1"/>
      <c r="D180" s="1"/>
      <c r="E180" s="1"/>
      <c r="F180" s="1"/>
      <c r="G180" s="1"/>
      <c r="H180" s="1"/>
      <c r="I180" s="1"/>
    </row>
    <row r="181" spans="2:9" ht="15.75" customHeight="1" x14ac:dyDescent="0.25">
      <c r="B181" s="1"/>
      <c r="C181" s="1"/>
      <c r="D181" s="1"/>
      <c r="E181" s="1"/>
      <c r="F181" s="1"/>
      <c r="G181" s="1"/>
      <c r="H181" s="1"/>
      <c r="I181" s="1"/>
    </row>
    <row r="182" spans="2:9" ht="15.75" customHeight="1" x14ac:dyDescent="0.25">
      <c r="B182" s="1"/>
      <c r="C182" s="1"/>
      <c r="D182" s="1"/>
      <c r="E182" s="1"/>
      <c r="F182" s="1"/>
      <c r="G182" s="1"/>
      <c r="H182" s="1"/>
      <c r="I182" s="1"/>
    </row>
    <row r="183" spans="2:9" ht="15.75" customHeight="1" x14ac:dyDescent="0.25">
      <c r="B183" s="1"/>
      <c r="C183" s="1"/>
      <c r="D183" s="1"/>
      <c r="E183" s="1"/>
      <c r="F183" s="1"/>
      <c r="G183" s="1"/>
      <c r="H183" s="1"/>
      <c r="I183" s="1"/>
    </row>
    <row r="184" spans="2:9" ht="15.75" customHeight="1" x14ac:dyDescent="0.25">
      <c r="B184" s="1"/>
      <c r="C184" s="1"/>
      <c r="D184" s="1"/>
      <c r="E184" s="1"/>
      <c r="F184" s="1"/>
      <c r="G184" s="1"/>
      <c r="H184" s="1"/>
      <c r="I184" s="1"/>
    </row>
    <row r="185" spans="2:9" ht="15.75" customHeight="1" x14ac:dyDescent="0.25">
      <c r="B185" s="1"/>
      <c r="C185" s="1"/>
      <c r="D185" s="1"/>
      <c r="E185" s="1"/>
      <c r="F185" s="1"/>
      <c r="G185" s="1"/>
      <c r="H185" s="1"/>
      <c r="I185" s="1"/>
    </row>
    <row r="186" spans="2:9" ht="15.75" customHeight="1" x14ac:dyDescent="0.25">
      <c r="B186" s="1"/>
      <c r="C186" s="1"/>
      <c r="D186" s="1"/>
      <c r="E186" s="1"/>
      <c r="F186" s="1"/>
      <c r="G186" s="1"/>
      <c r="H186" s="1"/>
      <c r="I186" s="1"/>
    </row>
    <row r="187" spans="2:9" ht="15.75" customHeight="1" x14ac:dyDescent="0.25">
      <c r="B187" s="1"/>
      <c r="C187" s="1"/>
      <c r="D187" s="1"/>
      <c r="E187" s="1"/>
      <c r="F187" s="1"/>
      <c r="G187" s="1"/>
      <c r="H187" s="1"/>
      <c r="I187" s="1"/>
    </row>
    <row r="188" spans="2:9" ht="15.75" customHeight="1" x14ac:dyDescent="0.25">
      <c r="B188" s="1"/>
      <c r="C188" s="1"/>
      <c r="D188" s="1"/>
      <c r="E188" s="1"/>
      <c r="F188" s="1"/>
      <c r="G188" s="1"/>
      <c r="H188" s="1"/>
      <c r="I188" s="1"/>
    </row>
    <row r="189" spans="2:9" ht="15.75" customHeight="1" x14ac:dyDescent="0.25">
      <c r="B189" s="1"/>
      <c r="C189" s="1"/>
      <c r="D189" s="1"/>
      <c r="E189" s="1"/>
      <c r="F189" s="1"/>
      <c r="G189" s="1"/>
      <c r="H189" s="1"/>
      <c r="I189" s="1"/>
    </row>
    <row r="190" spans="2:9" ht="15.75" customHeight="1" x14ac:dyDescent="0.25">
      <c r="B190" s="1"/>
      <c r="C190" s="1"/>
      <c r="D190" s="1"/>
      <c r="E190" s="1"/>
      <c r="F190" s="1"/>
      <c r="G190" s="1"/>
      <c r="H190" s="1"/>
      <c r="I190" s="1"/>
    </row>
    <row r="191" spans="2:9" ht="15.75" customHeight="1" x14ac:dyDescent="0.25">
      <c r="B191" s="1"/>
      <c r="C191" s="1"/>
      <c r="D191" s="1"/>
      <c r="E191" s="1"/>
      <c r="F191" s="1"/>
      <c r="G191" s="1"/>
      <c r="H191" s="1"/>
      <c r="I191" s="1"/>
    </row>
    <row r="192" spans="2:9" ht="15.75" customHeight="1" x14ac:dyDescent="0.25">
      <c r="B192" s="1"/>
      <c r="C192" s="1"/>
      <c r="D192" s="1"/>
      <c r="E192" s="1"/>
      <c r="F192" s="1"/>
      <c r="G192" s="1"/>
      <c r="H192" s="1"/>
      <c r="I192" s="1"/>
    </row>
    <row r="193" spans="2:9" ht="15.75" customHeight="1" x14ac:dyDescent="0.25">
      <c r="B193" s="1"/>
      <c r="C193" s="1"/>
      <c r="D193" s="1"/>
      <c r="E193" s="1"/>
      <c r="F193" s="1"/>
      <c r="G193" s="1"/>
      <c r="H193" s="1"/>
      <c r="I193" s="1"/>
    </row>
    <row r="194" spans="2:9" ht="15.75" customHeight="1" x14ac:dyDescent="0.25">
      <c r="B194" s="1"/>
      <c r="C194" s="1"/>
      <c r="D194" s="1"/>
      <c r="E194" s="1"/>
      <c r="F194" s="1"/>
      <c r="G194" s="1"/>
      <c r="H194" s="1"/>
      <c r="I194" s="1"/>
    </row>
    <row r="195" spans="2:9" ht="15.75" customHeight="1" x14ac:dyDescent="0.25">
      <c r="B195" s="1"/>
      <c r="C195" s="1"/>
      <c r="D195" s="1"/>
      <c r="E195" s="1"/>
      <c r="F195" s="1"/>
      <c r="G195" s="1"/>
      <c r="H195" s="1"/>
      <c r="I195" s="1"/>
    </row>
    <row r="196" spans="2:9" ht="15.75" customHeight="1" x14ac:dyDescent="0.25">
      <c r="B196" s="1"/>
      <c r="C196" s="1"/>
      <c r="D196" s="1"/>
      <c r="E196" s="1"/>
      <c r="F196" s="1"/>
      <c r="G196" s="1"/>
      <c r="H196" s="1"/>
      <c r="I196" s="1"/>
    </row>
    <row r="197" spans="2:9" ht="15.75" customHeight="1" x14ac:dyDescent="0.25">
      <c r="B197" s="1"/>
      <c r="C197" s="1"/>
      <c r="D197" s="1"/>
      <c r="E197" s="1"/>
      <c r="F197" s="1"/>
      <c r="G197" s="1"/>
      <c r="H197" s="1"/>
      <c r="I197" s="1"/>
    </row>
    <row r="198" spans="2:9" ht="15.75" customHeight="1" x14ac:dyDescent="0.25">
      <c r="B198" s="1"/>
      <c r="C198" s="1"/>
      <c r="D198" s="1"/>
      <c r="E198" s="1"/>
      <c r="F198" s="1"/>
      <c r="G198" s="1"/>
      <c r="H198" s="1"/>
      <c r="I198" s="1"/>
    </row>
    <row r="199" spans="2:9" ht="15.75" customHeight="1" x14ac:dyDescent="0.25">
      <c r="B199" s="1"/>
      <c r="C199" s="1"/>
      <c r="D199" s="1"/>
      <c r="E199" s="1"/>
      <c r="F199" s="1"/>
      <c r="G199" s="1"/>
      <c r="H199" s="1"/>
      <c r="I199" s="1"/>
    </row>
    <row r="200" spans="2:9" ht="15.75" customHeight="1" x14ac:dyDescent="0.25">
      <c r="B200" s="1"/>
      <c r="C200" s="1"/>
      <c r="D200" s="1"/>
      <c r="E200" s="1"/>
      <c r="F200" s="1"/>
      <c r="G200" s="1"/>
      <c r="H200" s="1"/>
      <c r="I200" s="1"/>
    </row>
    <row r="201" spans="2:9" ht="15.75" customHeight="1" x14ac:dyDescent="0.25">
      <c r="B201" s="1"/>
      <c r="C201" s="1"/>
      <c r="D201" s="1"/>
      <c r="E201" s="1"/>
      <c r="F201" s="1"/>
      <c r="G201" s="1"/>
      <c r="H201" s="1"/>
      <c r="I201" s="1"/>
    </row>
    <row r="202" spans="2:9" ht="15.75" customHeight="1" x14ac:dyDescent="0.25">
      <c r="B202" s="1"/>
      <c r="C202" s="1"/>
      <c r="D202" s="1"/>
      <c r="E202" s="1"/>
      <c r="F202" s="1"/>
      <c r="G202" s="1"/>
      <c r="H202" s="1"/>
      <c r="I202" s="1"/>
    </row>
    <row r="203" spans="2:9" ht="15.75" customHeight="1" x14ac:dyDescent="0.25">
      <c r="B203" s="1"/>
      <c r="C203" s="1"/>
      <c r="D203" s="1"/>
      <c r="E203" s="1"/>
      <c r="F203" s="1"/>
      <c r="G203" s="1"/>
      <c r="H203" s="1"/>
      <c r="I203" s="1"/>
    </row>
    <row r="204" spans="2:9" ht="15.75" customHeight="1" x14ac:dyDescent="0.25">
      <c r="B204" s="1"/>
      <c r="C204" s="1"/>
      <c r="D204" s="1"/>
      <c r="E204" s="1"/>
      <c r="F204" s="1"/>
      <c r="G204" s="1"/>
      <c r="H204" s="1"/>
      <c r="I204" s="1"/>
    </row>
    <row r="205" spans="2:9" ht="15.75" customHeight="1" x14ac:dyDescent="0.25">
      <c r="B205" s="1"/>
      <c r="C205" s="1"/>
      <c r="D205" s="1"/>
      <c r="E205" s="1"/>
      <c r="F205" s="1"/>
      <c r="G205" s="1"/>
      <c r="H205" s="1"/>
      <c r="I205" s="1"/>
    </row>
    <row r="206" spans="2:9" ht="15.75" customHeight="1" x14ac:dyDescent="0.25">
      <c r="B206" s="1"/>
      <c r="C206" s="1"/>
      <c r="D206" s="1"/>
      <c r="E206" s="1"/>
      <c r="F206" s="1"/>
      <c r="G206" s="1"/>
      <c r="H206" s="1"/>
      <c r="I206" s="1"/>
    </row>
    <row r="207" spans="2:9" ht="15.75" customHeight="1" x14ac:dyDescent="0.25">
      <c r="B207" s="1"/>
      <c r="C207" s="1"/>
      <c r="D207" s="1"/>
      <c r="E207" s="1"/>
      <c r="F207" s="1"/>
      <c r="G207" s="1"/>
      <c r="H207" s="1"/>
      <c r="I207" s="1"/>
    </row>
    <row r="208" spans="2:9" ht="15.75" customHeight="1" x14ac:dyDescent="0.25">
      <c r="B208" s="1"/>
      <c r="C208" s="1"/>
      <c r="D208" s="1"/>
      <c r="E208" s="1"/>
      <c r="F208" s="1"/>
      <c r="G208" s="1"/>
      <c r="H208" s="1"/>
      <c r="I208" s="1"/>
    </row>
    <row r="209" spans="2:9" ht="15.75" customHeight="1" x14ac:dyDescent="0.25">
      <c r="B209" s="1"/>
      <c r="C209" s="1"/>
      <c r="D209" s="1"/>
      <c r="E209" s="1"/>
      <c r="F209" s="1"/>
      <c r="G209" s="1"/>
      <c r="H209" s="1"/>
      <c r="I209" s="1"/>
    </row>
    <row r="210" spans="2:9" ht="15.75" customHeight="1" x14ac:dyDescent="0.25">
      <c r="B210" s="1"/>
      <c r="C210" s="1"/>
      <c r="D210" s="1"/>
      <c r="E210" s="1"/>
      <c r="F210" s="1"/>
      <c r="G210" s="1"/>
      <c r="H210" s="1"/>
      <c r="I210" s="1"/>
    </row>
    <row r="211" spans="2:9" ht="15.75" customHeight="1" x14ac:dyDescent="0.25">
      <c r="B211" s="1"/>
      <c r="C211" s="1"/>
      <c r="D211" s="1"/>
      <c r="E211" s="1"/>
      <c r="F211" s="1"/>
      <c r="G211" s="1"/>
      <c r="H211" s="1"/>
      <c r="I211" s="1"/>
    </row>
    <row r="212" spans="2:9" ht="15.75" customHeight="1" x14ac:dyDescent="0.25">
      <c r="B212" s="1"/>
      <c r="C212" s="1"/>
      <c r="D212" s="1"/>
      <c r="E212" s="1"/>
      <c r="F212" s="1"/>
      <c r="G212" s="1"/>
      <c r="H212" s="1"/>
      <c r="I212" s="1"/>
    </row>
    <row r="213" spans="2:9" ht="15.75" customHeight="1" x14ac:dyDescent="0.25">
      <c r="B213" s="1"/>
      <c r="C213" s="1"/>
      <c r="D213" s="1"/>
      <c r="E213" s="1"/>
      <c r="F213" s="1"/>
      <c r="G213" s="1"/>
      <c r="H213" s="1"/>
      <c r="I213" s="1"/>
    </row>
    <row r="214" spans="2:9" ht="15.75" customHeight="1" x14ac:dyDescent="0.25">
      <c r="B214" s="1"/>
      <c r="C214" s="1"/>
      <c r="D214" s="1"/>
      <c r="E214" s="1"/>
      <c r="F214" s="1"/>
      <c r="G214" s="1"/>
      <c r="H214" s="1"/>
      <c r="I214" s="1"/>
    </row>
    <row r="215" spans="2:9" ht="15.75" customHeight="1" x14ac:dyDescent="0.25">
      <c r="B215" s="1"/>
      <c r="C215" s="1"/>
      <c r="D215" s="1"/>
      <c r="E215" s="1"/>
      <c r="F215" s="1"/>
      <c r="G215" s="1"/>
      <c r="H215" s="1"/>
      <c r="I215" s="1"/>
    </row>
    <row r="216" spans="2:9" ht="15.75" customHeight="1" x14ac:dyDescent="0.25">
      <c r="B216" s="1"/>
      <c r="C216" s="1"/>
      <c r="D216" s="1"/>
      <c r="E216" s="1"/>
      <c r="F216" s="1"/>
      <c r="G216" s="1"/>
      <c r="H216" s="1"/>
      <c r="I216" s="1"/>
    </row>
    <row r="217" spans="2:9" ht="15.75" customHeight="1" x14ac:dyDescent="0.25">
      <c r="B217" s="1"/>
      <c r="C217" s="1"/>
      <c r="D217" s="1"/>
      <c r="E217" s="1"/>
      <c r="F217" s="1"/>
      <c r="G217" s="1"/>
      <c r="H217" s="1"/>
      <c r="I217" s="1"/>
    </row>
    <row r="218" spans="2:9" ht="15.75" customHeight="1" x14ac:dyDescent="0.25">
      <c r="B218" s="1"/>
      <c r="C218" s="1"/>
      <c r="D218" s="1"/>
      <c r="E218" s="1"/>
      <c r="F218" s="1"/>
      <c r="G218" s="1"/>
      <c r="H218" s="1"/>
      <c r="I218" s="1"/>
    </row>
    <row r="219" spans="2:9" ht="15.75" customHeight="1" x14ac:dyDescent="0.25">
      <c r="B219" s="1"/>
      <c r="C219" s="1"/>
      <c r="D219" s="1"/>
      <c r="E219" s="1"/>
      <c r="F219" s="1"/>
      <c r="G219" s="1"/>
      <c r="H219" s="1"/>
      <c r="I219" s="1"/>
    </row>
    <row r="220" spans="2:9" ht="15.75" customHeight="1" x14ac:dyDescent="0.25">
      <c r="B220" s="1"/>
      <c r="C220" s="1"/>
      <c r="D220" s="1"/>
      <c r="E220" s="1"/>
      <c r="F220" s="1"/>
      <c r="G220" s="1"/>
      <c r="H220" s="1"/>
      <c r="I220" s="1"/>
    </row>
    <row r="221" spans="2:9" ht="15.75" customHeight="1" x14ac:dyDescent="0.25">
      <c r="B221" s="1"/>
      <c r="C221" s="1"/>
      <c r="D221" s="1"/>
      <c r="E221" s="1"/>
      <c r="F221" s="1"/>
      <c r="G221" s="1"/>
      <c r="H221" s="1"/>
      <c r="I221" s="1"/>
    </row>
    <row r="222" spans="2:9" ht="15.75" customHeight="1" x14ac:dyDescent="0.25">
      <c r="B222" s="1"/>
      <c r="C222" s="1"/>
      <c r="D222" s="1"/>
      <c r="E222" s="1"/>
      <c r="F222" s="1"/>
      <c r="G222" s="1"/>
      <c r="H222" s="1"/>
      <c r="I222" s="1"/>
    </row>
    <row r="223" spans="2:9" ht="15.75" customHeight="1" x14ac:dyDescent="0.25">
      <c r="B223" s="1"/>
      <c r="C223" s="1"/>
      <c r="D223" s="1"/>
      <c r="E223" s="1"/>
      <c r="F223" s="1"/>
      <c r="G223" s="1"/>
      <c r="H223" s="1"/>
      <c r="I223" s="1"/>
    </row>
    <row r="224" spans="2:9" ht="15.75" customHeight="1" x14ac:dyDescent="0.25">
      <c r="B224" s="1"/>
      <c r="C224" s="1"/>
      <c r="D224" s="1"/>
      <c r="E224" s="1"/>
      <c r="F224" s="1"/>
      <c r="G224" s="1"/>
      <c r="H224" s="1"/>
      <c r="I224" s="1"/>
    </row>
    <row r="225" spans="2:9" ht="15.75" customHeight="1" x14ac:dyDescent="0.25">
      <c r="B225" s="1"/>
      <c r="C225" s="1"/>
      <c r="D225" s="1"/>
      <c r="E225" s="1"/>
      <c r="F225" s="1"/>
      <c r="G225" s="1"/>
      <c r="H225" s="1"/>
      <c r="I225" s="1"/>
    </row>
    <row r="226" spans="2:9" ht="15.75" customHeight="1" x14ac:dyDescent="0.25">
      <c r="B226" s="1"/>
      <c r="C226" s="1"/>
      <c r="D226" s="1"/>
      <c r="E226" s="1"/>
      <c r="F226" s="1"/>
      <c r="G226" s="1"/>
      <c r="H226" s="1"/>
      <c r="I226" s="1"/>
    </row>
    <row r="227" spans="2:9" ht="15.75" customHeight="1" x14ac:dyDescent="0.25">
      <c r="B227" s="1"/>
      <c r="C227" s="1"/>
      <c r="D227" s="1"/>
      <c r="E227" s="1"/>
      <c r="F227" s="1"/>
      <c r="G227" s="1"/>
      <c r="H227" s="1"/>
      <c r="I227" s="1"/>
    </row>
    <row r="228" spans="2:9" ht="15.75" customHeight="1" x14ac:dyDescent="0.25">
      <c r="B228" s="1"/>
      <c r="C228" s="1"/>
      <c r="D228" s="1"/>
      <c r="E228" s="1"/>
      <c r="F228" s="1"/>
      <c r="G228" s="1"/>
      <c r="H228" s="1"/>
      <c r="I228" s="1"/>
    </row>
    <row r="229" spans="2:9" ht="15.75" customHeight="1" x14ac:dyDescent="0.25">
      <c r="B229" s="1"/>
      <c r="C229" s="1"/>
      <c r="D229" s="1"/>
      <c r="E229" s="1"/>
      <c r="F229" s="1"/>
      <c r="G229" s="1"/>
      <c r="H229" s="1"/>
      <c r="I229" s="1"/>
    </row>
    <row r="230" spans="2:9" ht="15.75" customHeight="1" x14ac:dyDescent="0.25">
      <c r="B230" s="1"/>
      <c r="C230" s="1"/>
      <c r="D230" s="1"/>
      <c r="E230" s="1"/>
      <c r="F230" s="1"/>
      <c r="G230" s="1"/>
      <c r="H230" s="1"/>
      <c r="I230" s="1"/>
    </row>
    <row r="231" spans="2:9" ht="15.75" customHeight="1" x14ac:dyDescent="0.25">
      <c r="B231" s="1"/>
      <c r="C231" s="1"/>
      <c r="D231" s="1"/>
      <c r="E231" s="1"/>
      <c r="F231" s="1"/>
      <c r="G231" s="1"/>
      <c r="H231" s="1"/>
      <c r="I231" s="1"/>
    </row>
    <row r="232" spans="2:9" ht="15.75" customHeight="1" x14ac:dyDescent="0.25">
      <c r="B232" s="1"/>
      <c r="C232" s="1"/>
      <c r="D232" s="1"/>
      <c r="E232" s="1"/>
      <c r="F232" s="1"/>
      <c r="G232" s="1"/>
      <c r="H232" s="1"/>
      <c r="I232" s="1"/>
    </row>
    <row r="233" spans="2:9" ht="15.75" customHeight="1" x14ac:dyDescent="0.25">
      <c r="B233" s="1"/>
      <c r="C233" s="1"/>
      <c r="D233" s="1"/>
      <c r="E233" s="1"/>
      <c r="F233" s="1"/>
      <c r="G233" s="1"/>
      <c r="H233" s="1"/>
      <c r="I233" s="1"/>
    </row>
    <row r="234" spans="2:9" ht="15.75" customHeight="1" x14ac:dyDescent="0.25">
      <c r="B234" s="1"/>
      <c r="C234" s="1"/>
      <c r="D234" s="1"/>
      <c r="E234" s="1"/>
      <c r="F234" s="1"/>
      <c r="G234" s="1"/>
      <c r="H234" s="1"/>
      <c r="I234" s="1"/>
    </row>
    <row r="235" spans="2:9" ht="15.75" customHeight="1" x14ac:dyDescent="0.25">
      <c r="B235" s="1"/>
      <c r="C235" s="1"/>
      <c r="D235" s="1"/>
      <c r="E235" s="1"/>
      <c r="F235" s="1"/>
      <c r="G235" s="1"/>
      <c r="H235" s="1"/>
      <c r="I235" s="1"/>
    </row>
    <row r="236" spans="2:9" ht="15.75" customHeight="1" x14ac:dyDescent="0.25">
      <c r="B236" s="1"/>
      <c r="C236" s="1"/>
      <c r="D236" s="1"/>
      <c r="E236" s="1"/>
      <c r="F236" s="1"/>
      <c r="G236" s="1"/>
      <c r="H236" s="1"/>
      <c r="I236" s="1"/>
    </row>
    <row r="237" spans="2:9" ht="15.75" customHeight="1" x14ac:dyDescent="0.25">
      <c r="B237" s="1"/>
      <c r="C237" s="1"/>
      <c r="D237" s="1"/>
      <c r="E237" s="1"/>
      <c r="F237" s="1"/>
      <c r="G237" s="1"/>
      <c r="H237" s="1"/>
      <c r="I237" s="1"/>
    </row>
    <row r="238" spans="2:9" ht="15.75" customHeight="1" x14ac:dyDescent="0.25">
      <c r="B238" s="1"/>
      <c r="C238" s="1"/>
      <c r="D238" s="1"/>
      <c r="E238" s="1"/>
      <c r="F238" s="1"/>
      <c r="G238" s="1"/>
      <c r="H238" s="1"/>
      <c r="I238" s="1"/>
    </row>
    <row r="239" spans="2:9" ht="15.75" customHeight="1" x14ac:dyDescent="0.25">
      <c r="B239" s="1"/>
      <c r="C239" s="1"/>
      <c r="D239" s="1"/>
      <c r="E239" s="1"/>
      <c r="F239" s="1"/>
      <c r="G239" s="1"/>
      <c r="H239" s="1"/>
      <c r="I239" s="1"/>
    </row>
    <row r="240" spans="2:9" ht="15.75" customHeight="1" x14ac:dyDescent="0.25">
      <c r="B240" s="1"/>
      <c r="C240" s="1"/>
      <c r="D240" s="1"/>
      <c r="E240" s="1"/>
      <c r="F240" s="1"/>
      <c r="G240" s="1"/>
      <c r="H240" s="1"/>
      <c r="I240" s="1"/>
    </row>
    <row r="241" spans="2:9" ht="15.75" customHeight="1" x14ac:dyDescent="0.25">
      <c r="B241" s="1"/>
      <c r="C241" s="1"/>
      <c r="D241" s="1"/>
      <c r="E241" s="1"/>
      <c r="F241" s="1"/>
      <c r="G241" s="1"/>
      <c r="H241" s="1"/>
      <c r="I241" s="1"/>
    </row>
    <row r="242" spans="2:9" ht="15.75" customHeight="1" x14ac:dyDescent="0.25">
      <c r="B242" s="1"/>
      <c r="C242" s="1"/>
      <c r="D242" s="1"/>
      <c r="E242" s="1"/>
      <c r="F242" s="1"/>
      <c r="G242" s="1"/>
      <c r="H242" s="1"/>
      <c r="I242" s="1"/>
    </row>
    <row r="243" spans="2:9" ht="15.75" customHeight="1" x14ac:dyDescent="0.25">
      <c r="B243" s="1"/>
      <c r="C243" s="1"/>
      <c r="D243" s="1"/>
      <c r="E243" s="1"/>
      <c r="F243" s="1"/>
      <c r="G243" s="1"/>
      <c r="H243" s="1"/>
      <c r="I243" s="1"/>
    </row>
    <row r="244" spans="2:9" ht="15.75" customHeight="1" x14ac:dyDescent="0.25">
      <c r="B244" s="1"/>
      <c r="C244" s="1"/>
      <c r="D244" s="1"/>
      <c r="E244" s="1"/>
      <c r="F244" s="1"/>
      <c r="G244" s="1"/>
      <c r="H244" s="1"/>
      <c r="I244" s="1"/>
    </row>
    <row r="245" spans="2:9" ht="15.75" customHeight="1" x14ac:dyDescent="0.25">
      <c r="B245" s="1"/>
      <c r="C245" s="1"/>
      <c r="D245" s="1"/>
      <c r="E245" s="1"/>
      <c r="F245" s="1"/>
      <c r="G245" s="1"/>
      <c r="H245" s="1"/>
      <c r="I245" s="1"/>
    </row>
    <row r="246" spans="2:9" ht="15.75" customHeight="1" x14ac:dyDescent="0.25">
      <c r="B246" s="1"/>
      <c r="C246" s="1"/>
      <c r="D246" s="1"/>
      <c r="E246" s="1"/>
      <c r="F246" s="1"/>
      <c r="G246" s="1"/>
      <c r="H246" s="1"/>
      <c r="I246" s="1"/>
    </row>
    <row r="247" spans="2:9" ht="15.75" customHeight="1" x14ac:dyDescent="0.25">
      <c r="B247" s="1"/>
      <c r="C247" s="1"/>
      <c r="D247" s="1"/>
      <c r="E247" s="1"/>
      <c r="F247" s="1"/>
      <c r="G247" s="1"/>
      <c r="H247" s="1"/>
      <c r="I247" s="1"/>
    </row>
    <row r="248" spans="2:9" ht="15.75" customHeight="1" x14ac:dyDescent="0.25">
      <c r="B248" s="1"/>
      <c r="C248" s="1"/>
      <c r="D248" s="1"/>
      <c r="E248" s="1"/>
      <c r="F248" s="1"/>
      <c r="G248" s="1"/>
      <c r="H248" s="1"/>
      <c r="I248" s="1"/>
    </row>
    <row r="249" spans="2:9" ht="15.75" customHeight="1" x14ac:dyDescent="0.25">
      <c r="B249" s="1"/>
      <c r="C249" s="1"/>
      <c r="D249" s="1"/>
      <c r="E249" s="1"/>
      <c r="F249" s="1"/>
      <c r="G249" s="1"/>
      <c r="H249" s="1"/>
      <c r="I249" s="1"/>
    </row>
    <row r="250" spans="2:9" ht="15.75" customHeight="1" x14ac:dyDescent="0.25">
      <c r="B250" s="1"/>
      <c r="C250" s="1"/>
      <c r="D250" s="1"/>
      <c r="E250" s="1"/>
      <c r="F250" s="1"/>
      <c r="G250" s="1"/>
      <c r="H250" s="1"/>
      <c r="I250" s="1"/>
    </row>
    <row r="251" spans="2:9" ht="15.75" customHeight="1" x14ac:dyDescent="0.25">
      <c r="B251" s="1"/>
      <c r="C251" s="1"/>
      <c r="D251" s="1"/>
      <c r="E251" s="1"/>
      <c r="F251" s="1"/>
      <c r="G251" s="1"/>
      <c r="H251" s="1"/>
      <c r="I251" s="1"/>
    </row>
    <row r="252" spans="2:9" ht="15.75" customHeight="1" x14ac:dyDescent="0.25">
      <c r="B252" s="1"/>
      <c r="C252" s="1"/>
      <c r="D252" s="1"/>
      <c r="E252" s="1"/>
      <c r="F252" s="1"/>
      <c r="G252" s="1"/>
      <c r="H252" s="1"/>
      <c r="I252" s="1"/>
    </row>
    <row r="253" spans="2:9" ht="15.75" customHeight="1" x14ac:dyDescent="0.25">
      <c r="B253" s="1"/>
      <c r="C253" s="1"/>
      <c r="D253" s="1"/>
      <c r="E253" s="1"/>
      <c r="F253" s="1"/>
      <c r="G253" s="1"/>
      <c r="H253" s="1"/>
      <c r="I253" s="1"/>
    </row>
    <row r="254" spans="2:9" ht="15.75" customHeight="1" x14ac:dyDescent="0.25">
      <c r="B254" s="1"/>
      <c r="C254" s="1"/>
      <c r="D254" s="1"/>
      <c r="E254" s="1"/>
      <c r="F254" s="1"/>
      <c r="G254" s="1"/>
      <c r="H254" s="1"/>
      <c r="I254" s="1"/>
    </row>
    <row r="255" spans="2:9" ht="15.75" customHeight="1" x14ac:dyDescent="0.25">
      <c r="B255" s="1"/>
      <c r="C255" s="1"/>
      <c r="D255" s="1"/>
      <c r="E255" s="1"/>
      <c r="F255" s="1"/>
      <c r="G255" s="1"/>
      <c r="H255" s="1"/>
      <c r="I255" s="1"/>
    </row>
    <row r="256" spans="2:9" ht="15.75" customHeight="1" x14ac:dyDescent="0.25">
      <c r="B256" s="1"/>
      <c r="C256" s="1"/>
      <c r="D256" s="1"/>
      <c r="E256" s="1"/>
      <c r="F256" s="1"/>
      <c r="G256" s="1"/>
      <c r="H256" s="1"/>
      <c r="I256" s="1"/>
    </row>
    <row r="257" spans="2:9" ht="15.75" customHeight="1" x14ac:dyDescent="0.25">
      <c r="B257" s="1"/>
      <c r="C257" s="1"/>
      <c r="D257" s="1"/>
      <c r="E257" s="1"/>
      <c r="F257" s="1"/>
      <c r="G257" s="1"/>
      <c r="H257" s="1"/>
      <c r="I257" s="1"/>
    </row>
    <row r="258" spans="2:9" ht="15.75" customHeight="1" x14ac:dyDescent="0.25">
      <c r="B258" s="1"/>
      <c r="C258" s="1"/>
      <c r="D258" s="1"/>
      <c r="E258" s="1"/>
      <c r="F258" s="1"/>
      <c r="G258" s="1"/>
      <c r="H258" s="1"/>
      <c r="I258" s="1"/>
    </row>
    <row r="259" spans="2:9" ht="15.75" customHeight="1" x14ac:dyDescent="0.25">
      <c r="B259" s="1"/>
      <c r="C259" s="1"/>
      <c r="D259" s="1"/>
      <c r="E259" s="1"/>
      <c r="F259" s="1"/>
      <c r="G259" s="1"/>
      <c r="H259" s="1"/>
      <c r="I259" s="1"/>
    </row>
    <row r="260" spans="2:9" ht="15.75" customHeight="1" x14ac:dyDescent="0.25">
      <c r="B260" s="1"/>
      <c r="C260" s="1"/>
      <c r="D260" s="1"/>
      <c r="E260" s="1"/>
      <c r="F260" s="1"/>
      <c r="G260" s="1"/>
      <c r="H260" s="1"/>
      <c r="I260" s="1"/>
    </row>
    <row r="261" spans="2:9" ht="15.75" customHeight="1" x14ac:dyDescent="0.25">
      <c r="B261" s="1"/>
      <c r="C261" s="1"/>
      <c r="D261" s="1"/>
      <c r="E261" s="1"/>
      <c r="F261" s="1"/>
      <c r="G261" s="1"/>
      <c r="H261" s="1"/>
      <c r="I261" s="1"/>
    </row>
    <row r="262" spans="2:9" ht="15.75" customHeight="1" x14ac:dyDescent="0.25">
      <c r="B262" s="1"/>
      <c r="C262" s="1"/>
      <c r="D262" s="1"/>
      <c r="E262" s="1"/>
      <c r="F262" s="1"/>
      <c r="G262" s="1"/>
      <c r="H262" s="1"/>
      <c r="I262" s="1"/>
    </row>
    <row r="263" spans="2:9" ht="15.75" customHeight="1" x14ac:dyDescent="0.25">
      <c r="B263" s="1"/>
      <c r="C263" s="1"/>
      <c r="D263" s="1"/>
      <c r="E263" s="1"/>
      <c r="F263" s="1"/>
      <c r="G263" s="1"/>
      <c r="H263" s="1"/>
      <c r="I263" s="1"/>
    </row>
    <row r="264" spans="2:9" ht="15.75" customHeight="1" x14ac:dyDescent="0.25">
      <c r="B264" s="1"/>
      <c r="C264" s="1"/>
      <c r="D264" s="1"/>
      <c r="E264" s="1"/>
      <c r="F264" s="1"/>
      <c r="G264" s="1"/>
      <c r="H264" s="1"/>
      <c r="I264" s="1"/>
    </row>
    <row r="265" spans="2:9" ht="15.75" customHeight="1" x14ac:dyDescent="0.25">
      <c r="B265" s="1"/>
      <c r="C265" s="1"/>
      <c r="D265" s="1"/>
      <c r="E265" s="1"/>
      <c r="F265" s="1"/>
      <c r="G265" s="1"/>
      <c r="H265" s="1"/>
      <c r="I265" s="1"/>
    </row>
    <row r="266" spans="2:9" ht="15.75" customHeight="1" x14ac:dyDescent="0.25">
      <c r="B266" s="1"/>
      <c r="C266" s="1"/>
      <c r="D266" s="1"/>
      <c r="E266" s="1"/>
      <c r="F266" s="1"/>
      <c r="G266" s="1"/>
      <c r="H266" s="1"/>
      <c r="I266" s="1"/>
    </row>
    <row r="267" spans="2:9" ht="15.75" customHeight="1" x14ac:dyDescent="0.25">
      <c r="B267" s="1"/>
      <c r="C267" s="1"/>
      <c r="D267" s="1"/>
      <c r="E267" s="1"/>
      <c r="F267" s="1"/>
      <c r="G267" s="1"/>
      <c r="H267" s="1"/>
      <c r="I267" s="1"/>
    </row>
    <row r="268" spans="2:9" ht="15.75" customHeight="1" x14ac:dyDescent="0.25">
      <c r="B268" s="1"/>
      <c r="C268" s="1"/>
      <c r="D268" s="1"/>
      <c r="E268" s="1"/>
      <c r="F268" s="1"/>
      <c r="G268" s="1"/>
      <c r="H268" s="1"/>
      <c r="I268" s="1"/>
    </row>
    <row r="269" spans="2:9" ht="15.75" customHeight="1" x14ac:dyDescent="0.25">
      <c r="B269" s="1"/>
      <c r="C269" s="1"/>
      <c r="D269" s="1"/>
      <c r="E269" s="1"/>
      <c r="F269" s="1"/>
      <c r="G269" s="1"/>
      <c r="H269" s="1"/>
      <c r="I269" s="1"/>
    </row>
    <row r="270" spans="2:9" ht="15.75" customHeight="1" x14ac:dyDescent="0.25">
      <c r="B270" s="1"/>
      <c r="C270" s="1"/>
      <c r="D270" s="1"/>
      <c r="E270" s="1"/>
      <c r="F270" s="1"/>
      <c r="G270" s="1"/>
      <c r="H270" s="1"/>
      <c r="I270" s="1"/>
    </row>
    <row r="271" spans="2:9" ht="15.75" customHeight="1" x14ac:dyDescent="0.25">
      <c r="B271" s="1"/>
      <c r="C271" s="1"/>
      <c r="D271" s="1"/>
      <c r="E271" s="1"/>
      <c r="F271" s="1"/>
      <c r="G271" s="1"/>
      <c r="H271" s="1"/>
      <c r="I271" s="1"/>
    </row>
    <row r="272" spans="2:9" ht="15.75" customHeight="1" x14ac:dyDescent="0.25">
      <c r="B272" s="1"/>
      <c r="C272" s="1"/>
      <c r="D272" s="1"/>
      <c r="E272" s="1"/>
      <c r="F272" s="1"/>
      <c r="G272" s="1"/>
      <c r="H272" s="1"/>
      <c r="I272" s="1"/>
    </row>
    <row r="273" spans="2:9" ht="15.75" customHeight="1" x14ac:dyDescent="0.25">
      <c r="B273" s="1"/>
      <c r="C273" s="1"/>
      <c r="D273" s="1"/>
      <c r="E273" s="1"/>
      <c r="F273" s="1"/>
      <c r="G273" s="1"/>
      <c r="H273" s="1"/>
      <c r="I273" s="1"/>
    </row>
    <row r="274" spans="2:9" ht="15.75" customHeight="1" x14ac:dyDescent="0.25">
      <c r="B274" s="1"/>
      <c r="C274" s="1"/>
      <c r="D274" s="1"/>
      <c r="E274" s="1"/>
      <c r="F274" s="1"/>
      <c r="G274" s="1"/>
      <c r="H274" s="1"/>
      <c r="I274" s="1"/>
    </row>
    <row r="275" spans="2:9" ht="15.75" customHeight="1" x14ac:dyDescent="0.25">
      <c r="B275" s="1"/>
      <c r="C275" s="1"/>
      <c r="D275" s="1"/>
      <c r="E275" s="1"/>
      <c r="F275" s="1"/>
      <c r="G275" s="1"/>
      <c r="H275" s="1"/>
      <c r="I275" s="1"/>
    </row>
    <row r="276" spans="2:9" ht="15.75" customHeight="1" x14ac:dyDescent="0.25">
      <c r="B276" s="1"/>
      <c r="C276" s="1"/>
      <c r="D276" s="1"/>
      <c r="E276" s="1"/>
      <c r="F276" s="1"/>
      <c r="G276" s="1"/>
      <c r="H276" s="1"/>
      <c r="I276" s="1"/>
    </row>
    <row r="277" spans="2:9" ht="15.75" customHeight="1" x14ac:dyDescent="0.25">
      <c r="B277" s="1"/>
      <c r="C277" s="1"/>
      <c r="D277" s="1"/>
      <c r="E277" s="1"/>
      <c r="F277" s="1"/>
      <c r="G277" s="1"/>
      <c r="H277" s="1"/>
      <c r="I277" s="1"/>
    </row>
    <row r="278" spans="2:9" ht="15.75" customHeight="1" x14ac:dyDescent="0.25">
      <c r="B278" s="1"/>
      <c r="C278" s="1"/>
      <c r="D278" s="1"/>
      <c r="E278" s="1"/>
      <c r="F278" s="1"/>
      <c r="G278" s="1"/>
      <c r="H278" s="1"/>
      <c r="I278" s="1"/>
    </row>
    <row r="279" spans="2:9" ht="15.75" customHeight="1" x14ac:dyDescent="0.25">
      <c r="B279" s="1"/>
      <c r="C279" s="1"/>
      <c r="D279" s="1"/>
      <c r="E279" s="1"/>
      <c r="F279" s="1"/>
      <c r="G279" s="1"/>
      <c r="H279" s="1"/>
      <c r="I279" s="1"/>
    </row>
    <row r="280" spans="2:9" ht="15.75" customHeight="1" x14ac:dyDescent="0.25">
      <c r="B280" s="1"/>
      <c r="C280" s="1"/>
      <c r="D280" s="1"/>
      <c r="E280" s="1"/>
      <c r="F280" s="1"/>
      <c r="G280" s="1"/>
      <c r="H280" s="1"/>
      <c r="I280" s="1"/>
    </row>
    <row r="281" spans="2:9" ht="15.75" customHeight="1" x14ac:dyDescent="0.25">
      <c r="B281" s="1"/>
      <c r="C281" s="1"/>
      <c r="D281" s="1"/>
      <c r="E281" s="1"/>
      <c r="F281" s="1"/>
      <c r="G281" s="1"/>
      <c r="H281" s="1"/>
      <c r="I281" s="1"/>
    </row>
    <row r="282" spans="2:9" ht="15.75" customHeight="1" x14ac:dyDescent="0.25">
      <c r="B282" s="1"/>
      <c r="C282" s="1"/>
      <c r="D282" s="1"/>
      <c r="E282" s="1"/>
      <c r="F282" s="1"/>
      <c r="G282" s="1"/>
      <c r="H282" s="1"/>
      <c r="I282" s="1"/>
    </row>
    <row r="283" spans="2:9" ht="15.75" customHeight="1" x14ac:dyDescent="0.25">
      <c r="B283" s="1"/>
      <c r="C283" s="1"/>
      <c r="D283" s="1"/>
      <c r="E283" s="1"/>
      <c r="F283" s="1"/>
      <c r="G283" s="1"/>
      <c r="H283" s="1"/>
      <c r="I283" s="1"/>
    </row>
    <row r="284" spans="2:9" ht="15.75" customHeight="1" x14ac:dyDescent="0.25">
      <c r="B284" s="1"/>
      <c r="C284" s="1"/>
      <c r="D284" s="1"/>
      <c r="E284" s="1"/>
      <c r="F284" s="1"/>
      <c r="G284" s="1"/>
      <c r="H284" s="1"/>
      <c r="I284" s="1"/>
    </row>
    <row r="285" spans="2:9" ht="15.75" customHeight="1" x14ac:dyDescent="0.25">
      <c r="B285" s="1"/>
      <c r="C285" s="1"/>
      <c r="D285" s="1"/>
      <c r="E285" s="1"/>
      <c r="F285" s="1"/>
      <c r="G285" s="1"/>
      <c r="H285" s="1"/>
      <c r="I285" s="1"/>
    </row>
    <row r="286" spans="2:9" ht="15.75" customHeight="1" x14ac:dyDescent="0.25">
      <c r="B286" s="1"/>
      <c r="C286" s="1"/>
      <c r="D286" s="1"/>
      <c r="E286" s="1"/>
      <c r="F286" s="1"/>
      <c r="G286" s="1"/>
      <c r="H286" s="1"/>
      <c r="I286" s="1"/>
    </row>
    <row r="287" spans="2:9" ht="15.75" customHeight="1" x14ac:dyDescent="0.25">
      <c r="B287" s="1"/>
      <c r="C287" s="1"/>
      <c r="D287" s="1"/>
      <c r="E287" s="1"/>
      <c r="F287" s="1"/>
      <c r="G287" s="1"/>
      <c r="H287" s="1"/>
      <c r="I287" s="1"/>
    </row>
    <row r="288" spans="2:9" ht="15.75" customHeight="1" x14ac:dyDescent="0.25">
      <c r="B288" s="1"/>
      <c r="C288" s="1"/>
      <c r="D288" s="1"/>
      <c r="E288" s="1"/>
      <c r="F288" s="1"/>
      <c r="G288" s="1"/>
      <c r="H288" s="1"/>
      <c r="I288" s="1"/>
    </row>
    <row r="289" spans="2:9" ht="15.75" customHeight="1" x14ac:dyDescent="0.25">
      <c r="B289" s="1"/>
      <c r="C289" s="1"/>
      <c r="D289" s="1"/>
      <c r="E289" s="1"/>
      <c r="F289" s="1"/>
      <c r="G289" s="1"/>
      <c r="H289" s="1"/>
      <c r="I289" s="1"/>
    </row>
    <row r="290" spans="2:9" ht="15.75" customHeight="1" x14ac:dyDescent="0.25">
      <c r="B290" s="1"/>
      <c r="C290" s="1"/>
      <c r="D290" s="1"/>
      <c r="E290" s="1"/>
      <c r="F290" s="1"/>
      <c r="G290" s="1"/>
      <c r="H290" s="1"/>
      <c r="I290" s="1"/>
    </row>
    <row r="291" spans="2:9" ht="15.75" customHeight="1" x14ac:dyDescent="0.25">
      <c r="B291" s="1"/>
      <c r="C291" s="1"/>
      <c r="D291" s="1"/>
      <c r="E291" s="1"/>
      <c r="F291" s="1"/>
      <c r="G291" s="1"/>
      <c r="H291" s="1"/>
      <c r="I291" s="1"/>
    </row>
    <row r="292" spans="2:9" ht="15.75" customHeight="1" x14ac:dyDescent="0.25">
      <c r="B292" s="1"/>
      <c r="C292" s="1"/>
      <c r="D292" s="1"/>
      <c r="E292" s="1"/>
      <c r="F292" s="1"/>
      <c r="G292" s="1"/>
      <c r="H292" s="1"/>
      <c r="I292" s="1"/>
    </row>
    <row r="293" spans="2:9" ht="15.75" customHeight="1" x14ac:dyDescent="0.25">
      <c r="B293" s="1"/>
      <c r="C293" s="1"/>
      <c r="D293" s="1"/>
      <c r="E293" s="1"/>
      <c r="F293" s="1"/>
      <c r="G293" s="1"/>
      <c r="H293" s="1"/>
      <c r="I293" s="1"/>
    </row>
    <row r="294" spans="2:9" ht="15.75" customHeight="1" x14ac:dyDescent="0.25">
      <c r="B294" s="1"/>
      <c r="C294" s="1"/>
      <c r="D294" s="1"/>
      <c r="E294" s="1"/>
      <c r="F294" s="1"/>
      <c r="G294" s="1"/>
      <c r="H294" s="1"/>
      <c r="I294" s="1"/>
    </row>
    <row r="295" spans="2:9" ht="15.75" customHeight="1" x14ac:dyDescent="0.25">
      <c r="B295" s="1"/>
      <c r="C295" s="1"/>
      <c r="D295" s="1"/>
      <c r="E295" s="1"/>
      <c r="F295" s="1"/>
      <c r="G295" s="1"/>
      <c r="H295" s="1"/>
      <c r="I295" s="1"/>
    </row>
    <row r="296" spans="2:9" ht="15.75" customHeight="1" x14ac:dyDescent="0.25">
      <c r="B296" s="1"/>
      <c r="C296" s="1"/>
      <c r="D296" s="1"/>
      <c r="E296" s="1"/>
      <c r="F296" s="1"/>
      <c r="G296" s="1"/>
      <c r="H296" s="1"/>
      <c r="I296" s="1"/>
    </row>
    <row r="297" spans="2:9" ht="15.75" customHeight="1" x14ac:dyDescent="0.25">
      <c r="B297" s="1"/>
      <c r="C297" s="1"/>
      <c r="D297" s="1"/>
      <c r="E297" s="1"/>
      <c r="F297" s="1"/>
      <c r="G297" s="1"/>
      <c r="H297" s="1"/>
      <c r="I297" s="1"/>
    </row>
    <row r="298" spans="2:9" ht="15.75" customHeight="1" x14ac:dyDescent="0.25">
      <c r="B298" s="1"/>
      <c r="C298" s="1"/>
      <c r="D298" s="1"/>
      <c r="E298" s="1"/>
      <c r="F298" s="1"/>
      <c r="G298" s="1"/>
      <c r="H298" s="1"/>
      <c r="I298" s="1"/>
    </row>
    <row r="299" spans="2:9" ht="15.75" customHeight="1" x14ac:dyDescent="0.25">
      <c r="B299" s="1"/>
      <c r="C299" s="1"/>
      <c r="D299" s="1"/>
      <c r="E299" s="1"/>
      <c r="F299" s="1"/>
      <c r="G299" s="1"/>
      <c r="H299" s="1"/>
      <c r="I299" s="1"/>
    </row>
    <row r="300" spans="2:9" ht="15.75" customHeight="1" x14ac:dyDescent="0.25">
      <c r="B300" s="1"/>
      <c r="C300" s="1"/>
      <c r="D300" s="1"/>
      <c r="E300" s="1"/>
      <c r="F300" s="1"/>
      <c r="G300" s="1"/>
      <c r="H300" s="1"/>
      <c r="I300" s="1"/>
    </row>
    <row r="301" spans="2:9" ht="15.75" customHeight="1" x14ac:dyDescent="0.25">
      <c r="B301" s="1"/>
      <c r="C301" s="1"/>
      <c r="D301" s="1"/>
      <c r="E301" s="1"/>
      <c r="F301" s="1"/>
      <c r="G301" s="1"/>
      <c r="H301" s="1"/>
      <c r="I301" s="1"/>
    </row>
    <row r="302" spans="2:9" ht="15.75" customHeight="1" x14ac:dyDescent="0.25">
      <c r="B302" s="1"/>
      <c r="C302" s="1"/>
      <c r="D302" s="1"/>
      <c r="E302" s="1"/>
      <c r="F302" s="1"/>
      <c r="G302" s="1"/>
      <c r="H302" s="1"/>
      <c r="I302" s="1"/>
    </row>
    <row r="303" spans="2:9" ht="15.75" customHeight="1" x14ac:dyDescent="0.25">
      <c r="B303" s="1"/>
      <c r="C303" s="1"/>
      <c r="D303" s="1"/>
      <c r="E303" s="1"/>
      <c r="F303" s="1"/>
      <c r="G303" s="1"/>
      <c r="H303" s="1"/>
      <c r="I303" s="1"/>
    </row>
    <row r="304" spans="2:9" ht="15.75" customHeight="1" x14ac:dyDescent="0.25">
      <c r="B304" s="1"/>
      <c r="C304" s="1"/>
      <c r="D304" s="1"/>
      <c r="E304" s="1"/>
      <c r="F304" s="1"/>
      <c r="G304" s="1"/>
      <c r="H304" s="1"/>
      <c r="I304" s="1"/>
    </row>
    <row r="305" spans="2:9" ht="15.75" customHeight="1" x14ac:dyDescent="0.25">
      <c r="B305" s="1"/>
      <c r="C305" s="1"/>
      <c r="D305" s="1"/>
      <c r="E305" s="1"/>
      <c r="F305" s="1"/>
      <c r="G305" s="1"/>
      <c r="H305" s="1"/>
      <c r="I305" s="1"/>
    </row>
    <row r="306" spans="2:9" ht="15.75" customHeight="1" x14ac:dyDescent="0.25">
      <c r="B306" s="1"/>
      <c r="C306" s="1"/>
      <c r="D306" s="1"/>
      <c r="E306" s="1"/>
      <c r="F306" s="1"/>
      <c r="G306" s="1"/>
      <c r="H306" s="1"/>
      <c r="I306" s="1"/>
    </row>
    <row r="307" spans="2:9" ht="15.75" customHeight="1" x14ac:dyDescent="0.25">
      <c r="B307" s="1"/>
      <c r="C307" s="1"/>
      <c r="D307" s="1"/>
      <c r="E307" s="1"/>
      <c r="F307" s="1"/>
      <c r="G307" s="1"/>
      <c r="H307" s="1"/>
      <c r="I307" s="1"/>
    </row>
    <row r="308" spans="2:9" ht="15.75" customHeight="1" x14ac:dyDescent="0.25">
      <c r="B308" s="1"/>
      <c r="C308" s="1"/>
      <c r="D308" s="1"/>
      <c r="E308" s="1"/>
      <c r="F308" s="1"/>
      <c r="G308" s="1"/>
      <c r="H308" s="1"/>
      <c r="I308" s="1"/>
    </row>
    <row r="309" spans="2:9" ht="15.75" customHeight="1" x14ac:dyDescent="0.25">
      <c r="B309" s="1"/>
      <c r="C309" s="1"/>
      <c r="D309" s="1"/>
      <c r="E309" s="1"/>
      <c r="F309" s="1"/>
      <c r="G309" s="1"/>
      <c r="H309" s="1"/>
      <c r="I309" s="1"/>
    </row>
    <row r="310" spans="2:9" ht="15.75" customHeight="1" x14ac:dyDescent="0.25">
      <c r="B310" s="1"/>
      <c r="C310" s="1"/>
      <c r="D310" s="1"/>
      <c r="E310" s="1"/>
      <c r="F310" s="1"/>
      <c r="G310" s="1"/>
      <c r="H310" s="1"/>
      <c r="I310" s="1"/>
    </row>
    <row r="311" spans="2:9" ht="15.75" customHeight="1" x14ac:dyDescent="0.25">
      <c r="B311" s="1"/>
      <c r="C311" s="1"/>
      <c r="D311" s="1"/>
      <c r="E311" s="1"/>
      <c r="F311" s="1"/>
      <c r="G311" s="1"/>
      <c r="H311" s="1"/>
      <c r="I311" s="1"/>
    </row>
    <row r="312" spans="2:9" ht="15.75" customHeight="1" x14ac:dyDescent="0.25">
      <c r="B312" s="1"/>
      <c r="C312" s="1"/>
      <c r="D312" s="1"/>
      <c r="E312" s="1"/>
      <c r="F312" s="1"/>
      <c r="G312" s="1"/>
      <c r="H312" s="1"/>
      <c r="I312" s="1"/>
    </row>
    <row r="313" spans="2:9" ht="15.75" customHeight="1" x14ac:dyDescent="0.25">
      <c r="B313" s="1"/>
      <c r="C313" s="1"/>
      <c r="D313" s="1"/>
      <c r="E313" s="1"/>
      <c r="F313" s="1"/>
      <c r="G313" s="1"/>
      <c r="H313" s="1"/>
      <c r="I313" s="1"/>
    </row>
    <row r="314" spans="2:9" ht="15.75" customHeight="1" x14ac:dyDescent="0.25">
      <c r="B314" s="1"/>
      <c r="C314" s="1"/>
      <c r="D314" s="1"/>
      <c r="E314" s="1"/>
      <c r="F314" s="1"/>
      <c r="G314" s="1"/>
      <c r="H314" s="1"/>
      <c r="I314" s="1"/>
    </row>
    <row r="315" spans="2:9" ht="15.75" customHeight="1" x14ac:dyDescent="0.25">
      <c r="B315" s="1"/>
      <c r="C315" s="1"/>
      <c r="D315" s="1"/>
      <c r="E315" s="1"/>
      <c r="F315" s="1"/>
      <c r="G315" s="1"/>
      <c r="H315" s="1"/>
      <c r="I315" s="1"/>
    </row>
    <row r="316" spans="2:9" ht="15.75" customHeight="1" x14ac:dyDescent="0.25">
      <c r="B316" s="1"/>
      <c r="C316" s="1"/>
      <c r="D316" s="1"/>
      <c r="E316" s="1"/>
      <c r="F316" s="1"/>
      <c r="G316" s="1"/>
      <c r="H316" s="1"/>
      <c r="I316" s="1"/>
    </row>
    <row r="317" spans="2:9" ht="15.75" customHeight="1" x14ac:dyDescent="0.25">
      <c r="B317" s="1"/>
      <c r="C317" s="1"/>
      <c r="D317" s="1"/>
      <c r="E317" s="1"/>
      <c r="F317" s="1"/>
      <c r="G317" s="1"/>
      <c r="H317" s="1"/>
      <c r="I317" s="1"/>
    </row>
    <row r="318" spans="2:9" ht="15.75" customHeight="1" x14ac:dyDescent="0.25">
      <c r="B318" s="1"/>
      <c r="C318" s="1"/>
      <c r="D318" s="1"/>
      <c r="E318" s="1"/>
      <c r="F318" s="1"/>
      <c r="G318" s="1"/>
      <c r="H318" s="1"/>
      <c r="I318" s="1"/>
    </row>
    <row r="319" spans="2:9" ht="15.75" customHeight="1" x14ac:dyDescent="0.25">
      <c r="B319" s="1"/>
      <c r="C319" s="1"/>
      <c r="D319" s="1"/>
      <c r="E319" s="1"/>
      <c r="F319" s="1"/>
      <c r="G319" s="1"/>
      <c r="H319" s="1"/>
      <c r="I319" s="1"/>
    </row>
    <row r="320" spans="2:9" ht="15.75" customHeight="1" x14ac:dyDescent="0.25">
      <c r="B320" s="1"/>
      <c r="C320" s="1"/>
      <c r="D320" s="1"/>
      <c r="E320" s="1"/>
      <c r="F320" s="1"/>
      <c r="G320" s="1"/>
      <c r="H320" s="1"/>
      <c r="I320" s="1"/>
    </row>
    <row r="321" spans="2:9" ht="15.75" customHeight="1" x14ac:dyDescent="0.25">
      <c r="B321" s="1"/>
      <c r="C321" s="1"/>
      <c r="D321" s="1"/>
      <c r="E321" s="1"/>
      <c r="F321" s="1"/>
      <c r="G321" s="1"/>
      <c r="H321" s="1"/>
      <c r="I321" s="1"/>
    </row>
    <row r="322" spans="2:9" ht="15.75" customHeight="1" x14ac:dyDescent="0.25">
      <c r="B322" s="1"/>
      <c r="C322" s="1"/>
      <c r="D322" s="1"/>
      <c r="E322" s="1"/>
      <c r="F322" s="1"/>
      <c r="G322" s="1"/>
      <c r="H322" s="1"/>
      <c r="I322" s="1"/>
    </row>
    <row r="323" spans="2:9" ht="15.75" customHeight="1" x14ac:dyDescent="0.25">
      <c r="B323" s="1"/>
      <c r="C323" s="1"/>
      <c r="D323" s="1"/>
      <c r="E323" s="1"/>
      <c r="F323" s="1"/>
      <c r="G323" s="1"/>
      <c r="H323" s="1"/>
      <c r="I323" s="1"/>
    </row>
    <row r="324" spans="2:9" ht="15.75" customHeight="1" x14ac:dyDescent="0.25">
      <c r="B324" s="1"/>
      <c r="C324" s="1"/>
      <c r="D324" s="1"/>
      <c r="E324" s="1"/>
      <c r="F324" s="1"/>
      <c r="G324" s="1"/>
      <c r="H324" s="1"/>
      <c r="I324" s="1"/>
    </row>
    <row r="325" spans="2:9" ht="15.75" customHeight="1" x14ac:dyDescent="0.25">
      <c r="B325" s="1"/>
      <c r="C325" s="1"/>
      <c r="D325" s="1"/>
      <c r="E325" s="1"/>
      <c r="F325" s="1"/>
      <c r="G325" s="1"/>
      <c r="H325" s="1"/>
      <c r="I325" s="1"/>
    </row>
    <row r="326" spans="2:9" ht="15.75" customHeight="1" x14ac:dyDescent="0.25">
      <c r="B326" s="1"/>
      <c r="C326" s="1"/>
      <c r="D326" s="1"/>
      <c r="E326" s="1"/>
      <c r="F326" s="1"/>
      <c r="G326" s="1"/>
      <c r="H326" s="1"/>
      <c r="I326" s="1"/>
    </row>
    <row r="327" spans="2:9" ht="15.75" customHeight="1" x14ac:dyDescent="0.25">
      <c r="B327" s="1"/>
      <c r="C327" s="1"/>
      <c r="D327" s="1"/>
      <c r="E327" s="1"/>
      <c r="F327" s="1"/>
      <c r="G327" s="1"/>
      <c r="H327" s="1"/>
      <c r="I327" s="1"/>
    </row>
    <row r="328" spans="2:9" ht="15.75" customHeight="1" x14ac:dyDescent="0.25">
      <c r="B328" s="1"/>
      <c r="C328" s="1"/>
      <c r="D328" s="1"/>
      <c r="E328" s="1"/>
      <c r="F328" s="1"/>
      <c r="G328" s="1"/>
      <c r="H328" s="1"/>
      <c r="I328" s="1"/>
    </row>
    <row r="329" spans="2:9" ht="15.75" customHeight="1" x14ac:dyDescent="0.25">
      <c r="B329" s="1"/>
      <c r="C329" s="1"/>
      <c r="D329" s="1"/>
      <c r="E329" s="1"/>
      <c r="F329" s="1"/>
      <c r="G329" s="1"/>
      <c r="H329" s="1"/>
      <c r="I329" s="1"/>
    </row>
    <row r="330" spans="2:9" ht="15.75" customHeight="1" x14ac:dyDescent="0.25">
      <c r="B330" s="1"/>
      <c r="C330" s="1"/>
      <c r="D330" s="1"/>
      <c r="E330" s="1"/>
      <c r="F330" s="1"/>
      <c r="G330" s="1"/>
      <c r="H330" s="1"/>
      <c r="I330" s="1"/>
    </row>
    <row r="331" spans="2:9" ht="15.75" customHeight="1" x14ac:dyDescent="0.25">
      <c r="B331" s="1"/>
      <c r="C331" s="1"/>
      <c r="D331" s="1"/>
      <c r="E331" s="1"/>
      <c r="F331" s="1"/>
      <c r="G331" s="1"/>
      <c r="H331" s="1"/>
      <c r="I331" s="1"/>
    </row>
    <row r="332" spans="2:9" ht="15.75" customHeight="1" x14ac:dyDescent="0.25">
      <c r="B332" s="1"/>
      <c r="C332" s="1"/>
      <c r="D332" s="1"/>
      <c r="E332" s="1"/>
      <c r="F332" s="1"/>
      <c r="G332" s="1"/>
      <c r="H332" s="1"/>
      <c r="I332" s="1"/>
    </row>
    <row r="333" spans="2:9" ht="15.75" customHeight="1" x14ac:dyDescent="0.25">
      <c r="B333" s="1"/>
      <c r="C333" s="1"/>
      <c r="D333" s="1"/>
      <c r="E333" s="1"/>
      <c r="F333" s="1"/>
      <c r="G333" s="1"/>
      <c r="H333" s="1"/>
      <c r="I333" s="1"/>
    </row>
    <row r="334" spans="2:9" ht="15.75" customHeight="1" x14ac:dyDescent="0.25">
      <c r="B334" s="1"/>
      <c r="C334" s="1"/>
      <c r="D334" s="1"/>
      <c r="E334" s="1"/>
      <c r="F334" s="1"/>
      <c r="G334" s="1"/>
      <c r="H334" s="1"/>
      <c r="I334" s="1"/>
    </row>
    <row r="335" spans="2:9" ht="15.75" customHeight="1" x14ac:dyDescent="0.25">
      <c r="B335" s="1"/>
      <c r="C335" s="1"/>
      <c r="D335" s="1"/>
      <c r="E335" s="1"/>
      <c r="F335" s="1"/>
      <c r="G335" s="1"/>
      <c r="H335" s="1"/>
      <c r="I335" s="1"/>
    </row>
    <row r="336" spans="2:9" ht="15.75" customHeight="1" x14ac:dyDescent="0.25">
      <c r="B336" s="1"/>
      <c r="C336" s="1"/>
      <c r="D336" s="1"/>
      <c r="E336" s="1"/>
      <c r="F336" s="1"/>
      <c r="G336" s="1"/>
      <c r="H336" s="1"/>
      <c r="I336" s="1"/>
    </row>
    <row r="337" spans="2:9" ht="15.75" customHeight="1" x14ac:dyDescent="0.25">
      <c r="B337" s="1"/>
      <c r="C337" s="1"/>
      <c r="D337" s="1"/>
      <c r="E337" s="1"/>
      <c r="F337" s="1"/>
      <c r="G337" s="1"/>
      <c r="H337" s="1"/>
      <c r="I337" s="1"/>
    </row>
    <row r="338" spans="2:9" ht="15.75" customHeight="1" x14ac:dyDescent="0.25">
      <c r="B338" s="1"/>
      <c r="C338" s="1"/>
      <c r="D338" s="1"/>
      <c r="E338" s="1"/>
      <c r="F338" s="1"/>
      <c r="G338" s="1"/>
      <c r="H338" s="1"/>
      <c r="I338" s="1"/>
    </row>
    <row r="339" spans="2:9" ht="15.75" customHeight="1" x14ac:dyDescent="0.25">
      <c r="B339" s="1"/>
      <c r="C339" s="1"/>
      <c r="D339" s="1"/>
      <c r="E339" s="1"/>
      <c r="F339" s="1"/>
      <c r="G339" s="1"/>
      <c r="H339" s="1"/>
      <c r="I339" s="1"/>
    </row>
    <row r="340" spans="2:9" ht="15.75" customHeight="1" x14ac:dyDescent="0.25">
      <c r="B340" s="1"/>
      <c r="C340" s="1"/>
      <c r="D340" s="1"/>
      <c r="E340" s="1"/>
      <c r="F340" s="1"/>
      <c r="G340" s="1"/>
      <c r="H340" s="1"/>
      <c r="I340" s="1"/>
    </row>
    <row r="341" spans="2:9" ht="15.75" customHeight="1" x14ac:dyDescent="0.25">
      <c r="B341" s="1"/>
      <c r="C341" s="1"/>
      <c r="D341" s="1"/>
      <c r="E341" s="1"/>
      <c r="F341" s="1"/>
      <c r="G341" s="1"/>
      <c r="H341" s="1"/>
      <c r="I341" s="1"/>
    </row>
    <row r="342" spans="2:9" ht="15.75" customHeight="1" x14ac:dyDescent="0.25">
      <c r="B342" s="1"/>
      <c r="C342" s="1"/>
      <c r="D342" s="1"/>
      <c r="E342" s="1"/>
      <c r="F342" s="1"/>
      <c r="G342" s="1"/>
      <c r="H342" s="1"/>
      <c r="I342" s="1"/>
    </row>
    <row r="343" spans="2:9" ht="15.75" customHeight="1" x14ac:dyDescent="0.25">
      <c r="B343" s="1"/>
      <c r="C343" s="1"/>
      <c r="D343" s="1"/>
      <c r="E343" s="1"/>
      <c r="F343" s="1"/>
      <c r="G343" s="1"/>
      <c r="H343" s="1"/>
      <c r="I343" s="1"/>
    </row>
    <row r="344" spans="2:9" ht="15.75" customHeight="1" x14ac:dyDescent="0.25">
      <c r="B344" s="1"/>
      <c r="C344" s="1"/>
      <c r="D344" s="1"/>
      <c r="E344" s="1"/>
      <c r="F344" s="1"/>
      <c r="G344" s="1"/>
      <c r="H344" s="1"/>
      <c r="I344" s="1"/>
    </row>
    <row r="345" spans="2:9" ht="15.75" customHeight="1" x14ac:dyDescent="0.25">
      <c r="B345" s="1"/>
      <c r="C345" s="1"/>
      <c r="D345" s="1"/>
      <c r="E345" s="1"/>
      <c r="F345" s="1"/>
      <c r="G345" s="1"/>
      <c r="H345" s="1"/>
      <c r="I345" s="1"/>
    </row>
    <row r="346" spans="2:9" ht="15.75" customHeight="1" x14ac:dyDescent="0.25">
      <c r="B346" s="1"/>
      <c r="C346" s="1"/>
      <c r="D346" s="1"/>
      <c r="E346" s="1"/>
      <c r="F346" s="1"/>
      <c r="G346" s="1"/>
      <c r="H346" s="1"/>
      <c r="I346" s="1"/>
    </row>
    <row r="347" spans="2:9" ht="15.75" customHeight="1" x14ac:dyDescent="0.25">
      <c r="B347" s="1"/>
      <c r="C347" s="1"/>
      <c r="D347" s="1"/>
      <c r="E347" s="1"/>
      <c r="F347" s="1"/>
      <c r="G347" s="1"/>
      <c r="H347" s="1"/>
      <c r="I347" s="1"/>
    </row>
    <row r="348" spans="2:9" ht="15.75" customHeight="1" x14ac:dyDescent="0.25">
      <c r="B348" s="1"/>
      <c r="C348" s="1"/>
      <c r="D348" s="1"/>
      <c r="E348" s="1"/>
      <c r="F348" s="1"/>
      <c r="G348" s="1"/>
      <c r="H348" s="1"/>
      <c r="I348" s="1"/>
    </row>
    <row r="349" spans="2:9" ht="15.75" customHeight="1" x14ac:dyDescent="0.25">
      <c r="B349" s="1"/>
      <c r="C349" s="1"/>
      <c r="D349" s="1"/>
      <c r="E349" s="1"/>
      <c r="F349" s="1"/>
      <c r="G349" s="1"/>
      <c r="H349" s="1"/>
      <c r="I349" s="1"/>
    </row>
    <row r="350" spans="2:9" ht="15.75" customHeight="1" x14ac:dyDescent="0.25">
      <c r="B350" s="1"/>
      <c r="C350" s="1"/>
      <c r="D350" s="1"/>
      <c r="E350" s="1"/>
      <c r="F350" s="1"/>
      <c r="G350" s="1"/>
      <c r="H350" s="1"/>
      <c r="I350" s="1"/>
    </row>
    <row r="351" spans="2:9" ht="15.75" customHeight="1" x14ac:dyDescent="0.25">
      <c r="B351" s="1"/>
      <c r="C351" s="1"/>
      <c r="D351" s="1"/>
      <c r="E351" s="1"/>
      <c r="F351" s="1"/>
      <c r="G351" s="1"/>
      <c r="H351" s="1"/>
      <c r="I351" s="1"/>
    </row>
    <row r="352" spans="2:9" ht="15.75" customHeight="1" x14ac:dyDescent="0.25">
      <c r="B352" s="1"/>
      <c r="C352" s="1"/>
      <c r="D352" s="1"/>
      <c r="E352" s="1"/>
      <c r="F352" s="1"/>
      <c r="G352" s="1"/>
      <c r="H352" s="1"/>
      <c r="I352" s="1"/>
    </row>
    <row r="353" spans="2:9" ht="15.75" customHeight="1" x14ac:dyDescent="0.25">
      <c r="B353" s="1"/>
      <c r="C353" s="1"/>
      <c r="D353" s="1"/>
      <c r="E353" s="1"/>
      <c r="F353" s="1"/>
      <c r="G353" s="1"/>
      <c r="H353" s="1"/>
      <c r="I353" s="1"/>
    </row>
    <row r="354" spans="2:9" ht="15.75" customHeight="1" x14ac:dyDescent="0.25">
      <c r="B354" s="1"/>
      <c r="C354" s="1"/>
      <c r="D354" s="1"/>
      <c r="E354" s="1"/>
      <c r="F354" s="1"/>
      <c r="G354" s="1"/>
      <c r="H354" s="1"/>
      <c r="I354" s="1"/>
    </row>
    <row r="355" spans="2:9" ht="15.75" customHeight="1" x14ac:dyDescent="0.25">
      <c r="B355" s="1"/>
      <c r="C355" s="1"/>
      <c r="D355" s="1"/>
      <c r="E355" s="1"/>
      <c r="F355" s="1"/>
      <c r="G355" s="1"/>
      <c r="H355" s="1"/>
      <c r="I355" s="1"/>
    </row>
    <row r="356" spans="2:9" ht="15.75" customHeight="1" x14ac:dyDescent="0.25">
      <c r="B356" s="1"/>
      <c r="C356" s="1"/>
      <c r="D356" s="1"/>
      <c r="E356" s="1"/>
      <c r="F356" s="1"/>
      <c r="G356" s="1"/>
      <c r="H356" s="1"/>
      <c r="I356" s="1"/>
    </row>
    <row r="357" spans="2:9" ht="15.75" customHeight="1" x14ac:dyDescent="0.25">
      <c r="B357" s="1"/>
      <c r="C357" s="1"/>
      <c r="D357" s="1"/>
      <c r="E357" s="1"/>
      <c r="F357" s="1"/>
      <c r="G357" s="1"/>
      <c r="H357" s="1"/>
      <c r="I357" s="1"/>
    </row>
    <row r="358" spans="2:9" ht="15.75" customHeight="1" x14ac:dyDescent="0.25">
      <c r="B358" s="1"/>
      <c r="C358" s="1"/>
      <c r="D358" s="1"/>
      <c r="E358" s="1"/>
      <c r="F358" s="1"/>
      <c r="G358" s="1"/>
      <c r="H358" s="1"/>
      <c r="I358" s="1"/>
    </row>
    <row r="359" spans="2:9" ht="15.75" customHeight="1" x14ac:dyDescent="0.25">
      <c r="B359" s="1"/>
      <c r="C359" s="1"/>
      <c r="D359" s="1"/>
      <c r="E359" s="1"/>
      <c r="F359" s="1"/>
      <c r="G359" s="1"/>
      <c r="H359" s="1"/>
      <c r="I359" s="1"/>
    </row>
    <row r="360" spans="2:9" ht="15.75" customHeight="1" x14ac:dyDescent="0.25">
      <c r="B360" s="1"/>
      <c r="C360" s="1"/>
      <c r="D360" s="1"/>
      <c r="E360" s="1"/>
      <c r="F360" s="1"/>
      <c r="G360" s="1"/>
      <c r="H360" s="1"/>
      <c r="I360" s="1"/>
    </row>
    <row r="361" spans="2:9" ht="15.75" customHeight="1" x14ac:dyDescent="0.25">
      <c r="B361" s="1"/>
      <c r="C361" s="1"/>
      <c r="D361" s="1"/>
      <c r="E361" s="1"/>
      <c r="F361" s="1"/>
      <c r="G361" s="1"/>
      <c r="H361" s="1"/>
      <c r="I361" s="1"/>
    </row>
    <row r="362" spans="2:9" ht="15.75" customHeight="1" x14ac:dyDescent="0.25">
      <c r="B362" s="1"/>
      <c r="C362" s="1"/>
      <c r="D362" s="1"/>
      <c r="E362" s="1"/>
      <c r="F362" s="1"/>
      <c r="G362" s="1"/>
      <c r="H362" s="1"/>
      <c r="I362" s="1"/>
    </row>
    <row r="363" spans="2:9" ht="15.75" customHeight="1" x14ac:dyDescent="0.25">
      <c r="B363" s="1"/>
      <c r="C363" s="1"/>
      <c r="D363" s="1"/>
      <c r="E363" s="1"/>
      <c r="F363" s="1"/>
      <c r="G363" s="1"/>
      <c r="H363" s="1"/>
      <c r="I363" s="1"/>
    </row>
    <row r="364" spans="2:9" ht="15.75" customHeight="1" x14ac:dyDescent="0.25">
      <c r="B364" s="1"/>
      <c r="C364" s="1"/>
      <c r="D364" s="1"/>
      <c r="E364" s="1"/>
      <c r="F364" s="1"/>
      <c r="G364" s="1"/>
      <c r="H364" s="1"/>
      <c r="I364" s="1"/>
    </row>
    <row r="365" spans="2:9" ht="15.75" customHeight="1" x14ac:dyDescent="0.25">
      <c r="B365" s="1"/>
      <c r="C365" s="1"/>
      <c r="D365" s="1"/>
      <c r="E365" s="1"/>
      <c r="F365" s="1"/>
      <c r="G365" s="1"/>
      <c r="H365" s="1"/>
      <c r="I365" s="1"/>
    </row>
    <row r="366" spans="2:9" ht="15.75" customHeight="1" x14ac:dyDescent="0.25">
      <c r="B366" s="1"/>
      <c r="C366" s="1"/>
      <c r="D366" s="1"/>
      <c r="E366" s="1"/>
      <c r="F366" s="1"/>
      <c r="G366" s="1"/>
      <c r="H366" s="1"/>
      <c r="I366" s="1"/>
    </row>
    <row r="367" spans="2:9" ht="15.75" customHeight="1" x14ac:dyDescent="0.25">
      <c r="B367" s="1"/>
      <c r="C367" s="1"/>
      <c r="D367" s="1"/>
      <c r="E367" s="1"/>
      <c r="F367" s="1"/>
      <c r="G367" s="1"/>
      <c r="H367" s="1"/>
      <c r="I367" s="1"/>
    </row>
    <row r="368" spans="2:9" ht="15.75" customHeight="1" x14ac:dyDescent="0.25">
      <c r="B368" s="1"/>
      <c r="C368" s="1"/>
      <c r="D368" s="1"/>
      <c r="E368" s="1"/>
      <c r="F368" s="1"/>
      <c r="G368" s="1"/>
      <c r="H368" s="1"/>
      <c r="I368" s="1"/>
    </row>
    <row r="369" spans="2:9" ht="15.75" customHeight="1" x14ac:dyDescent="0.25">
      <c r="B369" s="1"/>
      <c r="C369" s="1"/>
      <c r="D369" s="1"/>
      <c r="E369" s="1"/>
      <c r="F369" s="1"/>
      <c r="G369" s="1"/>
      <c r="H369" s="1"/>
      <c r="I369" s="1"/>
    </row>
    <row r="370" spans="2:9" ht="15.75" customHeight="1" x14ac:dyDescent="0.25">
      <c r="B370" s="1"/>
      <c r="C370" s="1"/>
      <c r="D370" s="1"/>
      <c r="E370" s="1"/>
      <c r="F370" s="1"/>
      <c r="G370" s="1"/>
      <c r="H370" s="1"/>
      <c r="I370" s="1"/>
    </row>
    <row r="371" spans="2:9" ht="15.75" customHeight="1" x14ac:dyDescent="0.25">
      <c r="B371" s="1"/>
      <c r="C371" s="1"/>
      <c r="D371" s="1"/>
      <c r="E371" s="1"/>
      <c r="F371" s="1"/>
      <c r="G371" s="1"/>
      <c r="H371" s="1"/>
      <c r="I371" s="1"/>
    </row>
    <row r="372" spans="2:9" ht="15.75" customHeight="1" x14ac:dyDescent="0.25">
      <c r="B372" s="1"/>
      <c r="C372" s="1"/>
      <c r="D372" s="1"/>
      <c r="E372" s="1"/>
      <c r="F372" s="1"/>
      <c r="G372" s="1"/>
      <c r="H372" s="1"/>
      <c r="I372" s="1"/>
    </row>
    <row r="373" spans="2:9" ht="15.75" customHeight="1" x14ac:dyDescent="0.25">
      <c r="B373" s="1"/>
      <c r="C373" s="1"/>
      <c r="D373" s="1"/>
      <c r="E373" s="1"/>
      <c r="F373" s="1"/>
      <c r="G373" s="1"/>
      <c r="H373" s="1"/>
      <c r="I373" s="1"/>
    </row>
    <row r="374" spans="2:9" ht="15.75" customHeight="1" x14ac:dyDescent="0.25">
      <c r="B374" s="1"/>
      <c r="C374" s="1"/>
      <c r="D374" s="1"/>
      <c r="E374" s="1"/>
      <c r="F374" s="1"/>
      <c r="G374" s="1"/>
      <c r="H374" s="1"/>
      <c r="I374" s="1"/>
    </row>
    <row r="375" spans="2:9" ht="15.75" customHeight="1" x14ac:dyDescent="0.25">
      <c r="B375" s="1"/>
      <c r="C375" s="1"/>
      <c r="D375" s="1"/>
      <c r="E375" s="1"/>
      <c r="F375" s="1"/>
      <c r="G375" s="1"/>
      <c r="H375" s="1"/>
      <c r="I375" s="1"/>
    </row>
    <row r="376" spans="2:9" ht="15.75" customHeight="1" x14ac:dyDescent="0.25">
      <c r="B376" s="1"/>
      <c r="C376" s="1"/>
      <c r="D376" s="1"/>
      <c r="E376" s="1"/>
      <c r="F376" s="1"/>
      <c r="G376" s="1"/>
      <c r="H376" s="1"/>
      <c r="I376" s="1"/>
    </row>
    <row r="377" spans="2:9" ht="15.75" customHeight="1" x14ac:dyDescent="0.25">
      <c r="B377" s="1"/>
      <c r="C377" s="1"/>
      <c r="D377" s="1"/>
      <c r="E377" s="1"/>
      <c r="F377" s="1"/>
      <c r="G377" s="1"/>
      <c r="H377" s="1"/>
      <c r="I377" s="1"/>
    </row>
    <row r="378" spans="2:9" ht="15.75" customHeight="1" x14ac:dyDescent="0.25">
      <c r="B378" s="1"/>
      <c r="C378" s="1"/>
      <c r="D378" s="1"/>
      <c r="E378" s="1"/>
      <c r="F378" s="1"/>
      <c r="G378" s="1"/>
      <c r="H378" s="1"/>
      <c r="I378" s="1"/>
    </row>
    <row r="379" spans="2:9" ht="15.75" customHeight="1" x14ac:dyDescent="0.25">
      <c r="B379" s="1"/>
      <c r="C379" s="1"/>
      <c r="D379" s="1"/>
      <c r="E379" s="1"/>
      <c r="F379" s="1"/>
      <c r="G379" s="1"/>
      <c r="H379" s="1"/>
      <c r="I379" s="1"/>
    </row>
    <row r="380" spans="2:9" ht="15.75" customHeight="1" x14ac:dyDescent="0.25">
      <c r="B380" s="1"/>
      <c r="C380" s="1"/>
      <c r="D380" s="1"/>
      <c r="E380" s="1"/>
      <c r="F380" s="1"/>
      <c r="G380" s="1"/>
      <c r="H380" s="1"/>
      <c r="I380" s="1"/>
    </row>
    <row r="381" spans="2:9" ht="15.75" customHeight="1" x14ac:dyDescent="0.25">
      <c r="B381" s="1"/>
      <c r="C381" s="1"/>
      <c r="D381" s="1"/>
      <c r="E381" s="1"/>
      <c r="F381" s="1"/>
      <c r="G381" s="1"/>
      <c r="H381" s="1"/>
      <c r="I381" s="1"/>
    </row>
    <row r="382" spans="2:9" ht="15.75" customHeight="1" x14ac:dyDescent="0.25">
      <c r="B382" s="1"/>
      <c r="C382" s="1"/>
      <c r="D382" s="1"/>
      <c r="E382" s="1"/>
      <c r="F382" s="1"/>
      <c r="G382" s="1"/>
      <c r="H382" s="1"/>
      <c r="I382" s="1"/>
    </row>
    <row r="383" spans="2:9" ht="15.75" customHeight="1" x14ac:dyDescent="0.25">
      <c r="B383" s="1"/>
      <c r="C383" s="1"/>
      <c r="D383" s="1"/>
      <c r="E383" s="1"/>
      <c r="F383" s="1"/>
      <c r="G383" s="1"/>
      <c r="H383" s="1"/>
      <c r="I383" s="1"/>
    </row>
    <row r="384" spans="2:9" ht="15.75" customHeight="1" x14ac:dyDescent="0.25">
      <c r="B384" s="1"/>
      <c r="C384" s="1"/>
      <c r="D384" s="1"/>
      <c r="E384" s="1"/>
      <c r="F384" s="1"/>
      <c r="G384" s="1"/>
      <c r="H384" s="1"/>
      <c r="I384" s="1"/>
    </row>
    <row r="385" spans="2:9" ht="15.75" customHeight="1" x14ac:dyDescent="0.25">
      <c r="B385" s="1"/>
      <c r="C385" s="1"/>
      <c r="D385" s="1"/>
      <c r="E385" s="1"/>
      <c r="F385" s="1"/>
      <c r="G385" s="1"/>
      <c r="H385" s="1"/>
      <c r="I385" s="1"/>
    </row>
    <row r="386" spans="2:9" ht="15.75" customHeight="1" x14ac:dyDescent="0.25">
      <c r="B386" s="1"/>
      <c r="C386" s="1"/>
      <c r="D386" s="1"/>
      <c r="E386" s="1"/>
      <c r="F386" s="1"/>
      <c r="G386" s="1"/>
      <c r="H386" s="1"/>
      <c r="I386" s="1"/>
    </row>
    <row r="387" spans="2:9" ht="15.75" customHeight="1" x14ac:dyDescent="0.25">
      <c r="B387" s="1"/>
      <c r="C387" s="1"/>
      <c r="D387" s="1"/>
      <c r="E387" s="1"/>
      <c r="F387" s="1"/>
      <c r="G387" s="1"/>
      <c r="H387" s="1"/>
      <c r="I387" s="1"/>
    </row>
    <row r="388" spans="2:9" ht="15.75" customHeight="1" x14ac:dyDescent="0.25">
      <c r="B388" s="1"/>
      <c r="C388" s="1"/>
      <c r="D388" s="1"/>
      <c r="E388" s="1"/>
      <c r="F388" s="1"/>
      <c r="G388" s="1"/>
      <c r="H388" s="1"/>
      <c r="I388" s="1"/>
    </row>
    <row r="389" spans="2:9" ht="15.75" customHeight="1" x14ac:dyDescent="0.25">
      <c r="B389" s="1"/>
      <c r="C389" s="1"/>
      <c r="D389" s="1"/>
      <c r="E389" s="1"/>
      <c r="F389" s="1"/>
      <c r="G389" s="1"/>
      <c r="H389" s="1"/>
      <c r="I389" s="1"/>
    </row>
    <row r="390" spans="2:9" ht="15.75" customHeight="1" x14ac:dyDescent="0.25">
      <c r="B390" s="1"/>
      <c r="C390" s="1"/>
      <c r="D390" s="1"/>
      <c r="E390" s="1"/>
      <c r="F390" s="1"/>
      <c r="G390" s="1"/>
      <c r="H390" s="1"/>
      <c r="I390" s="1"/>
    </row>
    <row r="391" spans="2:9" ht="15.75" customHeight="1" x14ac:dyDescent="0.25">
      <c r="B391" s="1"/>
      <c r="C391" s="1"/>
      <c r="D391" s="1"/>
      <c r="E391" s="1"/>
      <c r="F391" s="1"/>
      <c r="G391" s="1"/>
      <c r="H391" s="1"/>
      <c r="I391" s="1"/>
    </row>
    <row r="392" spans="2:9" ht="15.75" customHeight="1" x14ac:dyDescent="0.25">
      <c r="B392" s="1"/>
      <c r="C392" s="1"/>
      <c r="D392" s="1"/>
      <c r="E392" s="1"/>
      <c r="F392" s="1"/>
      <c r="G392" s="1"/>
      <c r="H392" s="1"/>
      <c r="I392" s="1"/>
    </row>
    <row r="393" spans="2:9" ht="15.75" customHeight="1" x14ac:dyDescent="0.25">
      <c r="B393" s="1"/>
      <c r="C393" s="1"/>
      <c r="D393" s="1"/>
      <c r="E393" s="1"/>
      <c r="F393" s="1"/>
      <c r="G393" s="1"/>
      <c r="H393" s="1"/>
      <c r="I393" s="1"/>
    </row>
    <row r="394" spans="2:9" ht="15.75" customHeight="1" x14ac:dyDescent="0.25">
      <c r="B394" s="1"/>
      <c r="C394" s="1"/>
      <c r="D394" s="1"/>
      <c r="E394" s="1"/>
      <c r="F394" s="1"/>
      <c r="G394" s="1"/>
      <c r="H394" s="1"/>
      <c r="I394" s="1"/>
    </row>
    <row r="395" spans="2:9" ht="15.75" customHeight="1" x14ac:dyDescent="0.25">
      <c r="B395" s="1"/>
      <c r="C395" s="1"/>
      <c r="D395" s="1"/>
      <c r="E395" s="1"/>
      <c r="F395" s="1"/>
      <c r="G395" s="1"/>
      <c r="H395" s="1"/>
      <c r="I395" s="1"/>
    </row>
    <row r="396" spans="2:9" ht="15.75" customHeight="1" x14ac:dyDescent="0.25">
      <c r="B396" s="1"/>
      <c r="C396" s="1"/>
      <c r="D396" s="1"/>
      <c r="E396" s="1"/>
      <c r="F396" s="1"/>
      <c r="G396" s="1"/>
      <c r="H396" s="1"/>
      <c r="I396" s="1"/>
    </row>
    <row r="397" spans="2:9" ht="15.75" customHeight="1" x14ac:dyDescent="0.25">
      <c r="B397" s="1"/>
      <c r="C397" s="1"/>
      <c r="D397" s="1"/>
      <c r="E397" s="1"/>
      <c r="F397" s="1"/>
      <c r="G397" s="1"/>
      <c r="H397" s="1"/>
      <c r="I397" s="1"/>
    </row>
    <row r="398" spans="2:9" ht="15.75" customHeight="1" x14ac:dyDescent="0.25">
      <c r="B398" s="1"/>
      <c r="C398" s="1"/>
      <c r="D398" s="1"/>
      <c r="E398" s="1"/>
      <c r="F398" s="1"/>
      <c r="G398" s="1"/>
      <c r="H398" s="1"/>
      <c r="I398" s="1"/>
    </row>
    <row r="399" spans="2:9" ht="15.75" customHeight="1" x14ac:dyDescent="0.25">
      <c r="B399" s="1"/>
      <c r="C399" s="1"/>
      <c r="D399" s="1"/>
      <c r="E399" s="1"/>
      <c r="F399" s="1"/>
      <c r="G399" s="1"/>
      <c r="H399" s="1"/>
      <c r="I399" s="1"/>
    </row>
    <row r="400" spans="2:9" ht="15.75" customHeight="1" x14ac:dyDescent="0.25">
      <c r="B400" s="1"/>
      <c r="C400" s="1"/>
      <c r="D400" s="1"/>
      <c r="E400" s="1"/>
      <c r="F400" s="1"/>
      <c r="G400" s="1"/>
      <c r="H400" s="1"/>
      <c r="I400" s="1"/>
    </row>
    <row r="401" spans="2:9" ht="15.75" customHeight="1" x14ac:dyDescent="0.25">
      <c r="B401" s="1"/>
      <c r="C401" s="1"/>
      <c r="D401" s="1"/>
      <c r="E401" s="1"/>
      <c r="F401" s="1"/>
      <c r="G401" s="1"/>
      <c r="H401" s="1"/>
      <c r="I401" s="1"/>
    </row>
    <row r="402" spans="2:9" ht="15.75" customHeight="1" x14ac:dyDescent="0.25">
      <c r="B402" s="1"/>
      <c r="C402" s="1"/>
      <c r="D402" s="1"/>
      <c r="E402" s="1"/>
      <c r="F402" s="1"/>
      <c r="G402" s="1"/>
      <c r="H402" s="1"/>
      <c r="I402" s="1"/>
    </row>
    <row r="403" spans="2:9" ht="15.75" customHeight="1" x14ac:dyDescent="0.25">
      <c r="B403" s="1"/>
      <c r="C403" s="1"/>
      <c r="D403" s="1"/>
      <c r="E403" s="1"/>
      <c r="F403" s="1"/>
      <c r="G403" s="1"/>
      <c r="H403" s="1"/>
      <c r="I403" s="1"/>
    </row>
    <row r="404" spans="2:9" ht="15.75" customHeight="1" x14ac:dyDescent="0.25">
      <c r="B404" s="1"/>
      <c r="C404" s="1"/>
      <c r="D404" s="1"/>
      <c r="E404" s="1"/>
      <c r="F404" s="1"/>
      <c r="G404" s="1"/>
      <c r="H404" s="1"/>
      <c r="I404" s="1"/>
    </row>
    <row r="405" spans="2:9" ht="15.75" customHeight="1" x14ac:dyDescent="0.25">
      <c r="B405" s="1"/>
      <c r="C405" s="1"/>
      <c r="D405" s="1"/>
      <c r="E405" s="1"/>
      <c r="F405" s="1"/>
      <c r="G405" s="1"/>
      <c r="H405" s="1"/>
      <c r="I405" s="1"/>
    </row>
    <row r="406" spans="2:9" ht="15.75" customHeight="1" x14ac:dyDescent="0.25">
      <c r="B406" s="1"/>
      <c r="C406" s="1"/>
      <c r="D406" s="1"/>
      <c r="E406" s="1"/>
      <c r="F406" s="1"/>
      <c r="G406" s="1"/>
      <c r="H406" s="1"/>
      <c r="I406" s="1"/>
    </row>
    <row r="407" spans="2:9" ht="15.75" customHeight="1" x14ac:dyDescent="0.25">
      <c r="B407" s="1"/>
      <c r="C407" s="1"/>
      <c r="D407" s="1"/>
      <c r="E407" s="1"/>
      <c r="F407" s="1"/>
      <c r="G407" s="1"/>
      <c r="H407" s="1"/>
      <c r="I407" s="1"/>
    </row>
    <row r="408" spans="2:9" ht="15.75" customHeight="1" x14ac:dyDescent="0.25">
      <c r="B408" s="1"/>
      <c r="C408" s="1"/>
      <c r="D408" s="1"/>
      <c r="E408" s="1"/>
      <c r="F408" s="1"/>
      <c r="G408" s="1"/>
      <c r="H408" s="1"/>
      <c r="I408" s="1"/>
    </row>
    <row r="409" spans="2:9" ht="15.75" customHeight="1" x14ac:dyDescent="0.25">
      <c r="B409" s="1"/>
      <c r="C409" s="1"/>
      <c r="D409" s="1"/>
      <c r="E409" s="1"/>
      <c r="F409" s="1"/>
      <c r="G409" s="1"/>
      <c r="H409" s="1"/>
      <c r="I409" s="1"/>
    </row>
    <row r="410" spans="2:9" ht="15.75" customHeight="1" x14ac:dyDescent="0.25">
      <c r="B410" s="1"/>
      <c r="C410" s="1"/>
      <c r="D410" s="1"/>
      <c r="E410" s="1"/>
      <c r="F410" s="1"/>
      <c r="G410" s="1"/>
      <c r="H410" s="1"/>
      <c r="I410" s="1"/>
    </row>
    <row r="411" spans="2:9" ht="15.75" customHeight="1" x14ac:dyDescent="0.25">
      <c r="B411" s="1"/>
      <c r="C411" s="1"/>
      <c r="D411" s="1"/>
      <c r="E411" s="1"/>
      <c r="F411" s="1"/>
      <c r="G411" s="1"/>
      <c r="H411" s="1"/>
      <c r="I411" s="1"/>
    </row>
    <row r="412" spans="2:9" ht="15.75" customHeight="1" x14ac:dyDescent="0.25">
      <c r="B412" s="1"/>
      <c r="C412" s="1"/>
      <c r="D412" s="1"/>
      <c r="E412" s="1"/>
      <c r="F412" s="1"/>
      <c r="G412" s="1"/>
      <c r="H412" s="1"/>
      <c r="I412" s="1"/>
    </row>
    <row r="413" spans="2:9" ht="15.75" customHeight="1" x14ac:dyDescent="0.25">
      <c r="B413" s="1"/>
      <c r="C413" s="1"/>
      <c r="D413" s="1"/>
      <c r="E413" s="1"/>
      <c r="F413" s="1"/>
      <c r="G413" s="1"/>
      <c r="H413" s="1"/>
      <c r="I413" s="1"/>
    </row>
    <row r="414" spans="2:9" ht="15.75" customHeight="1" x14ac:dyDescent="0.25">
      <c r="B414" s="1"/>
      <c r="C414" s="1"/>
      <c r="D414" s="1"/>
      <c r="E414" s="1"/>
      <c r="F414" s="1"/>
      <c r="G414" s="1"/>
      <c r="H414" s="1"/>
      <c r="I414" s="1"/>
    </row>
    <row r="415" spans="2:9" ht="15.75" customHeight="1" x14ac:dyDescent="0.25">
      <c r="B415" s="1"/>
      <c r="C415" s="1"/>
      <c r="D415" s="1"/>
      <c r="E415" s="1"/>
      <c r="F415" s="1"/>
      <c r="G415" s="1"/>
      <c r="H415" s="1"/>
      <c r="I415" s="1"/>
    </row>
    <row r="416" spans="2:9" ht="15.75" customHeight="1" x14ac:dyDescent="0.25">
      <c r="B416" s="1"/>
      <c r="C416" s="1"/>
      <c r="D416" s="1"/>
      <c r="E416" s="1"/>
      <c r="F416" s="1"/>
      <c r="G416" s="1"/>
      <c r="H416" s="1"/>
      <c r="I416" s="1"/>
    </row>
    <row r="417" spans="2:9" ht="15.75" customHeight="1" x14ac:dyDescent="0.25">
      <c r="B417" s="1"/>
      <c r="C417" s="1"/>
      <c r="D417" s="1"/>
      <c r="E417" s="1"/>
      <c r="F417" s="1"/>
      <c r="G417" s="1"/>
      <c r="H417" s="1"/>
      <c r="I417" s="1"/>
    </row>
    <row r="418" spans="2:9" ht="15.75" customHeight="1" x14ac:dyDescent="0.25">
      <c r="B418" s="1"/>
      <c r="C418" s="1"/>
      <c r="D418" s="1"/>
      <c r="E418" s="1"/>
      <c r="F418" s="1"/>
      <c r="G418" s="1"/>
      <c r="H418" s="1"/>
      <c r="I418" s="1"/>
    </row>
    <row r="419" spans="2:9" ht="15.75" customHeight="1" x14ac:dyDescent="0.25">
      <c r="B419" s="1"/>
      <c r="C419" s="1"/>
      <c r="D419" s="1"/>
      <c r="E419" s="1"/>
      <c r="F419" s="1"/>
      <c r="G419" s="1"/>
      <c r="H419" s="1"/>
      <c r="I419" s="1"/>
    </row>
    <row r="420" spans="2:9" ht="15.75" customHeight="1" x14ac:dyDescent="0.25">
      <c r="B420" s="1"/>
      <c r="C420" s="1"/>
      <c r="D420" s="1"/>
      <c r="E420" s="1"/>
      <c r="F420" s="1"/>
      <c r="G420" s="1"/>
      <c r="H420" s="1"/>
      <c r="I420" s="1"/>
    </row>
    <row r="421" spans="2:9" ht="15.75" customHeight="1" x14ac:dyDescent="0.25">
      <c r="B421" s="1"/>
      <c r="C421" s="1"/>
      <c r="D421" s="1"/>
      <c r="E421" s="1"/>
      <c r="F421" s="1"/>
      <c r="G421" s="1"/>
      <c r="H421" s="1"/>
      <c r="I421" s="1"/>
    </row>
    <row r="422" spans="2:9" ht="15.75" customHeight="1" x14ac:dyDescent="0.25">
      <c r="B422" s="1"/>
      <c r="C422" s="1"/>
      <c r="D422" s="1"/>
      <c r="E422" s="1"/>
      <c r="F422" s="1"/>
      <c r="G422" s="1"/>
      <c r="H422" s="1"/>
      <c r="I422" s="1"/>
    </row>
    <row r="423" spans="2:9" ht="15.75" customHeight="1" x14ac:dyDescent="0.25">
      <c r="B423" s="1"/>
      <c r="C423" s="1"/>
      <c r="D423" s="1"/>
      <c r="E423" s="1"/>
      <c r="F423" s="1"/>
      <c r="G423" s="1"/>
      <c r="H423" s="1"/>
      <c r="I423" s="1"/>
    </row>
    <row r="424" spans="2:9" ht="15.75" customHeight="1" x14ac:dyDescent="0.25">
      <c r="B424" s="1"/>
      <c r="C424" s="1"/>
      <c r="D424" s="1"/>
      <c r="E424" s="1"/>
      <c r="F424" s="1"/>
      <c r="G424" s="1"/>
      <c r="H424" s="1"/>
      <c r="I424" s="1"/>
    </row>
    <row r="425" spans="2:9" ht="15.75" customHeight="1" x14ac:dyDescent="0.25">
      <c r="B425" s="1"/>
      <c r="C425" s="1"/>
      <c r="D425" s="1"/>
      <c r="E425" s="1"/>
      <c r="F425" s="1"/>
      <c r="G425" s="1"/>
      <c r="H425" s="1"/>
      <c r="I425" s="1"/>
    </row>
    <row r="426" spans="2:9" ht="15.75" customHeight="1" x14ac:dyDescent="0.25">
      <c r="B426" s="1"/>
      <c r="C426" s="1"/>
      <c r="D426" s="1"/>
      <c r="E426" s="1"/>
      <c r="F426" s="1"/>
      <c r="G426" s="1"/>
      <c r="H426" s="1"/>
      <c r="I426" s="1"/>
    </row>
    <row r="427" spans="2:9" ht="15.75" customHeight="1" x14ac:dyDescent="0.25">
      <c r="B427" s="1"/>
      <c r="C427" s="1"/>
      <c r="D427" s="1"/>
      <c r="E427" s="1"/>
      <c r="F427" s="1"/>
      <c r="G427" s="1"/>
      <c r="H427" s="1"/>
      <c r="I427" s="1"/>
    </row>
    <row r="428" spans="2:9" ht="15.75" customHeight="1" x14ac:dyDescent="0.25">
      <c r="B428" s="1"/>
      <c r="C428" s="1"/>
      <c r="D428" s="1"/>
      <c r="E428" s="1"/>
      <c r="F428" s="1"/>
      <c r="G428" s="1"/>
      <c r="H428" s="1"/>
      <c r="I428" s="1"/>
    </row>
    <row r="429" spans="2:9" ht="15.75" customHeight="1" x14ac:dyDescent="0.25">
      <c r="B429" s="1"/>
      <c r="C429" s="1"/>
      <c r="D429" s="1"/>
      <c r="E429" s="1"/>
      <c r="F429" s="1"/>
      <c r="G429" s="1"/>
      <c r="H429" s="1"/>
      <c r="I429" s="1"/>
    </row>
    <row r="430" spans="2:9" ht="15.75" customHeight="1" x14ac:dyDescent="0.25">
      <c r="B430" s="1"/>
      <c r="C430" s="1"/>
      <c r="D430" s="1"/>
      <c r="E430" s="1"/>
      <c r="F430" s="1"/>
      <c r="G430" s="1"/>
      <c r="H430" s="1"/>
      <c r="I430" s="1"/>
    </row>
    <row r="431" spans="2:9" ht="15.75" customHeight="1" x14ac:dyDescent="0.25">
      <c r="B431" s="1"/>
      <c r="C431" s="1"/>
      <c r="D431" s="1"/>
      <c r="E431" s="1"/>
      <c r="F431" s="1"/>
      <c r="G431" s="1"/>
      <c r="H431" s="1"/>
      <c r="I431" s="1"/>
    </row>
    <row r="432" spans="2:9" ht="15.75" customHeight="1" x14ac:dyDescent="0.25">
      <c r="B432" s="1"/>
      <c r="C432" s="1"/>
      <c r="D432" s="1"/>
      <c r="E432" s="1"/>
      <c r="F432" s="1"/>
      <c r="G432" s="1"/>
      <c r="H432" s="1"/>
      <c r="I432" s="1"/>
    </row>
    <row r="433" spans="2:9" ht="15.75" customHeight="1" x14ac:dyDescent="0.25">
      <c r="B433" s="1"/>
      <c r="C433" s="1"/>
      <c r="D433" s="1"/>
      <c r="E433" s="1"/>
      <c r="F433" s="1"/>
      <c r="G433" s="1"/>
      <c r="H433" s="1"/>
      <c r="I433" s="1"/>
    </row>
    <row r="434" spans="2:9" ht="15.75" customHeight="1" x14ac:dyDescent="0.25">
      <c r="B434" s="1"/>
      <c r="C434" s="1"/>
      <c r="D434" s="1"/>
      <c r="E434" s="1"/>
      <c r="F434" s="1"/>
      <c r="G434" s="1"/>
      <c r="H434" s="1"/>
      <c r="I434" s="1"/>
    </row>
    <row r="435" spans="2:9" ht="15.75" customHeight="1" x14ac:dyDescent="0.25">
      <c r="B435" s="1"/>
      <c r="C435" s="1"/>
      <c r="D435" s="1"/>
      <c r="E435" s="1"/>
      <c r="F435" s="1"/>
      <c r="G435" s="1"/>
      <c r="H435" s="1"/>
      <c r="I435" s="1"/>
    </row>
    <row r="436" spans="2:9" ht="15.75" customHeight="1" x14ac:dyDescent="0.25">
      <c r="B436" s="1"/>
      <c r="C436" s="1"/>
      <c r="D436" s="1"/>
      <c r="E436" s="1"/>
      <c r="F436" s="1"/>
      <c r="G436" s="1"/>
      <c r="H436" s="1"/>
      <c r="I436" s="1"/>
    </row>
    <row r="437" spans="2:9" ht="15.75" customHeight="1" x14ac:dyDescent="0.25">
      <c r="B437" s="1"/>
      <c r="C437" s="1"/>
      <c r="D437" s="1"/>
      <c r="E437" s="1"/>
      <c r="F437" s="1"/>
      <c r="G437" s="1"/>
      <c r="H437" s="1"/>
      <c r="I437" s="1"/>
    </row>
    <row r="438" spans="2:9" ht="15.75" customHeight="1" x14ac:dyDescent="0.25">
      <c r="B438" s="1"/>
      <c r="C438" s="1"/>
      <c r="D438" s="1"/>
      <c r="E438" s="1"/>
      <c r="F438" s="1"/>
      <c r="G438" s="1"/>
      <c r="H438" s="1"/>
      <c r="I438" s="1"/>
    </row>
    <row r="439" spans="2:9" ht="15.75" customHeight="1" x14ac:dyDescent="0.25">
      <c r="B439" s="1"/>
      <c r="C439" s="1"/>
      <c r="D439" s="1"/>
      <c r="E439" s="1"/>
      <c r="F439" s="1"/>
      <c r="G439" s="1"/>
      <c r="H439" s="1"/>
      <c r="I439" s="1"/>
    </row>
    <row r="440" spans="2:9" ht="15.75" customHeight="1" x14ac:dyDescent="0.25">
      <c r="B440" s="1"/>
      <c r="C440" s="1"/>
      <c r="D440" s="1"/>
      <c r="E440" s="1"/>
      <c r="F440" s="1"/>
      <c r="G440" s="1"/>
      <c r="H440" s="1"/>
      <c r="I440" s="1"/>
    </row>
    <row r="441" spans="2:9" ht="15.75" customHeight="1" x14ac:dyDescent="0.25">
      <c r="B441" s="1"/>
      <c r="C441" s="1"/>
      <c r="D441" s="1"/>
      <c r="E441" s="1"/>
      <c r="F441" s="1"/>
      <c r="G441" s="1"/>
      <c r="H441" s="1"/>
      <c r="I441" s="1"/>
    </row>
    <row r="442" spans="2:9" ht="15.75" customHeight="1" x14ac:dyDescent="0.25">
      <c r="B442" s="1"/>
      <c r="C442" s="1"/>
      <c r="D442" s="1"/>
      <c r="E442" s="1"/>
      <c r="F442" s="1"/>
      <c r="G442" s="1"/>
      <c r="H442" s="1"/>
      <c r="I442" s="1"/>
    </row>
    <row r="443" spans="2:9" ht="15.75" customHeight="1" x14ac:dyDescent="0.25">
      <c r="B443" s="1"/>
      <c r="C443" s="1"/>
      <c r="D443" s="1"/>
      <c r="E443" s="1"/>
      <c r="F443" s="1"/>
      <c r="G443" s="1"/>
      <c r="H443" s="1"/>
      <c r="I443" s="1"/>
    </row>
    <row r="444" spans="2:9" ht="15.75" customHeight="1" x14ac:dyDescent="0.25">
      <c r="B444" s="1"/>
      <c r="C444" s="1"/>
      <c r="D444" s="1"/>
      <c r="E444" s="1"/>
      <c r="F444" s="1"/>
      <c r="G444" s="1"/>
      <c r="H444" s="1"/>
      <c r="I444" s="1"/>
    </row>
    <row r="445" spans="2:9" ht="15.75" customHeight="1" x14ac:dyDescent="0.25">
      <c r="B445" s="1"/>
      <c r="C445" s="1"/>
      <c r="D445" s="1"/>
      <c r="E445" s="1"/>
      <c r="F445" s="1"/>
      <c r="G445" s="1"/>
      <c r="H445" s="1"/>
      <c r="I445" s="1"/>
    </row>
    <row r="446" spans="2:9" ht="15.75" customHeight="1" x14ac:dyDescent="0.25">
      <c r="B446" s="1"/>
      <c r="C446" s="1"/>
      <c r="D446" s="1"/>
      <c r="E446" s="1"/>
      <c r="F446" s="1"/>
      <c r="G446" s="1"/>
      <c r="H446" s="1"/>
      <c r="I446" s="1"/>
    </row>
    <row r="447" spans="2:9" ht="15.75" customHeight="1" x14ac:dyDescent="0.25">
      <c r="B447" s="1"/>
      <c r="C447" s="1"/>
      <c r="D447" s="1"/>
      <c r="E447" s="1"/>
      <c r="F447" s="1"/>
      <c r="G447" s="1"/>
      <c r="H447" s="1"/>
      <c r="I447" s="1"/>
    </row>
    <row r="448" spans="2:9" ht="15.75" customHeight="1" x14ac:dyDescent="0.25">
      <c r="B448" s="1"/>
      <c r="C448" s="1"/>
      <c r="D448" s="1"/>
      <c r="E448" s="1"/>
      <c r="F448" s="1"/>
      <c r="G448" s="1"/>
      <c r="H448" s="1"/>
      <c r="I448" s="1"/>
    </row>
    <row r="449" spans="2:9" ht="15.75" customHeight="1" x14ac:dyDescent="0.25">
      <c r="B449" s="1"/>
      <c r="C449" s="1"/>
      <c r="D449" s="1"/>
      <c r="E449" s="1"/>
      <c r="F449" s="1"/>
      <c r="G449" s="1"/>
      <c r="H449" s="1"/>
      <c r="I449" s="1"/>
    </row>
    <row r="450" spans="2:9" ht="15.75" customHeight="1" x14ac:dyDescent="0.25">
      <c r="B450" s="1"/>
      <c r="C450" s="1"/>
      <c r="D450" s="1"/>
      <c r="E450" s="1"/>
      <c r="F450" s="1"/>
      <c r="G450" s="1"/>
      <c r="H450" s="1"/>
      <c r="I450" s="1"/>
    </row>
    <row r="451" spans="2:9" ht="15.75" customHeight="1" x14ac:dyDescent="0.25">
      <c r="B451" s="1"/>
      <c r="C451" s="1"/>
      <c r="D451" s="1"/>
      <c r="E451" s="1"/>
      <c r="F451" s="1"/>
      <c r="G451" s="1"/>
      <c r="H451" s="1"/>
      <c r="I451" s="1"/>
    </row>
    <row r="452" spans="2:9" ht="15.75" customHeight="1" x14ac:dyDescent="0.25">
      <c r="B452" s="1"/>
      <c r="C452" s="1"/>
      <c r="D452" s="1"/>
      <c r="E452" s="1"/>
      <c r="F452" s="1"/>
      <c r="G452" s="1"/>
      <c r="H452" s="1"/>
      <c r="I452" s="1"/>
    </row>
    <row r="453" spans="2:9" ht="15.75" customHeight="1" x14ac:dyDescent="0.25">
      <c r="B453" s="1"/>
      <c r="C453" s="1"/>
      <c r="D453" s="1"/>
      <c r="E453" s="1"/>
      <c r="F453" s="1"/>
      <c r="G453" s="1"/>
      <c r="H453" s="1"/>
      <c r="I453" s="1"/>
    </row>
    <row r="454" spans="2:9" ht="15.75" customHeight="1" x14ac:dyDescent="0.25">
      <c r="B454" s="1"/>
      <c r="C454" s="1"/>
      <c r="D454" s="1"/>
      <c r="E454" s="1"/>
      <c r="F454" s="1"/>
      <c r="G454" s="1"/>
      <c r="H454" s="1"/>
      <c r="I454" s="1"/>
    </row>
    <row r="455" spans="2:9" ht="15.75" customHeight="1" x14ac:dyDescent="0.25">
      <c r="B455" s="1"/>
      <c r="C455" s="1"/>
      <c r="D455" s="1"/>
      <c r="E455" s="1"/>
      <c r="F455" s="1"/>
      <c r="G455" s="1"/>
      <c r="H455" s="1"/>
      <c r="I455" s="1"/>
    </row>
    <row r="456" spans="2:9" ht="15.75" customHeight="1" x14ac:dyDescent="0.25">
      <c r="B456" s="1"/>
      <c r="C456" s="1"/>
      <c r="D456" s="1"/>
      <c r="E456" s="1"/>
      <c r="F456" s="1"/>
      <c r="G456" s="1"/>
      <c r="H456" s="1"/>
      <c r="I456" s="1"/>
    </row>
    <row r="457" spans="2:9" ht="15.75" customHeight="1" x14ac:dyDescent="0.25">
      <c r="B457" s="1"/>
      <c r="C457" s="1"/>
      <c r="D457" s="1"/>
      <c r="E457" s="1"/>
      <c r="F457" s="1"/>
      <c r="G457" s="1"/>
      <c r="H457" s="1"/>
      <c r="I457" s="1"/>
    </row>
    <row r="458" spans="2:9" ht="15.75" customHeight="1" x14ac:dyDescent="0.25">
      <c r="B458" s="1"/>
      <c r="C458" s="1"/>
      <c r="D458" s="1"/>
      <c r="E458" s="1"/>
      <c r="F458" s="1"/>
      <c r="G458" s="1"/>
      <c r="H458" s="1"/>
      <c r="I458" s="1"/>
    </row>
    <row r="459" spans="2:9" ht="15.75" customHeight="1" x14ac:dyDescent="0.25">
      <c r="B459" s="1"/>
      <c r="C459" s="1"/>
      <c r="D459" s="1"/>
      <c r="E459" s="1"/>
      <c r="F459" s="1"/>
      <c r="G459" s="1"/>
      <c r="H459" s="1"/>
      <c r="I459" s="1"/>
    </row>
    <row r="460" spans="2:9" ht="15.75" customHeight="1" x14ac:dyDescent="0.25">
      <c r="B460" s="1"/>
      <c r="C460" s="1"/>
      <c r="D460" s="1"/>
      <c r="E460" s="1"/>
      <c r="F460" s="1"/>
      <c r="G460" s="1"/>
      <c r="H460" s="1"/>
      <c r="I460" s="1"/>
    </row>
    <row r="461" spans="2:9" ht="15.75" customHeight="1" x14ac:dyDescent="0.25">
      <c r="B461" s="1"/>
      <c r="C461" s="1"/>
      <c r="D461" s="1"/>
      <c r="E461" s="1"/>
      <c r="F461" s="1"/>
      <c r="G461" s="1"/>
      <c r="H461" s="1"/>
      <c r="I461" s="1"/>
    </row>
    <row r="462" spans="2:9" ht="15.75" customHeight="1" x14ac:dyDescent="0.25">
      <c r="B462" s="1"/>
      <c r="C462" s="1"/>
      <c r="D462" s="1"/>
      <c r="E462" s="1"/>
      <c r="F462" s="1"/>
      <c r="G462" s="1"/>
      <c r="H462" s="1"/>
      <c r="I462" s="1"/>
    </row>
    <row r="463" spans="2:9" ht="15.75" customHeight="1" x14ac:dyDescent="0.25">
      <c r="B463" s="1"/>
      <c r="C463" s="1"/>
      <c r="D463" s="1"/>
      <c r="E463" s="1"/>
      <c r="F463" s="1"/>
      <c r="G463" s="1"/>
      <c r="H463" s="1"/>
      <c r="I463" s="1"/>
    </row>
    <row r="464" spans="2:9" ht="15.75" customHeight="1" x14ac:dyDescent="0.25">
      <c r="B464" s="1"/>
      <c r="C464" s="1"/>
      <c r="D464" s="1"/>
      <c r="E464" s="1"/>
      <c r="F464" s="1"/>
      <c r="G464" s="1"/>
      <c r="H464" s="1"/>
      <c r="I464" s="1"/>
    </row>
    <row r="465" spans="2:9" ht="15.75" customHeight="1" x14ac:dyDescent="0.25">
      <c r="B465" s="1"/>
      <c r="C465" s="1"/>
      <c r="D465" s="1"/>
      <c r="E465" s="1"/>
      <c r="F465" s="1"/>
      <c r="G465" s="1"/>
      <c r="H465" s="1"/>
      <c r="I465" s="1"/>
    </row>
    <row r="466" spans="2:9" ht="15.75" customHeight="1" x14ac:dyDescent="0.25">
      <c r="B466" s="1"/>
      <c r="C466" s="1"/>
      <c r="D466" s="1"/>
      <c r="E466" s="1"/>
      <c r="F466" s="1"/>
      <c r="G466" s="1"/>
      <c r="H466" s="1"/>
      <c r="I466" s="1"/>
    </row>
    <row r="467" spans="2:9" ht="15.75" customHeight="1" x14ac:dyDescent="0.25">
      <c r="B467" s="1"/>
      <c r="C467" s="1"/>
      <c r="D467" s="1"/>
      <c r="E467" s="1"/>
      <c r="F467" s="1"/>
      <c r="G467" s="1"/>
      <c r="H467" s="1"/>
      <c r="I467" s="1"/>
    </row>
    <row r="468" spans="2:9" ht="15.75" customHeight="1" x14ac:dyDescent="0.25">
      <c r="B468" s="1"/>
      <c r="C468" s="1"/>
      <c r="D468" s="1"/>
      <c r="E468" s="1"/>
      <c r="F468" s="1"/>
      <c r="G468" s="1"/>
      <c r="H468" s="1"/>
      <c r="I468" s="1"/>
    </row>
    <row r="469" spans="2:9" ht="15.75" customHeight="1" x14ac:dyDescent="0.25">
      <c r="B469" s="1"/>
      <c r="C469" s="1"/>
      <c r="D469" s="1"/>
      <c r="E469" s="1"/>
      <c r="F469" s="1"/>
      <c r="G469" s="1"/>
      <c r="H469" s="1"/>
      <c r="I469" s="1"/>
    </row>
    <row r="470" spans="2:9" ht="15.75" customHeight="1" x14ac:dyDescent="0.25">
      <c r="B470" s="1"/>
      <c r="C470" s="1"/>
      <c r="D470" s="1"/>
      <c r="E470" s="1"/>
      <c r="F470" s="1"/>
      <c r="G470" s="1"/>
      <c r="H470" s="1"/>
      <c r="I470" s="1"/>
    </row>
    <row r="471" spans="2:9" ht="15.75" customHeight="1" x14ac:dyDescent="0.25">
      <c r="B471" s="1"/>
      <c r="C471" s="1"/>
      <c r="D471" s="1"/>
      <c r="E471" s="1"/>
      <c r="F471" s="1"/>
      <c r="G471" s="1"/>
      <c r="H471" s="1"/>
      <c r="I471" s="1"/>
    </row>
    <row r="472" spans="2:9" ht="15.75" customHeight="1" x14ac:dyDescent="0.25">
      <c r="B472" s="1"/>
      <c r="C472" s="1"/>
      <c r="D472" s="1"/>
      <c r="E472" s="1"/>
      <c r="F472" s="1"/>
      <c r="G472" s="1"/>
      <c r="H472" s="1"/>
      <c r="I472" s="1"/>
    </row>
    <row r="473" spans="2:9" ht="15.75" customHeight="1" x14ac:dyDescent="0.25">
      <c r="B473" s="1"/>
      <c r="C473" s="1"/>
      <c r="D473" s="1"/>
      <c r="E473" s="1"/>
      <c r="F473" s="1"/>
      <c r="G473" s="1"/>
      <c r="H473" s="1"/>
      <c r="I473" s="1"/>
    </row>
    <row r="474" spans="2:9" ht="15.75" customHeight="1" x14ac:dyDescent="0.25">
      <c r="B474" s="1"/>
      <c r="C474" s="1"/>
      <c r="D474" s="1"/>
      <c r="E474" s="1"/>
      <c r="F474" s="1"/>
      <c r="G474" s="1"/>
      <c r="H474" s="1"/>
      <c r="I474" s="1"/>
    </row>
    <row r="475" spans="2:9" ht="15.75" customHeight="1" x14ac:dyDescent="0.25">
      <c r="B475" s="1"/>
      <c r="C475" s="1"/>
      <c r="D475" s="1"/>
      <c r="E475" s="1"/>
      <c r="F475" s="1"/>
      <c r="G475" s="1"/>
      <c r="H475" s="1"/>
      <c r="I475" s="1"/>
    </row>
    <row r="476" spans="2:9" ht="15.75" customHeight="1" x14ac:dyDescent="0.25">
      <c r="B476" s="1"/>
      <c r="C476" s="1"/>
      <c r="D476" s="1"/>
      <c r="E476" s="1"/>
      <c r="F476" s="1"/>
      <c r="G476" s="1"/>
      <c r="H476" s="1"/>
      <c r="I476" s="1"/>
    </row>
    <row r="477" spans="2:9" ht="15.75" customHeight="1" x14ac:dyDescent="0.25">
      <c r="B477" s="1"/>
      <c r="C477" s="1"/>
      <c r="D477" s="1"/>
      <c r="E477" s="1"/>
      <c r="F477" s="1"/>
      <c r="G477" s="1"/>
      <c r="H477" s="1"/>
      <c r="I477" s="1"/>
    </row>
    <row r="478" spans="2:9" ht="15.75" customHeight="1" x14ac:dyDescent="0.25">
      <c r="B478" s="1"/>
      <c r="C478" s="1"/>
      <c r="D478" s="1"/>
      <c r="E478" s="1"/>
      <c r="F478" s="1"/>
      <c r="G478" s="1"/>
      <c r="H478" s="1"/>
      <c r="I478" s="1"/>
    </row>
    <row r="479" spans="2:9" ht="15.75" customHeight="1" x14ac:dyDescent="0.25">
      <c r="B479" s="1"/>
      <c r="C479" s="1"/>
      <c r="D479" s="1"/>
      <c r="E479" s="1"/>
      <c r="F479" s="1"/>
      <c r="G479" s="1"/>
      <c r="H479" s="1"/>
      <c r="I479" s="1"/>
    </row>
    <row r="480" spans="2:9" ht="15.75" customHeight="1" x14ac:dyDescent="0.25">
      <c r="B480" s="1"/>
      <c r="C480" s="1"/>
      <c r="D480" s="1"/>
      <c r="E480" s="1"/>
      <c r="F480" s="1"/>
      <c r="G480" s="1"/>
      <c r="H480" s="1"/>
      <c r="I480" s="1"/>
    </row>
    <row r="481" spans="2:9" ht="15.75" customHeight="1" x14ac:dyDescent="0.25">
      <c r="B481" s="1"/>
      <c r="C481" s="1"/>
      <c r="D481" s="1"/>
      <c r="E481" s="1"/>
      <c r="F481" s="1"/>
      <c r="G481" s="1"/>
      <c r="H481" s="1"/>
      <c r="I481" s="1"/>
    </row>
    <row r="482" spans="2:9" ht="15.75" customHeight="1" x14ac:dyDescent="0.25">
      <c r="B482" s="1"/>
      <c r="C482" s="1"/>
      <c r="D482" s="1"/>
      <c r="E482" s="1"/>
      <c r="F482" s="1"/>
      <c r="G482" s="1"/>
      <c r="H482" s="1"/>
      <c r="I482" s="1"/>
    </row>
    <row r="483" spans="2:9" ht="15.75" customHeight="1" x14ac:dyDescent="0.25">
      <c r="B483" s="1"/>
      <c r="C483" s="1"/>
      <c r="D483" s="1"/>
      <c r="E483" s="1"/>
      <c r="F483" s="1"/>
      <c r="G483" s="1"/>
      <c r="H483" s="1"/>
      <c r="I483" s="1"/>
    </row>
    <row r="484" spans="2:9" ht="15.75" customHeight="1" x14ac:dyDescent="0.25">
      <c r="B484" s="1"/>
      <c r="C484" s="1"/>
      <c r="D484" s="1"/>
      <c r="E484" s="1"/>
      <c r="F484" s="1"/>
      <c r="G484" s="1"/>
      <c r="H484" s="1"/>
      <c r="I484" s="1"/>
    </row>
    <row r="485" spans="2:9" ht="15.75" customHeight="1" x14ac:dyDescent="0.25">
      <c r="B485" s="1"/>
      <c r="C485" s="1"/>
      <c r="D485" s="1"/>
      <c r="E485" s="1"/>
      <c r="F485" s="1"/>
      <c r="G485" s="1"/>
      <c r="H485" s="1"/>
      <c r="I485" s="1"/>
    </row>
    <row r="486" spans="2:9" ht="15.75" customHeight="1" x14ac:dyDescent="0.25">
      <c r="B486" s="1"/>
      <c r="C486" s="1"/>
      <c r="D486" s="1"/>
      <c r="E486" s="1"/>
      <c r="F486" s="1"/>
      <c r="G486" s="1"/>
      <c r="H486" s="1"/>
      <c r="I486" s="1"/>
    </row>
    <row r="487" spans="2:9" ht="15.75" customHeight="1" x14ac:dyDescent="0.25">
      <c r="B487" s="1"/>
      <c r="C487" s="1"/>
      <c r="D487" s="1"/>
      <c r="E487" s="1"/>
      <c r="F487" s="1"/>
      <c r="G487" s="1"/>
      <c r="H487" s="1"/>
      <c r="I487" s="1"/>
    </row>
    <row r="488" spans="2:9" ht="15.75" customHeight="1" x14ac:dyDescent="0.25">
      <c r="B488" s="1"/>
      <c r="C488" s="1"/>
      <c r="D488" s="1"/>
      <c r="E488" s="1"/>
      <c r="F488" s="1"/>
      <c r="G488" s="1"/>
      <c r="H488" s="1"/>
      <c r="I488" s="1"/>
    </row>
    <row r="489" spans="2:9" ht="15.75" customHeight="1" x14ac:dyDescent="0.25">
      <c r="B489" s="1"/>
      <c r="C489" s="1"/>
      <c r="D489" s="1"/>
      <c r="E489" s="1"/>
      <c r="F489" s="1"/>
      <c r="G489" s="1"/>
      <c r="H489" s="1"/>
      <c r="I489" s="1"/>
    </row>
    <row r="490" spans="2:9" ht="15.75" customHeight="1" x14ac:dyDescent="0.25">
      <c r="B490" s="1"/>
      <c r="C490" s="1"/>
      <c r="D490" s="1"/>
      <c r="E490" s="1"/>
      <c r="F490" s="1"/>
      <c r="G490" s="1"/>
      <c r="H490" s="1"/>
      <c r="I490" s="1"/>
    </row>
    <row r="491" spans="2:9" ht="15.75" customHeight="1" x14ac:dyDescent="0.25">
      <c r="B491" s="1"/>
      <c r="C491" s="1"/>
      <c r="D491" s="1"/>
      <c r="E491" s="1"/>
      <c r="F491" s="1"/>
      <c r="G491" s="1"/>
      <c r="H491" s="1"/>
      <c r="I491" s="1"/>
    </row>
    <row r="492" spans="2:9" ht="15.75" customHeight="1" x14ac:dyDescent="0.25">
      <c r="B492" s="1"/>
      <c r="C492" s="1"/>
      <c r="D492" s="1"/>
      <c r="E492" s="1"/>
      <c r="F492" s="1"/>
      <c r="G492" s="1"/>
      <c r="H492" s="1"/>
      <c r="I492" s="1"/>
    </row>
    <row r="493" spans="2:9" ht="15.75" customHeight="1" x14ac:dyDescent="0.25">
      <c r="B493" s="1"/>
      <c r="C493" s="1"/>
      <c r="D493" s="1"/>
      <c r="E493" s="1"/>
      <c r="F493" s="1"/>
      <c r="G493" s="1"/>
      <c r="H493" s="1"/>
      <c r="I493" s="1"/>
    </row>
    <row r="494" spans="2:9" ht="15.75" customHeight="1" x14ac:dyDescent="0.25">
      <c r="B494" s="1"/>
      <c r="C494" s="1"/>
      <c r="D494" s="1"/>
      <c r="E494" s="1"/>
      <c r="F494" s="1"/>
      <c r="G494" s="1"/>
      <c r="H494" s="1"/>
      <c r="I494" s="1"/>
    </row>
    <row r="495" spans="2:9" ht="15.75" customHeight="1" x14ac:dyDescent="0.25">
      <c r="B495" s="1"/>
      <c r="C495" s="1"/>
      <c r="D495" s="1"/>
      <c r="E495" s="1"/>
      <c r="F495" s="1"/>
      <c r="G495" s="1"/>
      <c r="H495" s="1"/>
      <c r="I495" s="1"/>
    </row>
    <row r="496" spans="2:9" ht="15.75" customHeight="1" x14ac:dyDescent="0.25">
      <c r="B496" s="1"/>
      <c r="C496" s="1"/>
      <c r="D496" s="1"/>
      <c r="E496" s="1"/>
      <c r="F496" s="1"/>
      <c r="G496" s="1"/>
      <c r="H496" s="1"/>
      <c r="I496" s="1"/>
    </row>
    <row r="497" spans="2:9" ht="15.75" customHeight="1" x14ac:dyDescent="0.25">
      <c r="B497" s="1"/>
      <c r="C497" s="1"/>
      <c r="D497" s="1"/>
      <c r="E497" s="1"/>
      <c r="F497" s="1"/>
      <c r="G497" s="1"/>
      <c r="H497" s="1"/>
      <c r="I497" s="1"/>
    </row>
    <row r="498" spans="2:9" ht="15.75" customHeight="1" x14ac:dyDescent="0.25">
      <c r="B498" s="1"/>
      <c r="C498" s="1"/>
      <c r="D498" s="1"/>
      <c r="E498" s="1"/>
      <c r="F498" s="1"/>
      <c r="G498" s="1"/>
      <c r="H498" s="1"/>
      <c r="I498" s="1"/>
    </row>
    <row r="499" spans="2:9" ht="15.75" customHeight="1" x14ac:dyDescent="0.25">
      <c r="B499" s="1"/>
      <c r="C499" s="1"/>
      <c r="D499" s="1"/>
      <c r="E499" s="1"/>
      <c r="F499" s="1"/>
      <c r="G499" s="1"/>
      <c r="H499" s="1"/>
      <c r="I499" s="1"/>
    </row>
    <row r="500" spans="2:9" ht="15.75" customHeight="1" x14ac:dyDescent="0.25">
      <c r="B500" s="1"/>
      <c r="C500" s="1"/>
      <c r="D500" s="1"/>
      <c r="E500" s="1"/>
      <c r="F500" s="1"/>
      <c r="G500" s="1"/>
      <c r="H500" s="1"/>
      <c r="I500" s="1"/>
    </row>
    <row r="501" spans="2:9" ht="15.75" customHeight="1" x14ac:dyDescent="0.25">
      <c r="B501" s="1"/>
      <c r="C501" s="1"/>
      <c r="D501" s="1"/>
      <c r="E501" s="1"/>
      <c r="F501" s="1"/>
      <c r="G501" s="1"/>
      <c r="H501" s="1"/>
      <c r="I501" s="1"/>
    </row>
    <row r="502" spans="2:9" ht="15.75" customHeight="1" x14ac:dyDescent="0.25">
      <c r="B502" s="1"/>
      <c r="C502" s="1"/>
      <c r="D502" s="1"/>
      <c r="E502" s="1"/>
      <c r="F502" s="1"/>
      <c r="G502" s="1"/>
      <c r="H502" s="1"/>
      <c r="I502" s="1"/>
    </row>
    <row r="503" spans="2:9" ht="15.75" customHeight="1" x14ac:dyDescent="0.25">
      <c r="B503" s="1"/>
      <c r="C503" s="1"/>
      <c r="D503" s="1"/>
      <c r="E503" s="1"/>
      <c r="F503" s="1"/>
      <c r="G503" s="1"/>
      <c r="H503" s="1"/>
      <c r="I503" s="1"/>
    </row>
    <row r="504" spans="2:9" ht="15.75" customHeight="1" x14ac:dyDescent="0.25">
      <c r="B504" s="1"/>
      <c r="C504" s="1"/>
      <c r="D504" s="1"/>
      <c r="E504" s="1"/>
      <c r="F504" s="1"/>
      <c r="G504" s="1"/>
      <c r="H504" s="1"/>
      <c r="I504" s="1"/>
    </row>
    <row r="505" spans="2:9" ht="15.75" customHeight="1" x14ac:dyDescent="0.25">
      <c r="B505" s="1"/>
      <c r="C505" s="1"/>
      <c r="D505" s="1"/>
      <c r="E505" s="1"/>
      <c r="F505" s="1"/>
      <c r="G505" s="1"/>
      <c r="H505" s="1"/>
      <c r="I505" s="1"/>
    </row>
    <row r="506" spans="2:9" ht="15.75" customHeight="1" x14ac:dyDescent="0.25">
      <c r="B506" s="1"/>
      <c r="C506" s="1"/>
      <c r="D506" s="1"/>
      <c r="E506" s="1"/>
      <c r="F506" s="1"/>
      <c r="G506" s="1"/>
      <c r="H506" s="1"/>
      <c r="I506" s="1"/>
    </row>
    <row r="507" spans="2:9" ht="15.75" customHeight="1" x14ac:dyDescent="0.25">
      <c r="B507" s="1"/>
      <c r="C507" s="1"/>
      <c r="D507" s="1"/>
      <c r="E507" s="1"/>
      <c r="F507" s="1"/>
      <c r="G507" s="1"/>
      <c r="H507" s="1"/>
      <c r="I507" s="1"/>
    </row>
    <row r="508" spans="2:9" ht="15.75" customHeight="1" x14ac:dyDescent="0.25">
      <c r="B508" s="1"/>
      <c r="C508" s="1"/>
      <c r="D508" s="1"/>
      <c r="E508" s="1"/>
      <c r="F508" s="1"/>
      <c r="G508" s="1"/>
      <c r="H508" s="1"/>
      <c r="I508" s="1"/>
    </row>
    <row r="509" spans="2:9" ht="15.75" customHeight="1" x14ac:dyDescent="0.25">
      <c r="B509" s="1"/>
      <c r="C509" s="1"/>
      <c r="D509" s="1"/>
      <c r="E509" s="1"/>
      <c r="F509" s="1"/>
      <c r="G509" s="1"/>
      <c r="H509" s="1"/>
      <c r="I509" s="1"/>
    </row>
    <row r="510" spans="2:9" ht="15.75" customHeight="1" x14ac:dyDescent="0.25">
      <c r="B510" s="1"/>
      <c r="C510" s="1"/>
      <c r="D510" s="1"/>
      <c r="E510" s="1"/>
      <c r="F510" s="1"/>
      <c r="G510" s="1"/>
      <c r="H510" s="1"/>
      <c r="I510" s="1"/>
    </row>
    <row r="511" spans="2:9" ht="15.75" customHeight="1" x14ac:dyDescent="0.25">
      <c r="B511" s="1"/>
      <c r="C511" s="1"/>
      <c r="D511" s="1"/>
      <c r="E511" s="1"/>
      <c r="F511" s="1"/>
      <c r="G511" s="1"/>
      <c r="H511" s="1"/>
      <c r="I511" s="1"/>
    </row>
    <row r="512" spans="2:9" ht="15.75" customHeight="1" x14ac:dyDescent="0.25">
      <c r="B512" s="1"/>
      <c r="C512" s="1"/>
      <c r="D512" s="1"/>
      <c r="E512" s="1"/>
      <c r="F512" s="1"/>
      <c r="G512" s="1"/>
      <c r="H512" s="1"/>
      <c r="I512" s="1"/>
    </row>
    <row r="513" spans="2:9" ht="15.75" customHeight="1" x14ac:dyDescent="0.25">
      <c r="B513" s="1"/>
      <c r="C513" s="1"/>
      <c r="D513" s="1"/>
      <c r="E513" s="1"/>
      <c r="F513" s="1"/>
      <c r="G513" s="1"/>
      <c r="H513" s="1"/>
      <c r="I513" s="1"/>
    </row>
    <row r="514" spans="2:9" ht="15.75" customHeight="1" x14ac:dyDescent="0.25">
      <c r="B514" s="1"/>
      <c r="C514" s="1"/>
      <c r="D514" s="1"/>
      <c r="E514" s="1"/>
      <c r="F514" s="1"/>
      <c r="G514" s="1"/>
      <c r="H514" s="1"/>
      <c r="I514" s="1"/>
    </row>
    <row r="515" spans="2:9" ht="15.75" customHeight="1" x14ac:dyDescent="0.25">
      <c r="B515" s="1"/>
      <c r="C515" s="1"/>
      <c r="D515" s="1"/>
      <c r="E515" s="1"/>
      <c r="F515" s="1"/>
      <c r="G515" s="1"/>
      <c r="H515" s="1"/>
      <c r="I515" s="1"/>
    </row>
    <row r="516" spans="2:9" ht="15.75" customHeight="1" x14ac:dyDescent="0.25">
      <c r="B516" s="1"/>
      <c r="C516" s="1"/>
      <c r="D516" s="1"/>
      <c r="E516" s="1"/>
      <c r="F516" s="1"/>
      <c r="G516" s="1"/>
      <c r="H516" s="1"/>
      <c r="I516" s="1"/>
    </row>
    <row r="517" spans="2:9" ht="15.75" customHeight="1" x14ac:dyDescent="0.25">
      <c r="B517" s="1"/>
      <c r="C517" s="1"/>
      <c r="D517" s="1"/>
      <c r="E517" s="1"/>
      <c r="F517" s="1"/>
      <c r="G517" s="1"/>
      <c r="H517" s="1"/>
      <c r="I517" s="1"/>
    </row>
    <row r="518" spans="2:9" ht="15.75" customHeight="1" x14ac:dyDescent="0.25">
      <c r="B518" s="1"/>
      <c r="C518" s="1"/>
      <c r="D518" s="1"/>
      <c r="E518" s="1"/>
      <c r="F518" s="1"/>
      <c r="G518" s="1"/>
      <c r="H518" s="1"/>
      <c r="I518" s="1"/>
    </row>
    <row r="519" spans="2:9" ht="15.75" customHeight="1" x14ac:dyDescent="0.25">
      <c r="B519" s="1"/>
      <c r="C519" s="1"/>
      <c r="D519" s="1"/>
      <c r="E519" s="1"/>
      <c r="F519" s="1"/>
      <c r="G519" s="1"/>
      <c r="H519" s="1"/>
      <c r="I519" s="1"/>
    </row>
    <row r="520" spans="2:9" ht="15.75" customHeight="1" x14ac:dyDescent="0.25">
      <c r="B520" s="1"/>
      <c r="C520" s="1"/>
      <c r="D520" s="1"/>
      <c r="E520" s="1"/>
      <c r="F520" s="1"/>
      <c r="G520" s="1"/>
      <c r="H520" s="1"/>
      <c r="I520" s="1"/>
    </row>
    <row r="521" spans="2:9" ht="15.75" customHeight="1" x14ac:dyDescent="0.25">
      <c r="B521" s="1"/>
      <c r="C521" s="1"/>
      <c r="D521" s="1"/>
      <c r="E521" s="1"/>
      <c r="F521" s="1"/>
      <c r="G521" s="1"/>
      <c r="H521" s="1"/>
      <c r="I521" s="1"/>
    </row>
    <row r="522" spans="2:9" ht="15.75" customHeight="1" x14ac:dyDescent="0.25">
      <c r="B522" s="1"/>
      <c r="C522" s="1"/>
      <c r="D522" s="1"/>
      <c r="E522" s="1"/>
      <c r="F522" s="1"/>
      <c r="G522" s="1"/>
      <c r="H522" s="1"/>
      <c r="I522" s="1"/>
    </row>
    <row r="523" spans="2:9" ht="15.75" customHeight="1" x14ac:dyDescent="0.25">
      <c r="B523" s="1"/>
      <c r="C523" s="1"/>
      <c r="D523" s="1"/>
      <c r="E523" s="1"/>
      <c r="F523" s="1"/>
      <c r="G523" s="1"/>
      <c r="H523" s="1"/>
      <c r="I523" s="1"/>
    </row>
    <row r="524" spans="2:9" ht="15.75" customHeight="1" x14ac:dyDescent="0.25">
      <c r="B524" s="1"/>
      <c r="C524" s="1"/>
      <c r="D524" s="1"/>
      <c r="E524" s="1"/>
      <c r="F524" s="1"/>
      <c r="G524" s="1"/>
      <c r="H524" s="1"/>
      <c r="I524" s="1"/>
    </row>
    <row r="525" spans="2:9" ht="15.75" customHeight="1" x14ac:dyDescent="0.25">
      <c r="B525" s="1"/>
      <c r="C525" s="1"/>
      <c r="D525" s="1"/>
      <c r="E525" s="1"/>
      <c r="F525" s="1"/>
      <c r="G525" s="1"/>
      <c r="H525" s="1"/>
      <c r="I525" s="1"/>
    </row>
    <row r="526" spans="2:9" ht="15.75" customHeight="1" x14ac:dyDescent="0.25">
      <c r="B526" s="1"/>
      <c r="C526" s="1"/>
      <c r="D526" s="1"/>
      <c r="E526" s="1"/>
      <c r="F526" s="1"/>
      <c r="G526" s="1"/>
      <c r="H526" s="1"/>
      <c r="I526" s="1"/>
    </row>
    <row r="527" spans="2:9" ht="15.75" customHeight="1" x14ac:dyDescent="0.25">
      <c r="B527" s="1"/>
      <c r="C527" s="1"/>
      <c r="D527" s="1"/>
      <c r="E527" s="1"/>
      <c r="F527" s="1"/>
      <c r="G527" s="1"/>
      <c r="H527" s="1"/>
      <c r="I527" s="1"/>
    </row>
    <row r="528" spans="2:9" ht="15.75" customHeight="1" x14ac:dyDescent="0.25">
      <c r="B528" s="1"/>
      <c r="C528" s="1"/>
      <c r="D528" s="1"/>
      <c r="E528" s="1"/>
      <c r="F528" s="1"/>
      <c r="G528" s="1"/>
      <c r="H528" s="1"/>
      <c r="I528" s="1"/>
    </row>
    <row r="529" spans="2:9" ht="15.75" customHeight="1" x14ac:dyDescent="0.25">
      <c r="B529" s="1"/>
      <c r="C529" s="1"/>
      <c r="D529" s="1"/>
      <c r="E529" s="1"/>
      <c r="F529" s="1"/>
      <c r="G529" s="1"/>
      <c r="H529" s="1"/>
      <c r="I529" s="1"/>
    </row>
    <row r="530" spans="2:9" ht="15.75" customHeight="1" x14ac:dyDescent="0.25">
      <c r="B530" s="1"/>
      <c r="C530" s="1"/>
      <c r="D530" s="1"/>
      <c r="E530" s="1"/>
      <c r="F530" s="1"/>
      <c r="G530" s="1"/>
      <c r="H530" s="1"/>
      <c r="I530" s="1"/>
    </row>
    <row r="531" spans="2:9" ht="15.75" customHeight="1" x14ac:dyDescent="0.25">
      <c r="B531" s="1"/>
      <c r="C531" s="1"/>
      <c r="D531" s="1"/>
      <c r="E531" s="1"/>
      <c r="F531" s="1"/>
      <c r="G531" s="1"/>
      <c r="H531" s="1"/>
      <c r="I531" s="1"/>
    </row>
    <row r="532" spans="2:9" ht="15.75" customHeight="1" x14ac:dyDescent="0.25">
      <c r="B532" s="1"/>
      <c r="C532" s="1"/>
      <c r="D532" s="1"/>
      <c r="E532" s="1"/>
      <c r="F532" s="1"/>
      <c r="G532" s="1"/>
      <c r="H532" s="1"/>
      <c r="I532" s="1"/>
    </row>
    <row r="533" spans="2:9" ht="15.75" customHeight="1" x14ac:dyDescent="0.25">
      <c r="B533" s="1"/>
      <c r="C533" s="1"/>
      <c r="D533" s="1"/>
      <c r="E533" s="1"/>
      <c r="F533" s="1"/>
      <c r="G533" s="1"/>
      <c r="H533" s="1"/>
      <c r="I533" s="1"/>
    </row>
    <row r="534" spans="2:9" ht="15.75" customHeight="1" x14ac:dyDescent="0.25">
      <c r="B534" s="1"/>
      <c r="C534" s="1"/>
      <c r="D534" s="1"/>
      <c r="E534" s="1"/>
      <c r="F534" s="1"/>
      <c r="G534" s="1"/>
      <c r="H534" s="1"/>
      <c r="I534" s="1"/>
    </row>
    <row r="535" spans="2:9" ht="15.75" customHeight="1" x14ac:dyDescent="0.25">
      <c r="B535" s="1"/>
      <c r="C535" s="1"/>
      <c r="D535" s="1"/>
      <c r="E535" s="1"/>
      <c r="F535" s="1"/>
      <c r="G535" s="1"/>
      <c r="H535" s="1"/>
      <c r="I535" s="1"/>
    </row>
    <row r="536" spans="2:9" ht="15.75" customHeight="1" x14ac:dyDescent="0.25">
      <c r="B536" s="1"/>
      <c r="C536" s="1"/>
      <c r="D536" s="1"/>
      <c r="E536" s="1"/>
      <c r="F536" s="1"/>
      <c r="G536" s="1"/>
      <c r="H536" s="1"/>
      <c r="I536" s="1"/>
    </row>
    <row r="537" spans="2:9" ht="15.75" customHeight="1" x14ac:dyDescent="0.25">
      <c r="B537" s="1"/>
      <c r="C537" s="1"/>
      <c r="D537" s="1"/>
      <c r="E537" s="1"/>
      <c r="F537" s="1"/>
      <c r="G537" s="1"/>
      <c r="H537" s="1"/>
      <c r="I537" s="1"/>
    </row>
    <row r="538" spans="2:9" ht="15.75" customHeight="1" x14ac:dyDescent="0.25">
      <c r="B538" s="1"/>
      <c r="C538" s="1"/>
      <c r="D538" s="1"/>
      <c r="E538" s="1"/>
      <c r="F538" s="1"/>
      <c r="G538" s="1"/>
      <c r="H538" s="1"/>
      <c r="I538" s="1"/>
    </row>
    <row r="539" spans="2:9" ht="15.75" customHeight="1" x14ac:dyDescent="0.25">
      <c r="B539" s="1"/>
      <c r="C539" s="1"/>
      <c r="D539" s="1"/>
      <c r="E539" s="1"/>
      <c r="F539" s="1"/>
      <c r="G539" s="1"/>
      <c r="H539" s="1"/>
      <c r="I539" s="1"/>
    </row>
    <row r="540" spans="2:9" ht="15.75" customHeight="1" x14ac:dyDescent="0.25">
      <c r="B540" s="1"/>
      <c r="C540" s="1"/>
      <c r="D540" s="1"/>
      <c r="E540" s="1"/>
      <c r="F540" s="1"/>
      <c r="G540" s="1"/>
      <c r="H540" s="1"/>
      <c r="I540" s="1"/>
    </row>
    <row r="541" spans="2:9" ht="15.75" customHeight="1" x14ac:dyDescent="0.25">
      <c r="B541" s="1"/>
      <c r="C541" s="1"/>
      <c r="D541" s="1"/>
      <c r="E541" s="1"/>
      <c r="F541" s="1"/>
      <c r="G541" s="1"/>
      <c r="H541" s="1"/>
      <c r="I541" s="1"/>
    </row>
    <row r="542" spans="2:9" ht="15.75" customHeight="1" x14ac:dyDescent="0.25">
      <c r="B542" s="1"/>
      <c r="C542" s="1"/>
      <c r="D542" s="1"/>
      <c r="E542" s="1"/>
      <c r="F542" s="1"/>
      <c r="G542" s="1"/>
      <c r="H542" s="1"/>
      <c r="I542" s="1"/>
    </row>
    <row r="543" spans="2:9" ht="15.75" customHeight="1" x14ac:dyDescent="0.25">
      <c r="B543" s="1"/>
      <c r="C543" s="1"/>
      <c r="D543" s="1"/>
      <c r="E543" s="1"/>
      <c r="F543" s="1"/>
      <c r="G543" s="1"/>
      <c r="H543" s="1"/>
      <c r="I543" s="1"/>
    </row>
    <row r="544" spans="2:9" ht="15.75" customHeight="1" x14ac:dyDescent="0.25">
      <c r="B544" s="1"/>
      <c r="C544" s="1"/>
      <c r="D544" s="1"/>
      <c r="E544" s="1"/>
      <c r="F544" s="1"/>
      <c r="G544" s="1"/>
      <c r="H544" s="1"/>
      <c r="I544" s="1"/>
    </row>
    <row r="545" spans="2:9" ht="15.75" customHeight="1" x14ac:dyDescent="0.25">
      <c r="B545" s="1"/>
      <c r="C545" s="1"/>
      <c r="D545" s="1"/>
      <c r="E545" s="1"/>
      <c r="F545" s="1"/>
      <c r="G545" s="1"/>
      <c r="H545" s="1"/>
      <c r="I545" s="1"/>
    </row>
    <row r="546" spans="2:9" ht="15.75" customHeight="1" x14ac:dyDescent="0.25">
      <c r="B546" s="1"/>
      <c r="C546" s="1"/>
      <c r="D546" s="1"/>
      <c r="E546" s="1"/>
      <c r="F546" s="1"/>
      <c r="G546" s="1"/>
      <c r="H546" s="1"/>
      <c r="I546" s="1"/>
    </row>
    <row r="547" spans="2:9" ht="15.75" customHeight="1" x14ac:dyDescent="0.25">
      <c r="B547" s="1"/>
      <c r="C547" s="1"/>
      <c r="D547" s="1"/>
      <c r="E547" s="1"/>
      <c r="F547" s="1"/>
      <c r="G547" s="1"/>
      <c r="H547" s="1"/>
      <c r="I547" s="1"/>
    </row>
    <row r="548" spans="2:9" ht="15.75" customHeight="1" x14ac:dyDescent="0.25">
      <c r="B548" s="1"/>
      <c r="C548" s="1"/>
      <c r="D548" s="1"/>
      <c r="E548" s="1"/>
      <c r="F548" s="1"/>
      <c r="G548" s="1"/>
      <c r="H548" s="1"/>
      <c r="I548" s="1"/>
    </row>
    <row r="549" spans="2:9" ht="15.75" customHeight="1" x14ac:dyDescent="0.25">
      <c r="B549" s="1"/>
      <c r="C549" s="1"/>
      <c r="D549" s="1"/>
      <c r="E549" s="1"/>
      <c r="F549" s="1"/>
      <c r="G549" s="1"/>
      <c r="H549" s="1"/>
      <c r="I549" s="1"/>
    </row>
    <row r="550" spans="2:9" ht="15.75" customHeight="1" x14ac:dyDescent="0.25">
      <c r="B550" s="1"/>
      <c r="C550" s="1"/>
      <c r="D550" s="1"/>
      <c r="E550" s="1"/>
      <c r="F550" s="1"/>
      <c r="G550" s="1"/>
      <c r="H550" s="1"/>
      <c r="I550" s="1"/>
    </row>
    <row r="551" spans="2:9" ht="15.75" customHeight="1" x14ac:dyDescent="0.25">
      <c r="B551" s="1"/>
      <c r="C551" s="1"/>
      <c r="D551" s="1"/>
      <c r="E551" s="1"/>
      <c r="F551" s="1"/>
      <c r="G551" s="1"/>
      <c r="H551" s="1"/>
      <c r="I551" s="1"/>
    </row>
    <row r="552" spans="2:9" ht="15.75" customHeight="1" x14ac:dyDescent="0.25">
      <c r="B552" s="1"/>
      <c r="C552" s="1"/>
      <c r="D552" s="1"/>
      <c r="E552" s="1"/>
      <c r="F552" s="1"/>
      <c r="G552" s="1"/>
      <c r="H552" s="1"/>
      <c r="I552" s="1"/>
    </row>
    <row r="553" spans="2:9" ht="15.75" customHeight="1" x14ac:dyDescent="0.25">
      <c r="B553" s="1"/>
      <c r="C553" s="1"/>
      <c r="D553" s="1"/>
      <c r="E553" s="1"/>
      <c r="F553" s="1"/>
      <c r="G553" s="1"/>
      <c r="H553" s="1"/>
      <c r="I553" s="1"/>
    </row>
    <row r="554" spans="2:9" ht="15.75" customHeight="1" x14ac:dyDescent="0.25">
      <c r="B554" s="1"/>
      <c r="C554" s="1"/>
      <c r="D554" s="1"/>
      <c r="E554" s="1"/>
      <c r="F554" s="1"/>
      <c r="G554" s="1"/>
      <c r="H554" s="1"/>
      <c r="I554" s="1"/>
    </row>
    <row r="555" spans="2:9" ht="15.75" customHeight="1" x14ac:dyDescent="0.25">
      <c r="B555" s="1"/>
      <c r="C555" s="1"/>
      <c r="D555" s="1"/>
      <c r="E555" s="1"/>
      <c r="F555" s="1"/>
      <c r="G555" s="1"/>
      <c r="H555" s="1"/>
      <c r="I555" s="1"/>
    </row>
    <row r="556" spans="2:9" ht="15.75" customHeight="1" x14ac:dyDescent="0.25">
      <c r="B556" s="1"/>
      <c r="C556" s="1"/>
      <c r="D556" s="1"/>
      <c r="E556" s="1"/>
      <c r="F556" s="1"/>
      <c r="G556" s="1"/>
      <c r="H556" s="1"/>
      <c r="I556" s="1"/>
    </row>
    <row r="557" spans="2:9" ht="15.75" customHeight="1" x14ac:dyDescent="0.25">
      <c r="B557" s="1"/>
      <c r="C557" s="1"/>
      <c r="D557" s="1"/>
      <c r="E557" s="1"/>
      <c r="F557" s="1"/>
      <c r="G557" s="1"/>
      <c r="H557" s="1"/>
      <c r="I557" s="1"/>
    </row>
    <row r="558" spans="2:9" ht="15.75" customHeight="1" x14ac:dyDescent="0.25">
      <c r="B558" s="1"/>
      <c r="C558" s="1"/>
      <c r="D558" s="1"/>
      <c r="E558" s="1"/>
      <c r="F558" s="1"/>
      <c r="G558" s="1"/>
      <c r="H558" s="1"/>
      <c r="I558" s="1"/>
    </row>
    <row r="559" spans="2:9" ht="15.75" customHeight="1" x14ac:dyDescent="0.25">
      <c r="B559" s="1"/>
      <c r="C559" s="1"/>
      <c r="D559" s="1"/>
      <c r="E559" s="1"/>
      <c r="F559" s="1"/>
      <c r="G559" s="1"/>
      <c r="H559" s="1"/>
      <c r="I559" s="1"/>
    </row>
    <row r="560" spans="2:9" ht="15.75" customHeight="1" x14ac:dyDescent="0.25">
      <c r="B560" s="1"/>
      <c r="C560" s="1"/>
      <c r="D560" s="1"/>
      <c r="E560" s="1"/>
      <c r="F560" s="1"/>
      <c r="G560" s="1"/>
      <c r="H560" s="1"/>
      <c r="I560" s="1"/>
    </row>
    <row r="561" spans="2:9" ht="15.75" customHeight="1" x14ac:dyDescent="0.25">
      <c r="B561" s="1"/>
      <c r="C561" s="1"/>
      <c r="D561" s="1"/>
      <c r="E561" s="1"/>
      <c r="F561" s="1"/>
      <c r="G561" s="1"/>
      <c r="H561" s="1"/>
      <c r="I561" s="1"/>
    </row>
    <row r="562" spans="2:9" ht="15.75" customHeight="1" x14ac:dyDescent="0.25">
      <c r="B562" s="1"/>
      <c r="C562" s="1"/>
      <c r="D562" s="1"/>
      <c r="E562" s="1"/>
      <c r="F562" s="1"/>
      <c r="G562" s="1"/>
      <c r="H562" s="1"/>
      <c r="I562" s="1"/>
    </row>
    <row r="563" spans="2:9" ht="15.75" customHeight="1" x14ac:dyDescent="0.25">
      <c r="B563" s="1"/>
      <c r="C563" s="1"/>
      <c r="D563" s="1"/>
      <c r="E563" s="1"/>
      <c r="F563" s="1"/>
      <c r="G563" s="1"/>
      <c r="H563" s="1"/>
      <c r="I563" s="1"/>
    </row>
    <row r="564" spans="2:9" ht="15.75" customHeight="1" x14ac:dyDescent="0.25">
      <c r="B564" s="1"/>
      <c r="C564" s="1"/>
      <c r="D564" s="1"/>
      <c r="E564" s="1"/>
      <c r="F564" s="1"/>
      <c r="G564" s="1"/>
      <c r="H564" s="1"/>
      <c r="I564" s="1"/>
    </row>
    <row r="565" spans="2:9" ht="15.75" customHeight="1" x14ac:dyDescent="0.25">
      <c r="B565" s="1"/>
      <c r="C565" s="1"/>
      <c r="D565" s="1"/>
      <c r="E565" s="1"/>
      <c r="F565" s="1"/>
      <c r="G565" s="1"/>
      <c r="H565" s="1"/>
      <c r="I565" s="1"/>
    </row>
    <row r="566" spans="2:9" ht="15.75" customHeight="1" x14ac:dyDescent="0.25">
      <c r="B566" s="1"/>
      <c r="C566" s="1"/>
      <c r="D566" s="1"/>
      <c r="E566" s="1"/>
      <c r="F566" s="1"/>
      <c r="G566" s="1"/>
      <c r="H566" s="1"/>
      <c r="I566" s="1"/>
    </row>
    <row r="567" spans="2:9" ht="15.75" customHeight="1" x14ac:dyDescent="0.25">
      <c r="B567" s="1"/>
      <c r="C567" s="1"/>
      <c r="D567" s="1"/>
      <c r="E567" s="1"/>
      <c r="F567" s="1"/>
      <c r="G567" s="1"/>
      <c r="H567" s="1"/>
      <c r="I567" s="1"/>
    </row>
    <row r="568" spans="2:9" ht="15.75" customHeight="1" x14ac:dyDescent="0.25">
      <c r="B568" s="1"/>
      <c r="C568" s="1"/>
      <c r="D568" s="1"/>
      <c r="E568" s="1"/>
      <c r="F568" s="1"/>
      <c r="G568" s="1"/>
      <c r="H568" s="1"/>
      <c r="I568" s="1"/>
    </row>
    <row r="569" spans="2:9" ht="15.75" customHeight="1" x14ac:dyDescent="0.25">
      <c r="B569" s="1"/>
      <c r="C569" s="1"/>
      <c r="D569" s="1"/>
      <c r="E569" s="1"/>
      <c r="F569" s="1"/>
      <c r="G569" s="1"/>
      <c r="H569" s="1"/>
      <c r="I569" s="1"/>
    </row>
    <row r="570" spans="2:9" ht="15.75" customHeight="1" x14ac:dyDescent="0.25">
      <c r="B570" s="1"/>
      <c r="C570" s="1"/>
      <c r="D570" s="1"/>
      <c r="E570" s="1"/>
      <c r="F570" s="1"/>
      <c r="G570" s="1"/>
      <c r="H570" s="1"/>
      <c r="I570" s="1"/>
    </row>
    <row r="571" spans="2:9" ht="15.75" customHeight="1" x14ac:dyDescent="0.25">
      <c r="B571" s="1"/>
      <c r="C571" s="1"/>
      <c r="D571" s="1"/>
      <c r="E571" s="1"/>
      <c r="F571" s="1"/>
      <c r="G571" s="1"/>
      <c r="H571" s="1"/>
      <c r="I571" s="1"/>
    </row>
    <row r="572" spans="2:9" ht="15.75" customHeight="1" x14ac:dyDescent="0.25">
      <c r="B572" s="1"/>
      <c r="C572" s="1"/>
      <c r="D572" s="1"/>
      <c r="E572" s="1"/>
      <c r="F572" s="1"/>
      <c r="G572" s="1"/>
      <c r="H572" s="1"/>
      <c r="I572" s="1"/>
    </row>
    <row r="573" spans="2:9" ht="15.75" customHeight="1" x14ac:dyDescent="0.25">
      <c r="B573" s="1"/>
      <c r="C573" s="1"/>
      <c r="D573" s="1"/>
      <c r="E573" s="1"/>
      <c r="F573" s="1"/>
      <c r="G573" s="1"/>
      <c r="H573" s="1"/>
      <c r="I573" s="1"/>
    </row>
    <row r="574" spans="2:9" ht="15.75" customHeight="1" x14ac:dyDescent="0.25">
      <c r="B574" s="1"/>
      <c r="C574" s="1"/>
      <c r="D574" s="1"/>
      <c r="E574" s="1"/>
      <c r="F574" s="1"/>
      <c r="G574" s="1"/>
      <c r="H574" s="1"/>
      <c r="I574" s="1"/>
    </row>
    <row r="575" spans="2:9" ht="15.75" customHeight="1" x14ac:dyDescent="0.25">
      <c r="B575" s="1"/>
      <c r="C575" s="1"/>
      <c r="D575" s="1"/>
      <c r="E575" s="1"/>
      <c r="F575" s="1"/>
      <c r="G575" s="1"/>
      <c r="H575" s="1"/>
      <c r="I575" s="1"/>
    </row>
    <row r="576" spans="2:9" ht="15.75" customHeight="1" x14ac:dyDescent="0.25">
      <c r="B576" s="1"/>
      <c r="C576" s="1"/>
      <c r="D576" s="1"/>
      <c r="E576" s="1"/>
      <c r="F576" s="1"/>
      <c r="G576" s="1"/>
      <c r="H576" s="1"/>
      <c r="I576" s="1"/>
    </row>
    <row r="577" spans="2:9" ht="15.75" customHeight="1" x14ac:dyDescent="0.25">
      <c r="B577" s="1"/>
      <c r="C577" s="1"/>
      <c r="D577" s="1"/>
      <c r="E577" s="1"/>
      <c r="F577" s="1"/>
      <c r="G577" s="1"/>
      <c r="H577" s="1"/>
      <c r="I577" s="1"/>
    </row>
    <row r="578" spans="2:9" ht="15.75" customHeight="1" x14ac:dyDescent="0.25">
      <c r="B578" s="1"/>
      <c r="C578" s="1"/>
      <c r="D578" s="1"/>
      <c r="E578" s="1"/>
      <c r="F578" s="1"/>
      <c r="G578" s="1"/>
      <c r="H578" s="1"/>
      <c r="I578" s="1"/>
    </row>
    <row r="579" spans="2:9" ht="15.75" customHeight="1" x14ac:dyDescent="0.25">
      <c r="B579" s="1"/>
      <c r="C579" s="1"/>
      <c r="D579" s="1"/>
      <c r="E579" s="1"/>
      <c r="F579" s="1"/>
      <c r="G579" s="1"/>
      <c r="H579" s="1"/>
      <c r="I579" s="1"/>
    </row>
    <row r="580" spans="2:9" ht="15.75" customHeight="1" x14ac:dyDescent="0.25">
      <c r="B580" s="1"/>
      <c r="C580" s="1"/>
      <c r="D580" s="1"/>
      <c r="E580" s="1"/>
      <c r="F580" s="1"/>
      <c r="G580" s="1"/>
      <c r="H580" s="1"/>
      <c r="I580" s="1"/>
    </row>
    <row r="581" spans="2:9" ht="15.75" customHeight="1" x14ac:dyDescent="0.25">
      <c r="B581" s="1"/>
      <c r="C581" s="1"/>
      <c r="D581" s="1"/>
      <c r="E581" s="1"/>
      <c r="F581" s="1"/>
      <c r="G581" s="1"/>
      <c r="H581" s="1"/>
      <c r="I581" s="1"/>
    </row>
    <row r="582" spans="2:9" ht="15.75" customHeight="1" x14ac:dyDescent="0.25">
      <c r="B582" s="1"/>
      <c r="C582" s="1"/>
      <c r="D582" s="1"/>
      <c r="E582" s="1"/>
      <c r="F582" s="1"/>
      <c r="G582" s="1"/>
      <c r="H582" s="1"/>
      <c r="I582" s="1"/>
    </row>
    <row r="583" spans="2:9" ht="15.75" customHeight="1" x14ac:dyDescent="0.25">
      <c r="B583" s="1"/>
      <c r="C583" s="1"/>
      <c r="D583" s="1"/>
      <c r="E583" s="1"/>
      <c r="F583" s="1"/>
      <c r="G583" s="1"/>
      <c r="H583" s="1"/>
      <c r="I583" s="1"/>
    </row>
    <row r="584" spans="2:9" ht="15.75" customHeight="1" x14ac:dyDescent="0.25">
      <c r="B584" s="1"/>
      <c r="C584" s="1"/>
      <c r="D584" s="1"/>
      <c r="E584" s="1"/>
      <c r="F584" s="1"/>
      <c r="G584" s="1"/>
      <c r="H584" s="1"/>
      <c r="I584" s="1"/>
    </row>
    <row r="585" spans="2:9" ht="15.75" customHeight="1" x14ac:dyDescent="0.25">
      <c r="B585" s="1"/>
      <c r="C585" s="1"/>
      <c r="D585" s="1"/>
      <c r="E585" s="1"/>
      <c r="F585" s="1"/>
      <c r="G585" s="1"/>
      <c r="H585" s="1"/>
      <c r="I585" s="1"/>
    </row>
    <row r="586" spans="2:9" ht="15.75" customHeight="1" x14ac:dyDescent="0.25">
      <c r="B586" s="1"/>
      <c r="C586" s="1"/>
      <c r="D586" s="1"/>
      <c r="E586" s="1"/>
      <c r="F586" s="1"/>
      <c r="G586" s="1"/>
      <c r="H586" s="1"/>
      <c r="I586" s="1"/>
    </row>
    <row r="587" spans="2:9" ht="15.75" customHeight="1" x14ac:dyDescent="0.25">
      <c r="B587" s="1"/>
      <c r="C587" s="1"/>
      <c r="D587" s="1"/>
      <c r="E587" s="1"/>
      <c r="F587" s="1"/>
      <c r="G587" s="1"/>
      <c r="H587" s="1"/>
      <c r="I587" s="1"/>
    </row>
    <row r="588" spans="2:9" ht="15.75" customHeight="1" x14ac:dyDescent="0.25">
      <c r="B588" s="1"/>
      <c r="C588" s="1"/>
      <c r="D588" s="1"/>
      <c r="E588" s="1"/>
      <c r="F588" s="1"/>
      <c r="G588" s="1"/>
      <c r="H588" s="1"/>
      <c r="I588" s="1"/>
    </row>
    <row r="589" spans="2:9" ht="15.75" customHeight="1" x14ac:dyDescent="0.25">
      <c r="B589" s="1"/>
      <c r="C589" s="1"/>
      <c r="D589" s="1"/>
      <c r="E589" s="1"/>
      <c r="F589" s="1"/>
      <c r="G589" s="1"/>
      <c r="H589" s="1"/>
      <c r="I589" s="1"/>
    </row>
    <row r="590" spans="2:9" ht="15.75" customHeight="1" x14ac:dyDescent="0.25">
      <c r="B590" s="1"/>
      <c r="C590" s="1"/>
      <c r="D590" s="1"/>
      <c r="E590" s="1"/>
      <c r="F590" s="1"/>
      <c r="G590" s="1"/>
      <c r="H590" s="1"/>
      <c r="I590" s="1"/>
    </row>
    <row r="591" spans="2:9" ht="15.75" customHeight="1" x14ac:dyDescent="0.25">
      <c r="B591" s="1"/>
      <c r="C591" s="1"/>
      <c r="D591" s="1"/>
      <c r="E591" s="1"/>
      <c r="F591" s="1"/>
      <c r="G591" s="1"/>
      <c r="H591" s="1"/>
      <c r="I591" s="1"/>
    </row>
    <row r="592" spans="2:9" ht="15.75" customHeight="1" x14ac:dyDescent="0.25">
      <c r="B592" s="1"/>
      <c r="C592" s="1"/>
      <c r="D592" s="1"/>
      <c r="E592" s="1"/>
      <c r="F592" s="1"/>
      <c r="G592" s="1"/>
      <c r="H592" s="1"/>
      <c r="I592" s="1"/>
    </row>
    <row r="593" spans="2:9" ht="15.75" customHeight="1" x14ac:dyDescent="0.25">
      <c r="B593" s="1"/>
      <c r="C593" s="1"/>
      <c r="D593" s="1"/>
      <c r="E593" s="1"/>
      <c r="F593" s="1"/>
      <c r="G593" s="1"/>
      <c r="H593" s="1"/>
      <c r="I593" s="1"/>
    </row>
    <row r="594" spans="2:9" ht="15.75" customHeight="1" x14ac:dyDescent="0.25">
      <c r="B594" s="1"/>
      <c r="C594" s="1"/>
      <c r="D594" s="1"/>
      <c r="E594" s="1"/>
      <c r="F594" s="1"/>
      <c r="G594" s="1"/>
      <c r="H594" s="1"/>
      <c r="I594" s="1"/>
    </row>
    <row r="595" spans="2:9" ht="15.75" customHeight="1" x14ac:dyDescent="0.25">
      <c r="B595" s="1"/>
      <c r="C595" s="1"/>
      <c r="D595" s="1"/>
      <c r="E595" s="1"/>
      <c r="F595" s="1"/>
      <c r="G595" s="1"/>
      <c r="H595" s="1"/>
      <c r="I595" s="1"/>
    </row>
    <row r="596" spans="2:9" ht="15.75" customHeight="1" x14ac:dyDescent="0.25">
      <c r="B596" s="1"/>
      <c r="C596" s="1"/>
      <c r="D596" s="1"/>
      <c r="E596" s="1"/>
      <c r="F596" s="1"/>
      <c r="G596" s="1"/>
      <c r="H596" s="1"/>
      <c r="I596" s="1"/>
    </row>
    <row r="597" spans="2:9" ht="15.75" customHeight="1" x14ac:dyDescent="0.25">
      <c r="B597" s="1"/>
      <c r="C597" s="1"/>
      <c r="D597" s="1"/>
      <c r="E597" s="1"/>
      <c r="F597" s="1"/>
      <c r="G597" s="1"/>
      <c r="H597" s="1"/>
      <c r="I597" s="1"/>
    </row>
    <row r="598" spans="2:9" ht="15.75" customHeight="1" x14ac:dyDescent="0.25">
      <c r="B598" s="1"/>
      <c r="C598" s="1"/>
      <c r="D598" s="1"/>
      <c r="E598" s="1"/>
      <c r="F598" s="1"/>
      <c r="G598" s="1"/>
      <c r="H598" s="1"/>
      <c r="I598" s="1"/>
    </row>
    <row r="599" spans="2:9" ht="15.75" customHeight="1" x14ac:dyDescent="0.25">
      <c r="B599" s="1"/>
      <c r="C599" s="1"/>
      <c r="D599" s="1"/>
      <c r="E599" s="1"/>
      <c r="F599" s="1"/>
      <c r="G599" s="1"/>
      <c r="H599" s="1"/>
      <c r="I599" s="1"/>
    </row>
    <row r="600" spans="2:9" ht="15.75" customHeight="1" x14ac:dyDescent="0.25">
      <c r="B600" s="1"/>
      <c r="C600" s="1"/>
      <c r="D600" s="1"/>
      <c r="E600" s="1"/>
      <c r="F600" s="1"/>
      <c r="G600" s="1"/>
      <c r="H600" s="1"/>
      <c r="I600" s="1"/>
    </row>
    <row r="601" spans="2:9" ht="15.75" customHeight="1" x14ac:dyDescent="0.25">
      <c r="B601" s="1"/>
      <c r="C601" s="1"/>
      <c r="D601" s="1"/>
      <c r="E601" s="1"/>
      <c r="F601" s="1"/>
      <c r="G601" s="1"/>
      <c r="H601" s="1"/>
      <c r="I601" s="1"/>
    </row>
    <row r="602" spans="2:9" ht="15.75" customHeight="1" x14ac:dyDescent="0.25">
      <c r="B602" s="1"/>
      <c r="C602" s="1"/>
      <c r="D602" s="1"/>
      <c r="E602" s="1"/>
      <c r="F602" s="1"/>
      <c r="G602" s="1"/>
      <c r="H602" s="1"/>
      <c r="I602" s="1"/>
    </row>
    <row r="603" spans="2:9" ht="15.75" customHeight="1" x14ac:dyDescent="0.25">
      <c r="B603" s="1"/>
      <c r="C603" s="1"/>
      <c r="D603" s="1"/>
      <c r="E603" s="1"/>
      <c r="F603" s="1"/>
      <c r="G603" s="1"/>
      <c r="H603" s="1"/>
      <c r="I603" s="1"/>
    </row>
    <row r="604" spans="2:9" ht="15.75" customHeight="1" x14ac:dyDescent="0.25">
      <c r="B604" s="1"/>
      <c r="C604" s="1"/>
      <c r="D604" s="1"/>
      <c r="E604" s="1"/>
      <c r="F604" s="1"/>
      <c r="G604" s="1"/>
      <c r="H604" s="1"/>
      <c r="I604" s="1"/>
    </row>
    <row r="605" spans="2:9" ht="15.75" customHeight="1" x14ac:dyDescent="0.25">
      <c r="B605" s="1"/>
      <c r="C605" s="1"/>
      <c r="D605" s="1"/>
      <c r="E605" s="1"/>
      <c r="F605" s="1"/>
      <c r="G605" s="1"/>
      <c r="H605" s="1"/>
      <c r="I605" s="1"/>
    </row>
    <row r="606" spans="2:9" ht="15.75" customHeight="1" x14ac:dyDescent="0.25">
      <c r="B606" s="1"/>
      <c r="C606" s="1"/>
      <c r="D606" s="1"/>
      <c r="E606" s="1"/>
      <c r="F606" s="1"/>
      <c r="G606" s="1"/>
      <c r="H606" s="1"/>
      <c r="I606" s="1"/>
    </row>
    <row r="607" spans="2:9" ht="15.75" customHeight="1" x14ac:dyDescent="0.25">
      <c r="B607" s="1"/>
      <c r="C607" s="1"/>
      <c r="D607" s="1"/>
      <c r="E607" s="1"/>
      <c r="F607" s="1"/>
      <c r="G607" s="1"/>
      <c r="H607" s="1"/>
      <c r="I607" s="1"/>
    </row>
    <row r="608" spans="2:9" ht="15.75" customHeight="1" x14ac:dyDescent="0.25">
      <c r="B608" s="1"/>
      <c r="C608" s="1"/>
      <c r="D608" s="1"/>
      <c r="E608" s="1"/>
      <c r="F608" s="1"/>
      <c r="G608" s="1"/>
      <c r="H608" s="1"/>
      <c r="I608" s="1"/>
    </row>
    <row r="609" spans="2:9" ht="15.75" customHeight="1" x14ac:dyDescent="0.25">
      <c r="B609" s="1"/>
      <c r="C609" s="1"/>
      <c r="D609" s="1"/>
      <c r="E609" s="1"/>
      <c r="F609" s="1"/>
      <c r="G609" s="1"/>
      <c r="H609" s="1"/>
      <c r="I609" s="1"/>
    </row>
    <row r="610" spans="2:9" ht="15.75" customHeight="1" x14ac:dyDescent="0.25">
      <c r="B610" s="1"/>
      <c r="C610" s="1"/>
      <c r="D610" s="1"/>
      <c r="E610" s="1"/>
      <c r="F610" s="1"/>
      <c r="G610" s="1"/>
      <c r="H610" s="1"/>
      <c r="I610" s="1"/>
    </row>
    <row r="611" spans="2:9" ht="15.75" customHeight="1" x14ac:dyDescent="0.25">
      <c r="B611" s="1"/>
      <c r="C611" s="1"/>
      <c r="D611" s="1"/>
      <c r="E611" s="1"/>
      <c r="F611" s="1"/>
      <c r="G611" s="1"/>
      <c r="H611" s="1"/>
      <c r="I611" s="1"/>
    </row>
    <row r="612" spans="2:9" ht="15.75" customHeight="1" x14ac:dyDescent="0.25">
      <c r="B612" s="1"/>
      <c r="C612" s="1"/>
      <c r="D612" s="1"/>
      <c r="E612" s="1"/>
      <c r="F612" s="1"/>
      <c r="G612" s="1"/>
      <c r="H612" s="1"/>
      <c r="I612" s="1"/>
    </row>
    <row r="613" spans="2:9" ht="15.75" customHeight="1" x14ac:dyDescent="0.25">
      <c r="B613" s="1"/>
      <c r="C613" s="1"/>
      <c r="D613" s="1"/>
      <c r="E613" s="1"/>
      <c r="F613" s="1"/>
      <c r="G613" s="1"/>
      <c r="H613" s="1"/>
      <c r="I613" s="1"/>
    </row>
    <row r="614" spans="2:9" ht="15.75" customHeight="1" x14ac:dyDescent="0.25">
      <c r="B614" s="1"/>
      <c r="C614" s="1"/>
      <c r="D614" s="1"/>
      <c r="E614" s="1"/>
      <c r="F614" s="1"/>
      <c r="G614" s="1"/>
      <c r="H614" s="1"/>
      <c r="I614" s="1"/>
    </row>
    <row r="615" spans="2:9" ht="15.75" customHeight="1" x14ac:dyDescent="0.25">
      <c r="B615" s="1"/>
      <c r="C615" s="1"/>
      <c r="D615" s="1"/>
      <c r="E615" s="1"/>
      <c r="F615" s="1"/>
      <c r="G615" s="1"/>
      <c r="H615" s="1"/>
      <c r="I615" s="1"/>
    </row>
    <row r="616" spans="2:9" ht="15.75" customHeight="1" x14ac:dyDescent="0.25">
      <c r="B616" s="1"/>
      <c r="C616" s="1"/>
      <c r="D616" s="1"/>
      <c r="E616" s="1"/>
      <c r="F616" s="1"/>
      <c r="G616" s="1"/>
      <c r="H616" s="1"/>
      <c r="I616" s="1"/>
    </row>
    <row r="617" spans="2:9" ht="15.75" customHeight="1" x14ac:dyDescent="0.25">
      <c r="B617" s="1"/>
      <c r="C617" s="1"/>
      <c r="D617" s="1"/>
      <c r="E617" s="1"/>
      <c r="F617" s="1"/>
      <c r="G617" s="1"/>
      <c r="H617" s="1"/>
      <c r="I617" s="1"/>
    </row>
    <row r="618" spans="2:9" ht="15.75" customHeight="1" x14ac:dyDescent="0.25">
      <c r="B618" s="1"/>
      <c r="C618" s="1"/>
      <c r="D618" s="1"/>
      <c r="E618" s="1"/>
      <c r="F618" s="1"/>
      <c r="G618" s="1"/>
      <c r="H618" s="1"/>
      <c r="I618" s="1"/>
    </row>
    <row r="619" spans="2:9" ht="15.75" customHeight="1" x14ac:dyDescent="0.25">
      <c r="B619" s="1"/>
      <c r="C619" s="1"/>
      <c r="D619" s="1"/>
      <c r="E619" s="1"/>
      <c r="F619" s="1"/>
      <c r="G619" s="1"/>
      <c r="H619" s="1"/>
      <c r="I619" s="1"/>
    </row>
    <row r="620" spans="2:9" ht="15.75" customHeight="1" x14ac:dyDescent="0.25">
      <c r="B620" s="1"/>
      <c r="C620" s="1"/>
      <c r="D620" s="1"/>
      <c r="E620" s="1"/>
      <c r="F620" s="1"/>
      <c r="G620" s="1"/>
      <c r="H620" s="1"/>
      <c r="I620" s="1"/>
    </row>
    <row r="621" spans="2:9" ht="15.75" customHeight="1" x14ac:dyDescent="0.25">
      <c r="B621" s="1"/>
      <c r="C621" s="1"/>
      <c r="D621" s="1"/>
      <c r="E621" s="1"/>
      <c r="F621" s="1"/>
      <c r="G621" s="1"/>
      <c r="H621" s="1"/>
      <c r="I621" s="1"/>
    </row>
    <row r="622" spans="2:9" ht="15.75" customHeight="1" x14ac:dyDescent="0.25">
      <c r="B622" s="1"/>
      <c r="C622" s="1"/>
      <c r="D622" s="1"/>
      <c r="E622" s="1"/>
      <c r="F622" s="1"/>
      <c r="G622" s="1"/>
      <c r="H622" s="1"/>
      <c r="I622" s="1"/>
    </row>
    <row r="623" spans="2:9" ht="15.75" customHeight="1" x14ac:dyDescent="0.25">
      <c r="B623" s="1"/>
      <c r="C623" s="1"/>
      <c r="D623" s="1"/>
      <c r="E623" s="1"/>
      <c r="F623" s="1"/>
      <c r="G623" s="1"/>
      <c r="H623" s="1"/>
      <c r="I623" s="1"/>
    </row>
    <row r="624" spans="2:9" ht="15.75" customHeight="1" x14ac:dyDescent="0.25">
      <c r="B624" s="1"/>
      <c r="C624" s="1"/>
      <c r="D624" s="1"/>
      <c r="E624" s="1"/>
      <c r="F624" s="1"/>
      <c r="G624" s="1"/>
      <c r="H624" s="1"/>
      <c r="I624" s="1"/>
    </row>
    <row r="625" spans="2:9" ht="15.75" customHeight="1" x14ac:dyDescent="0.25">
      <c r="B625" s="1"/>
      <c r="C625" s="1"/>
      <c r="D625" s="1"/>
      <c r="E625" s="1"/>
      <c r="F625" s="1"/>
      <c r="G625" s="1"/>
      <c r="H625" s="1"/>
      <c r="I625" s="1"/>
    </row>
    <row r="626" spans="2:9" ht="15.75" customHeight="1" x14ac:dyDescent="0.25">
      <c r="B626" s="1"/>
      <c r="C626" s="1"/>
      <c r="D626" s="1"/>
      <c r="E626" s="1"/>
      <c r="F626" s="1"/>
      <c r="G626" s="1"/>
      <c r="H626" s="1"/>
      <c r="I626" s="1"/>
    </row>
    <row r="627" spans="2:9" ht="15.75" customHeight="1" x14ac:dyDescent="0.25">
      <c r="B627" s="1"/>
      <c r="C627" s="1"/>
      <c r="D627" s="1"/>
      <c r="E627" s="1"/>
      <c r="F627" s="1"/>
      <c r="G627" s="1"/>
      <c r="H627" s="1"/>
      <c r="I627" s="1"/>
    </row>
    <row r="628" spans="2:9" ht="15.75" customHeight="1" x14ac:dyDescent="0.25">
      <c r="B628" s="1"/>
      <c r="C628" s="1"/>
      <c r="D628" s="1"/>
      <c r="E628" s="1"/>
      <c r="F628" s="1"/>
      <c r="G628" s="1"/>
      <c r="H628" s="1"/>
      <c r="I628" s="1"/>
    </row>
    <row r="629" spans="2:9" ht="15.75" customHeight="1" x14ac:dyDescent="0.25">
      <c r="B629" s="1"/>
      <c r="C629" s="1"/>
      <c r="D629" s="1"/>
      <c r="E629" s="1"/>
      <c r="F629" s="1"/>
      <c r="G629" s="1"/>
      <c r="H629" s="1"/>
      <c r="I629" s="1"/>
    </row>
    <row r="630" spans="2:9" ht="15.75" customHeight="1" x14ac:dyDescent="0.25">
      <c r="B630" s="1"/>
      <c r="C630" s="1"/>
      <c r="D630" s="1"/>
      <c r="E630" s="1"/>
      <c r="F630" s="1"/>
      <c r="G630" s="1"/>
      <c r="H630" s="1"/>
      <c r="I630" s="1"/>
    </row>
    <row r="631" spans="2:9" ht="15.75" customHeight="1" x14ac:dyDescent="0.25">
      <c r="B631" s="1"/>
      <c r="C631" s="1"/>
      <c r="D631" s="1"/>
      <c r="E631" s="1"/>
      <c r="F631" s="1"/>
      <c r="G631" s="1"/>
      <c r="H631" s="1"/>
      <c r="I631" s="1"/>
    </row>
    <row r="632" spans="2:9" ht="15.75" customHeight="1" x14ac:dyDescent="0.25">
      <c r="B632" s="1"/>
      <c r="C632" s="1"/>
      <c r="D632" s="1"/>
      <c r="E632" s="1"/>
      <c r="F632" s="1"/>
      <c r="G632" s="1"/>
      <c r="H632" s="1"/>
      <c r="I632" s="1"/>
    </row>
    <row r="633" spans="2:9" ht="15.75" customHeight="1" x14ac:dyDescent="0.25">
      <c r="B633" s="1"/>
      <c r="C633" s="1"/>
      <c r="D633" s="1"/>
      <c r="E633" s="1"/>
      <c r="F633" s="1"/>
      <c r="G633" s="1"/>
      <c r="H633" s="1"/>
      <c r="I633" s="1"/>
    </row>
    <row r="634" spans="2:9" ht="15.75" customHeight="1" x14ac:dyDescent="0.25">
      <c r="B634" s="1"/>
      <c r="C634" s="1"/>
      <c r="D634" s="1"/>
      <c r="E634" s="1"/>
      <c r="F634" s="1"/>
      <c r="G634" s="1"/>
      <c r="H634" s="1"/>
      <c r="I634" s="1"/>
    </row>
    <row r="635" spans="2:9" ht="15.75" customHeight="1" x14ac:dyDescent="0.25">
      <c r="B635" s="1"/>
      <c r="C635" s="1"/>
      <c r="D635" s="1"/>
      <c r="E635" s="1"/>
      <c r="F635" s="1"/>
      <c r="G635" s="1"/>
      <c r="H635" s="1"/>
      <c r="I635" s="1"/>
    </row>
    <row r="636" spans="2:9" ht="15.75" customHeight="1" x14ac:dyDescent="0.25">
      <c r="B636" s="1"/>
      <c r="C636" s="1"/>
      <c r="D636" s="1"/>
      <c r="E636" s="1"/>
      <c r="F636" s="1"/>
      <c r="G636" s="1"/>
      <c r="H636" s="1"/>
      <c r="I636" s="1"/>
    </row>
    <row r="637" spans="2:9" ht="15.75" customHeight="1" x14ac:dyDescent="0.25">
      <c r="B637" s="1"/>
      <c r="C637" s="1"/>
      <c r="D637" s="1"/>
      <c r="E637" s="1"/>
      <c r="F637" s="1"/>
      <c r="G637" s="1"/>
      <c r="H637" s="1"/>
      <c r="I637" s="1"/>
    </row>
    <row r="638" spans="2:9" ht="15.75" customHeight="1" x14ac:dyDescent="0.25">
      <c r="B638" s="1"/>
      <c r="C638" s="1"/>
      <c r="D638" s="1"/>
      <c r="E638" s="1"/>
      <c r="F638" s="1"/>
      <c r="G638" s="1"/>
      <c r="H638" s="1"/>
      <c r="I638" s="1"/>
    </row>
    <row r="639" spans="2:9" ht="15.75" customHeight="1" x14ac:dyDescent="0.25">
      <c r="B639" s="1"/>
      <c r="C639" s="1"/>
      <c r="D639" s="1"/>
      <c r="E639" s="1"/>
      <c r="F639" s="1"/>
      <c r="G639" s="1"/>
      <c r="H639" s="1"/>
      <c r="I639" s="1"/>
    </row>
    <row r="640" spans="2:9" ht="15.75" customHeight="1" x14ac:dyDescent="0.25">
      <c r="B640" s="1"/>
      <c r="C640" s="1"/>
      <c r="D640" s="1"/>
      <c r="E640" s="1"/>
      <c r="F640" s="1"/>
      <c r="G640" s="1"/>
      <c r="H640" s="1"/>
      <c r="I640" s="1"/>
    </row>
    <row r="641" spans="2:9" ht="15.75" customHeight="1" x14ac:dyDescent="0.25">
      <c r="B641" s="1"/>
      <c r="C641" s="1"/>
      <c r="D641" s="1"/>
      <c r="E641" s="1"/>
      <c r="F641" s="1"/>
      <c r="G641" s="1"/>
      <c r="H641" s="1"/>
      <c r="I641" s="1"/>
    </row>
    <row r="642" spans="2:9" ht="15.75" customHeight="1" x14ac:dyDescent="0.25">
      <c r="B642" s="1"/>
      <c r="C642" s="1"/>
      <c r="D642" s="1"/>
      <c r="E642" s="1"/>
      <c r="F642" s="1"/>
      <c r="G642" s="1"/>
      <c r="H642" s="1"/>
      <c r="I642" s="1"/>
    </row>
    <row r="643" spans="2:9" ht="15.75" customHeight="1" x14ac:dyDescent="0.25">
      <c r="B643" s="1"/>
      <c r="C643" s="1"/>
      <c r="D643" s="1"/>
      <c r="E643" s="1"/>
      <c r="F643" s="1"/>
      <c r="G643" s="1"/>
      <c r="H643" s="1"/>
      <c r="I643" s="1"/>
    </row>
    <row r="644" spans="2:9" ht="15.75" customHeight="1" x14ac:dyDescent="0.25">
      <c r="B644" s="1"/>
      <c r="C644" s="1"/>
      <c r="D644" s="1"/>
      <c r="E644" s="1"/>
      <c r="F644" s="1"/>
      <c r="G644" s="1"/>
      <c r="H644" s="1"/>
      <c r="I644" s="1"/>
    </row>
    <row r="645" spans="2:9" ht="15.75" customHeight="1" x14ac:dyDescent="0.25">
      <c r="B645" s="1"/>
      <c r="C645" s="1"/>
      <c r="D645" s="1"/>
      <c r="E645" s="1"/>
      <c r="F645" s="1"/>
      <c r="G645" s="1"/>
      <c r="H645" s="1"/>
      <c r="I645" s="1"/>
    </row>
    <row r="646" spans="2:9" ht="15.75" customHeight="1" x14ac:dyDescent="0.25">
      <c r="B646" s="1"/>
      <c r="C646" s="1"/>
      <c r="D646" s="1"/>
      <c r="E646" s="1"/>
      <c r="F646" s="1"/>
      <c r="G646" s="1"/>
      <c r="H646" s="1"/>
      <c r="I646" s="1"/>
    </row>
    <row r="647" spans="2:9" ht="15.75" customHeight="1" x14ac:dyDescent="0.25">
      <c r="B647" s="1"/>
      <c r="C647" s="1"/>
      <c r="D647" s="1"/>
      <c r="E647" s="1"/>
      <c r="F647" s="1"/>
      <c r="G647" s="1"/>
      <c r="H647" s="1"/>
      <c r="I647" s="1"/>
    </row>
    <row r="648" spans="2:9" ht="15.75" customHeight="1" x14ac:dyDescent="0.25">
      <c r="B648" s="1"/>
      <c r="C648" s="1"/>
      <c r="D648" s="1"/>
      <c r="E648" s="1"/>
      <c r="F648" s="1"/>
      <c r="G648" s="1"/>
      <c r="H648" s="1"/>
      <c r="I648" s="1"/>
    </row>
    <row r="649" spans="2:9" ht="15.75" customHeight="1" x14ac:dyDescent="0.25">
      <c r="B649" s="1"/>
      <c r="C649" s="1"/>
      <c r="D649" s="1"/>
      <c r="E649" s="1"/>
      <c r="F649" s="1"/>
      <c r="G649" s="1"/>
      <c r="H649" s="1"/>
      <c r="I649" s="1"/>
    </row>
    <row r="650" spans="2:9" ht="15.75" customHeight="1" x14ac:dyDescent="0.25">
      <c r="B650" s="1"/>
      <c r="C650" s="1"/>
      <c r="D650" s="1"/>
      <c r="E650" s="1"/>
      <c r="F650" s="1"/>
      <c r="G650" s="1"/>
      <c r="H650" s="1"/>
      <c r="I650" s="1"/>
    </row>
    <row r="651" spans="2:9" ht="15.75" customHeight="1" x14ac:dyDescent="0.25">
      <c r="B651" s="1"/>
      <c r="C651" s="1"/>
      <c r="D651" s="1"/>
      <c r="E651" s="1"/>
      <c r="F651" s="1"/>
      <c r="G651" s="1"/>
      <c r="H651" s="1"/>
      <c r="I651" s="1"/>
    </row>
    <row r="652" spans="2:9" ht="15.75" customHeight="1" x14ac:dyDescent="0.25">
      <c r="B652" s="1"/>
      <c r="C652" s="1"/>
      <c r="D652" s="1"/>
      <c r="E652" s="1"/>
      <c r="F652" s="1"/>
      <c r="G652" s="1"/>
      <c r="H652" s="1"/>
      <c r="I652" s="1"/>
    </row>
    <row r="653" spans="2:9" ht="15.75" customHeight="1" x14ac:dyDescent="0.25">
      <c r="B653" s="1"/>
      <c r="C653" s="1"/>
      <c r="D653" s="1"/>
      <c r="E653" s="1"/>
      <c r="F653" s="1"/>
      <c r="G653" s="1"/>
      <c r="H653" s="1"/>
      <c r="I653" s="1"/>
    </row>
    <row r="654" spans="2:9" ht="15.75" customHeight="1" x14ac:dyDescent="0.25">
      <c r="B654" s="1"/>
      <c r="C654" s="1"/>
      <c r="D654" s="1"/>
      <c r="E654" s="1"/>
      <c r="F654" s="1"/>
      <c r="G654" s="1"/>
      <c r="H654" s="1"/>
      <c r="I654" s="1"/>
    </row>
    <row r="655" spans="2:9" ht="15.75" customHeight="1" x14ac:dyDescent="0.25">
      <c r="B655" s="1"/>
      <c r="C655" s="1"/>
      <c r="D655" s="1"/>
      <c r="E655" s="1"/>
      <c r="F655" s="1"/>
      <c r="G655" s="1"/>
      <c r="H655" s="1"/>
      <c r="I655" s="1"/>
    </row>
    <row r="656" spans="2:9" ht="15.75" customHeight="1" x14ac:dyDescent="0.25">
      <c r="B656" s="1"/>
      <c r="C656" s="1"/>
      <c r="D656" s="1"/>
      <c r="E656" s="1"/>
      <c r="F656" s="1"/>
      <c r="G656" s="1"/>
      <c r="H656" s="1"/>
      <c r="I656" s="1"/>
    </row>
    <row r="657" spans="2:9" ht="15.75" customHeight="1" x14ac:dyDescent="0.25">
      <c r="B657" s="1"/>
      <c r="C657" s="1"/>
      <c r="D657" s="1"/>
      <c r="E657" s="1"/>
      <c r="F657" s="1"/>
      <c r="G657" s="1"/>
      <c r="H657" s="1"/>
      <c r="I657" s="1"/>
    </row>
    <row r="658" spans="2:9" ht="15.75" customHeight="1" x14ac:dyDescent="0.25">
      <c r="B658" s="1"/>
      <c r="C658" s="1"/>
      <c r="D658" s="1"/>
      <c r="E658" s="1"/>
      <c r="F658" s="1"/>
      <c r="G658" s="1"/>
      <c r="H658" s="1"/>
      <c r="I658" s="1"/>
    </row>
    <row r="659" spans="2:9" ht="15.75" customHeight="1" x14ac:dyDescent="0.25">
      <c r="B659" s="1"/>
      <c r="C659" s="1"/>
      <c r="D659" s="1"/>
      <c r="E659" s="1"/>
      <c r="F659" s="1"/>
      <c r="G659" s="1"/>
      <c r="H659" s="1"/>
      <c r="I659" s="1"/>
    </row>
    <row r="660" spans="2:9" ht="15.75" customHeight="1" x14ac:dyDescent="0.25">
      <c r="B660" s="1"/>
      <c r="C660" s="1"/>
      <c r="D660" s="1"/>
      <c r="E660" s="1"/>
      <c r="F660" s="1"/>
      <c r="G660" s="1"/>
      <c r="H660" s="1"/>
      <c r="I660" s="1"/>
    </row>
    <row r="661" spans="2:9" ht="15.75" customHeight="1" x14ac:dyDescent="0.25">
      <c r="B661" s="1"/>
      <c r="C661" s="1"/>
      <c r="D661" s="1"/>
      <c r="E661" s="1"/>
      <c r="F661" s="1"/>
      <c r="G661" s="1"/>
      <c r="H661" s="1"/>
      <c r="I661" s="1"/>
    </row>
    <row r="662" spans="2:9" ht="15.75" customHeight="1" x14ac:dyDescent="0.25">
      <c r="B662" s="1"/>
      <c r="C662" s="1"/>
      <c r="D662" s="1"/>
      <c r="E662" s="1"/>
      <c r="F662" s="1"/>
      <c r="G662" s="1"/>
      <c r="H662" s="1"/>
      <c r="I662" s="1"/>
    </row>
    <row r="663" spans="2:9" ht="15.75" customHeight="1" x14ac:dyDescent="0.25">
      <c r="B663" s="1"/>
      <c r="C663" s="1"/>
      <c r="D663" s="1"/>
      <c r="E663" s="1"/>
      <c r="F663" s="1"/>
      <c r="G663" s="1"/>
      <c r="H663" s="1"/>
      <c r="I663" s="1"/>
    </row>
    <row r="664" spans="2:9" ht="15.75" customHeight="1" x14ac:dyDescent="0.25">
      <c r="B664" s="1"/>
      <c r="C664" s="1"/>
      <c r="D664" s="1"/>
      <c r="E664" s="1"/>
      <c r="F664" s="1"/>
      <c r="G664" s="1"/>
      <c r="H664" s="1"/>
      <c r="I664" s="1"/>
    </row>
    <row r="665" spans="2:9" ht="15.75" customHeight="1" x14ac:dyDescent="0.25">
      <c r="B665" s="1"/>
      <c r="C665" s="1"/>
      <c r="D665" s="1"/>
      <c r="E665" s="1"/>
      <c r="F665" s="1"/>
      <c r="G665" s="1"/>
      <c r="H665" s="1"/>
      <c r="I665" s="1"/>
    </row>
    <row r="666" spans="2:9" ht="15.75" customHeight="1" x14ac:dyDescent="0.25">
      <c r="B666" s="1"/>
      <c r="C666" s="1"/>
      <c r="D666" s="1"/>
      <c r="E666" s="1"/>
      <c r="F666" s="1"/>
      <c r="G666" s="1"/>
      <c r="H666" s="1"/>
      <c r="I666" s="1"/>
    </row>
    <row r="667" spans="2:9" ht="15.75" customHeight="1" x14ac:dyDescent="0.25">
      <c r="B667" s="1"/>
      <c r="C667" s="1"/>
      <c r="D667" s="1"/>
      <c r="E667" s="1"/>
      <c r="F667" s="1"/>
      <c r="G667" s="1"/>
      <c r="H667" s="1"/>
      <c r="I667" s="1"/>
    </row>
    <row r="668" spans="2:9" ht="15.75" customHeight="1" x14ac:dyDescent="0.25">
      <c r="B668" s="1"/>
      <c r="C668" s="1"/>
      <c r="D668" s="1"/>
      <c r="E668" s="1"/>
      <c r="F668" s="1"/>
      <c r="G668" s="1"/>
      <c r="H668" s="1"/>
      <c r="I668" s="1"/>
    </row>
    <row r="669" spans="2:9" ht="15.75" customHeight="1" x14ac:dyDescent="0.25">
      <c r="B669" s="1"/>
      <c r="C669" s="1"/>
      <c r="D669" s="1"/>
      <c r="E669" s="1"/>
      <c r="F669" s="1"/>
      <c r="G669" s="1"/>
      <c r="H669" s="1"/>
      <c r="I669" s="1"/>
    </row>
    <row r="670" spans="2:9" ht="15.75" customHeight="1" x14ac:dyDescent="0.25">
      <c r="B670" s="1"/>
      <c r="C670" s="1"/>
      <c r="D670" s="1"/>
      <c r="E670" s="1"/>
      <c r="F670" s="1"/>
      <c r="G670" s="1"/>
      <c r="H670" s="1"/>
      <c r="I670" s="1"/>
    </row>
    <row r="671" spans="2:9" ht="15.75" customHeight="1" x14ac:dyDescent="0.25">
      <c r="B671" s="1"/>
      <c r="C671" s="1"/>
      <c r="D671" s="1"/>
      <c r="E671" s="1"/>
      <c r="F671" s="1"/>
      <c r="G671" s="1"/>
      <c r="H671" s="1"/>
      <c r="I671" s="1"/>
    </row>
    <row r="672" spans="2:9" ht="15.75" customHeight="1" x14ac:dyDescent="0.25">
      <c r="B672" s="1"/>
      <c r="C672" s="1"/>
      <c r="D672" s="1"/>
      <c r="E672" s="1"/>
      <c r="F672" s="1"/>
      <c r="G672" s="1"/>
      <c r="H672" s="1"/>
      <c r="I672" s="1"/>
    </row>
    <row r="673" spans="2:9" ht="15.75" customHeight="1" x14ac:dyDescent="0.25">
      <c r="B673" s="1"/>
      <c r="C673" s="1"/>
      <c r="D673" s="1"/>
      <c r="E673" s="1"/>
      <c r="F673" s="1"/>
      <c r="G673" s="1"/>
      <c r="H673" s="1"/>
      <c r="I673" s="1"/>
    </row>
    <row r="674" spans="2:9" ht="15.75" customHeight="1" x14ac:dyDescent="0.25">
      <c r="B674" s="1"/>
      <c r="C674" s="1"/>
      <c r="D674" s="1"/>
      <c r="E674" s="1"/>
      <c r="F674" s="1"/>
      <c r="G674" s="1"/>
      <c r="H674" s="1"/>
      <c r="I674" s="1"/>
    </row>
    <row r="675" spans="2:9" ht="15.75" customHeight="1" x14ac:dyDescent="0.25">
      <c r="B675" s="1"/>
      <c r="C675" s="1"/>
      <c r="D675" s="1"/>
      <c r="E675" s="1"/>
      <c r="F675" s="1"/>
      <c r="G675" s="1"/>
      <c r="H675" s="1"/>
      <c r="I675" s="1"/>
    </row>
    <row r="676" spans="2:9" ht="15.75" customHeight="1" x14ac:dyDescent="0.25">
      <c r="B676" s="1"/>
      <c r="C676" s="1"/>
      <c r="D676" s="1"/>
      <c r="E676" s="1"/>
      <c r="F676" s="1"/>
      <c r="G676" s="1"/>
      <c r="H676" s="1"/>
      <c r="I676" s="1"/>
    </row>
    <row r="677" spans="2:9" ht="15.75" customHeight="1" x14ac:dyDescent="0.25">
      <c r="B677" s="1"/>
      <c r="C677" s="1"/>
      <c r="D677" s="1"/>
      <c r="E677" s="1"/>
      <c r="F677" s="1"/>
      <c r="G677" s="1"/>
      <c r="H677" s="1"/>
      <c r="I677" s="1"/>
    </row>
    <row r="678" spans="2:9" ht="15.75" customHeight="1" x14ac:dyDescent="0.25">
      <c r="B678" s="1"/>
      <c r="C678" s="1"/>
      <c r="D678" s="1"/>
      <c r="E678" s="1"/>
      <c r="F678" s="1"/>
      <c r="G678" s="1"/>
      <c r="H678" s="1"/>
      <c r="I678" s="1"/>
    </row>
    <row r="679" spans="2:9" ht="15.75" customHeight="1" x14ac:dyDescent="0.25">
      <c r="B679" s="1"/>
      <c r="C679" s="1"/>
      <c r="D679" s="1"/>
      <c r="E679" s="1"/>
      <c r="F679" s="1"/>
      <c r="G679" s="1"/>
      <c r="H679" s="1"/>
      <c r="I679" s="1"/>
    </row>
    <row r="680" spans="2:9" ht="15.75" customHeight="1" x14ac:dyDescent="0.25">
      <c r="B680" s="1"/>
      <c r="C680" s="1"/>
      <c r="D680" s="1"/>
      <c r="E680" s="1"/>
      <c r="F680" s="1"/>
      <c r="G680" s="1"/>
      <c r="H680" s="1"/>
      <c r="I680" s="1"/>
    </row>
    <row r="681" spans="2:9" ht="15.75" customHeight="1" x14ac:dyDescent="0.25">
      <c r="B681" s="1"/>
      <c r="C681" s="1"/>
      <c r="D681" s="1"/>
      <c r="E681" s="1"/>
      <c r="F681" s="1"/>
      <c r="G681" s="1"/>
      <c r="H681" s="1"/>
      <c r="I681" s="1"/>
    </row>
    <row r="682" spans="2:9" ht="15.75" customHeight="1" x14ac:dyDescent="0.25">
      <c r="B682" s="1"/>
      <c r="C682" s="1"/>
      <c r="D682" s="1"/>
      <c r="E682" s="1"/>
      <c r="F682" s="1"/>
      <c r="G682" s="1"/>
      <c r="H682" s="1"/>
      <c r="I682" s="1"/>
    </row>
    <row r="683" spans="2:9" ht="15.75" customHeight="1" x14ac:dyDescent="0.25">
      <c r="B683" s="1"/>
      <c r="C683" s="1"/>
      <c r="D683" s="1"/>
      <c r="E683" s="1"/>
      <c r="F683" s="1"/>
      <c r="G683" s="1"/>
      <c r="H683" s="1"/>
      <c r="I683" s="1"/>
    </row>
    <row r="684" spans="2:9" ht="15.75" customHeight="1" x14ac:dyDescent="0.25">
      <c r="B684" s="1"/>
      <c r="C684" s="1"/>
      <c r="D684" s="1"/>
      <c r="E684" s="1"/>
      <c r="F684" s="1"/>
      <c r="G684" s="1"/>
      <c r="H684" s="1"/>
      <c r="I684" s="1"/>
    </row>
    <row r="685" spans="2:9" ht="15.75" customHeight="1" x14ac:dyDescent="0.25">
      <c r="B685" s="1"/>
      <c r="C685" s="1"/>
      <c r="D685" s="1"/>
      <c r="E685" s="1"/>
      <c r="F685" s="1"/>
      <c r="G685" s="1"/>
      <c r="H685" s="1"/>
      <c r="I685" s="1"/>
    </row>
    <row r="686" spans="2:9" ht="15.75" customHeight="1" x14ac:dyDescent="0.25">
      <c r="B686" s="1"/>
      <c r="C686" s="1"/>
      <c r="D686" s="1"/>
      <c r="E686" s="1"/>
      <c r="F686" s="1"/>
      <c r="G686" s="1"/>
      <c r="H686" s="1"/>
      <c r="I686" s="1"/>
    </row>
    <row r="687" spans="2:9" ht="15.75" customHeight="1" x14ac:dyDescent="0.25">
      <c r="B687" s="1"/>
      <c r="C687" s="1"/>
      <c r="D687" s="1"/>
      <c r="E687" s="1"/>
      <c r="F687" s="1"/>
      <c r="G687" s="1"/>
      <c r="H687" s="1"/>
      <c r="I687" s="1"/>
    </row>
    <row r="688" spans="2:9" ht="15.75" customHeight="1" x14ac:dyDescent="0.25">
      <c r="B688" s="1"/>
      <c r="C688" s="1"/>
      <c r="D688" s="1"/>
      <c r="E688" s="1"/>
      <c r="F688" s="1"/>
      <c r="G688" s="1"/>
      <c r="H688" s="1"/>
      <c r="I688" s="1"/>
    </row>
    <row r="689" spans="2:9" ht="15.75" customHeight="1" x14ac:dyDescent="0.25">
      <c r="B689" s="1"/>
      <c r="C689" s="1"/>
      <c r="D689" s="1"/>
      <c r="E689" s="1"/>
      <c r="F689" s="1"/>
      <c r="G689" s="1"/>
      <c r="H689" s="1"/>
      <c r="I689" s="1"/>
    </row>
    <row r="690" spans="2:9" ht="15.75" customHeight="1" x14ac:dyDescent="0.25">
      <c r="B690" s="1"/>
      <c r="C690" s="1"/>
      <c r="D690" s="1"/>
      <c r="E690" s="1"/>
      <c r="F690" s="1"/>
      <c r="G690" s="1"/>
      <c r="H690" s="1"/>
      <c r="I690" s="1"/>
    </row>
    <row r="691" spans="2:9" ht="15.75" customHeight="1" x14ac:dyDescent="0.25">
      <c r="B691" s="1"/>
      <c r="C691" s="1"/>
      <c r="D691" s="1"/>
      <c r="E691" s="1"/>
      <c r="F691" s="1"/>
      <c r="G691" s="1"/>
      <c r="H691" s="1"/>
      <c r="I691" s="1"/>
    </row>
    <row r="692" spans="2:9" ht="15.75" customHeight="1" x14ac:dyDescent="0.25">
      <c r="B692" s="1"/>
      <c r="C692" s="1"/>
      <c r="D692" s="1"/>
      <c r="E692" s="1"/>
      <c r="F692" s="1"/>
      <c r="G692" s="1"/>
      <c r="H692" s="1"/>
      <c r="I692" s="1"/>
    </row>
    <row r="693" spans="2:9" ht="15.75" customHeight="1" x14ac:dyDescent="0.25">
      <c r="B693" s="1"/>
      <c r="C693" s="1"/>
      <c r="D693" s="1"/>
      <c r="E693" s="1"/>
      <c r="F693" s="1"/>
      <c r="G693" s="1"/>
      <c r="H693" s="1"/>
      <c r="I693" s="1"/>
    </row>
    <row r="694" spans="2:9" ht="15.75" customHeight="1" x14ac:dyDescent="0.25">
      <c r="B694" s="1"/>
      <c r="C694" s="1"/>
      <c r="D694" s="1"/>
      <c r="E694" s="1"/>
      <c r="F694" s="1"/>
      <c r="G694" s="1"/>
      <c r="H694" s="1"/>
      <c r="I694" s="1"/>
    </row>
    <row r="695" spans="2:9" ht="15.75" customHeight="1" x14ac:dyDescent="0.25">
      <c r="B695" s="1"/>
      <c r="C695" s="1"/>
      <c r="D695" s="1"/>
      <c r="E695" s="1"/>
      <c r="F695" s="1"/>
      <c r="G695" s="1"/>
      <c r="H695" s="1"/>
      <c r="I695" s="1"/>
    </row>
    <row r="696" spans="2:9" ht="15.75" customHeight="1" x14ac:dyDescent="0.25">
      <c r="B696" s="1"/>
      <c r="C696" s="1"/>
      <c r="D696" s="1"/>
      <c r="E696" s="1"/>
      <c r="F696" s="1"/>
      <c r="G696" s="1"/>
      <c r="H696" s="1"/>
      <c r="I696" s="1"/>
    </row>
    <row r="697" spans="2:9" ht="15.75" customHeight="1" x14ac:dyDescent="0.25">
      <c r="B697" s="1"/>
      <c r="C697" s="1"/>
      <c r="D697" s="1"/>
      <c r="E697" s="1"/>
      <c r="F697" s="1"/>
      <c r="G697" s="1"/>
      <c r="H697" s="1"/>
      <c r="I697" s="1"/>
    </row>
    <row r="698" spans="2:9" ht="15.75" customHeight="1" x14ac:dyDescent="0.25">
      <c r="B698" s="1"/>
      <c r="C698" s="1"/>
      <c r="D698" s="1"/>
      <c r="E698" s="1"/>
      <c r="F698" s="1"/>
      <c r="G698" s="1"/>
      <c r="H698" s="1"/>
      <c r="I698" s="1"/>
    </row>
    <row r="699" spans="2:9" ht="15.75" customHeight="1" x14ac:dyDescent="0.25">
      <c r="B699" s="1"/>
      <c r="C699" s="1"/>
      <c r="D699" s="1"/>
      <c r="E699" s="1"/>
      <c r="F699" s="1"/>
      <c r="G699" s="1"/>
      <c r="H699" s="1"/>
      <c r="I699" s="1"/>
    </row>
    <row r="700" spans="2:9" ht="15.75" customHeight="1" x14ac:dyDescent="0.25">
      <c r="B700" s="1"/>
      <c r="C700" s="1"/>
      <c r="D700" s="1"/>
      <c r="E700" s="1"/>
      <c r="F700" s="1"/>
      <c r="G700" s="1"/>
      <c r="H700" s="1"/>
      <c r="I700" s="1"/>
    </row>
    <row r="701" spans="2:9" ht="15.75" customHeight="1" x14ac:dyDescent="0.25">
      <c r="B701" s="1"/>
      <c r="C701" s="1"/>
      <c r="D701" s="1"/>
      <c r="E701" s="1"/>
      <c r="F701" s="1"/>
      <c r="G701" s="1"/>
      <c r="H701" s="1"/>
      <c r="I701" s="1"/>
    </row>
    <row r="702" spans="2:9" ht="15.75" customHeight="1" x14ac:dyDescent="0.25">
      <c r="B702" s="1"/>
      <c r="C702" s="1"/>
      <c r="D702" s="1"/>
      <c r="E702" s="1"/>
      <c r="F702" s="1"/>
      <c r="G702" s="1"/>
      <c r="H702" s="1"/>
      <c r="I702" s="1"/>
    </row>
    <row r="703" spans="2:9" ht="15.75" customHeight="1" x14ac:dyDescent="0.25">
      <c r="B703" s="1"/>
      <c r="C703" s="1"/>
      <c r="D703" s="1"/>
      <c r="E703" s="1"/>
      <c r="F703" s="1"/>
      <c r="G703" s="1"/>
      <c r="H703" s="1"/>
      <c r="I703" s="1"/>
    </row>
    <row r="704" spans="2:9" ht="15.75" customHeight="1" x14ac:dyDescent="0.25">
      <c r="B704" s="1"/>
      <c r="C704" s="1"/>
      <c r="D704" s="1"/>
      <c r="E704" s="1"/>
      <c r="F704" s="1"/>
      <c r="G704" s="1"/>
      <c r="H704" s="1"/>
      <c r="I704" s="1"/>
    </row>
    <row r="705" spans="2:9" ht="15.75" customHeight="1" x14ac:dyDescent="0.25">
      <c r="B705" s="1"/>
      <c r="C705" s="1"/>
      <c r="D705" s="1"/>
      <c r="E705" s="1"/>
      <c r="F705" s="1"/>
      <c r="G705" s="1"/>
      <c r="H705" s="1"/>
      <c r="I705" s="1"/>
    </row>
    <row r="706" spans="2:9" ht="15.75" customHeight="1" x14ac:dyDescent="0.25">
      <c r="B706" s="1"/>
      <c r="C706" s="1"/>
      <c r="D706" s="1"/>
      <c r="E706" s="1"/>
      <c r="F706" s="1"/>
      <c r="G706" s="1"/>
      <c r="H706" s="1"/>
      <c r="I706" s="1"/>
    </row>
    <row r="707" spans="2:9" ht="15.75" customHeight="1" x14ac:dyDescent="0.25">
      <c r="B707" s="1"/>
      <c r="C707" s="1"/>
      <c r="D707" s="1"/>
      <c r="E707" s="1"/>
      <c r="F707" s="1"/>
      <c r="G707" s="1"/>
      <c r="H707" s="1"/>
      <c r="I707" s="1"/>
    </row>
    <row r="708" spans="2:9" ht="15.75" customHeight="1" x14ac:dyDescent="0.25">
      <c r="B708" s="1"/>
      <c r="C708" s="1"/>
      <c r="D708" s="1"/>
      <c r="E708" s="1"/>
      <c r="F708" s="1"/>
      <c r="G708" s="1"/>
      <c r="H708" s="1"/>
      <c r="I708" s="1"/>
    </row>
    <row r="709" spans="2:9" ht="15.75" customHeight="1" x14ac:dyDescent="0.25">
      <c r="B709" s="1"/>
      <c r="C709" s="1"/>
      <c r="D709" s="1"/>
      <c r="E709" s="1"/>
      <c r="F709" s="1"/>
      <c r="G709" s="1"/>
      <c r="H709" s="1"/>
      <c r="I709" s="1"/>
    </row>
    <row r="710" spans="2:9" ht="15.75" customHeight="1" x14ac:dyDescent="0.25">
      <c r="B710" s="1"/>
      <c r="C710" s="1"/>
      <c r="D710" s="1"/>
      <c r="E710" s="1"/>
      <c r="F710" s="1"/>
      <c r="G710" s="1"/>
      <c r="H710" s="1"/>
      <c r="I710" s="1"/>
    </row>
    <row r="711" spans="2:9" ht="15.75" customHeight="1" x14ac:dyDescent="0.25">
      <c r="B711" s="1"/>
      <c r="C711" s="1"/>
      <c r="D711" s="1"/>
      <c r="E711" s="1"/>
      <c r="F711" s="1"/>
      <c r="G711" s="1"/>
      <c r="H711" s="1"/>
      <c r="I711" s="1"/>
    </row>
    <row r="712" spans="2:9" ht="15.75" customHeight="1" x14ac:dyDescent="0.25">
      <c r="B712" s="1"/>
      <c r="C712" s="1"/>
      <c r="D712" s="1"/>
      <c r="E712" s="1"/>
      <c r="F712" s="1"/>
      <c r="G712" s="1"/>
      <c r="H712" s="1"/>
      <c r="I712" s="1"/>
    </row>
    <row r="713" spans="2:9" ht="15.75" customHeight="1" x14ac:dyDescent="0.25">
      <c r="B713" s="1"/>
      <c r="C713" s="1"/>
      <c r="D713" s="1"/>
      <c r="E713" s="1"/>
      <c r="F713" s="1"/>
      <c r="G713" s="1"/>
      <c r="H713" s="1"/>
      <c r="I713" s="1"/>
    </row>
    <row r="714" spans="2:9" ht="15.75" customHeight="1" x14ac:dyDescent="0.25">
      <c r="B714" s="1"/>
      <c r="C714" s="1"/>
      <c r="D714" s="1"/>
      <c r="E714" s="1"/>
      <c r="F714" s="1"/>
      <c r="G714" s="1"/>
      <c r="H714" s="1"/>
      <c r="I714" s="1"/>
    </row>
    <row r="715" spans="2:9" ht="15.75" customHeight="1" x14ac:dyDescent="0.25">
      <c r="B715" s="1"/>
      <c r="C715" s="1"/>
      <c r="D715" s="1"/>
      <c r="E715" s="1"/>
      <c r="F715" s="1"/>
      <c r="G715" s="1"/>
      <c r="H715" s="1"/>
      <c r="I715" s="1"/>
    </row>
    <row r="716" spans="2:9" ht="15.75" customHeight="1" x14ac:dyDescent="0.25">
      <c r="B716" s="1"/>
      <c r="C716" s="1"/>
      <c r="D716" s="1"/>
      <c r="E716" s="1"/>
      <c r="F716" s="1"/>
      <c r="G716" s="1"/>
      <c r="H716" s="1"/>
      <c r="I716" s="1"/>
    </row>
    <row r="717" spans="2:9" ht="15.75" customHeight="1" x14ac:dyDescent="0.25">
      <c r="B717" s="1"/>
      <c r="C717" s="1"/>
      <c r="D717" s="1"/>
      <c r="E717" s="1"/>
      <c r="F717" s="1"/>
      <c r="G717" s="1"/>
      <c r="H717" s="1"/>
      <c r="I717" s="1"/>
    </row>
    <row r="718" spans="2:9" ht="15.75" customHeight="1" x14ac:dyDescent="0.25">
      <c r="B718" s="1"/>
      <c r="C718" s="1"/>
      <c r="D718" s="1"/>
      <c r="E718" s="1"/>
      <c r="F718" s="1"/>
      <c r="G718" s="1"/>
      <c r="H718" s="1"/>
      <c r="I718" s="1"/>
    </row>
    <row r="719" spans="2:9" ht="15.75" customHeight="1" x14ac:dyDescent="0.25">
      <c r="B719" s="1"/>
      <c r="C719" s="1"/>
      <c r="D719" s="1"/>
      <c r="E719" s="1"/>
      <c r="F719" s="1"/>
      <c r="G719" s="1"/>
      <c r="H719" s="1"/>
      <c r="I719" s="1"/>
    </row>
    <row r="720" spans="2:9" ht="15.75" customHeight="1" x14ac:dyDescent="0.25">
      <c r="B720" s="1"/>
      <c r="C720" s="1"/>
      <c r="D720" s="1"/>
      <c r="E720" s="1"/>
      <c r="F720" s="1"/>
      <c r="G720" s="1"/>
      <c r="H720" s="1"/>
      <c r="I720" s="1"/>
    </row>
    <row r="721" spans="2:9" ht="15.75" customHeight="1" x14ac:dyDescent="0.25">
      <c r="B721" s="1"/>
      <c r="C721" s="1"/>
      <c r="D721" s="1"/>
      <c r="E721" s="1"/>
      <c r="F721" s="1"/>
      <c r="G721" s="1"/>
      <c r="H721" s="1"/>
      <c r="I721" s="1"/>
    </row>
    <row r="722" spans="2:9" ht="15.75" customHeight="1" x14ac:dyDescent="0.25">
      <c r="B722" s="1"/>
      <c r="C722" s="1"/>
      <c r="D722" s="1"/>
      <c r="E722" s="1"/>
      <c r="F722" s="1"/>
      <c r="G722" s="1"/>
      <c r="H722" s="1"/>
      <c r="I722" s="1"/>
    </row>
    <row r="723" spans="2:9" ht="15.75" customHeight="1" x14ac:dyDescent="0.25">
      <c r="B723" s="1"/>
      <c r="C723" s="1"/>
      <c r="D723" s="1"/>
      <c r="E723" s="1"/>
      <c r="F723" s="1"/>
      <c r="G723" s="1"/>
      <c r="H723" s="1"/>
      <c r="I723" s="1"/>
    </row>
    <row r="724" spans="2:9" ht="15.75" customHeight="1" x14ac:dyDescent="0.25">
      <c r="B724" s="1"/>
      <c r="C724" s="1"/>
      <c r="D724" s="1"/>
      <c r="E724" s="1"/>
      <c r="F724" s="1"/>
      <c r="G724" s="1"/>
      <c r="H724" s="1"/>
      <c r="I724" s="1"/>
    </row>
    <row r="725" spans="2:9" ht="15.75" customHeight="1" x14ac:dyDescent="0.25">
      <c r="B725" s="1"/>
      <c r="C725" s="1"/>
      <c r="D725" s="1"/>
      <c r="E725" s="1"/>
      <c r="F725" s="1"/>
      <c r="G725" s="1"/>
      <c r="H725" s="1"/>
      <c r="I725" s="1"/>
    </row>
    <row r="726" spans="2:9" ht="15.75" customHeight="1" x14ac:dyDescent="0.25">
      <c r="B726" s="1"/>
      <c r="C726" s="1"/>
      <c r="D726" s="1"/>
      <c r="E726" s="1"/>
      <c r="F726" s="1"/>
      <c r="G726" s="1"/>
      <c r="H726" s="1"/>
      <c r="I726" s="1"/>
    </row>
    <row r="727" spans="2:9" ht="15.75" customHeight="1" x14ac:dyDescent="0.25">
      <c r="B727" s="1"/>
      <c r="C727" s="1"/>
      <c r="D727" s="1"/>
      <c r="E727" s="1"/>
      <c r="F727" s="1"/>
      <c r="G727" s="1"/>
      <c r="H727" s="1"/>
      <c r="I727" s="1"/>
    </row>
    <row r="728" spans="2:9" ht="15.75" customHeight="1" x14ac:dyDescent="0.25">
      <c r="B728" s="1"/>
      <c r="C728" s="1"/>
      <c r="D728" s="1"/>
      <c r="E728" s="1"/>
      <c r="F728" s="1"/>
      <c r="G728" s="1"/>
      <c r="H728" s="1"/>
      <c r="I728" s="1"/>
    </row>
    <row r="729" spans="2:9" ht="15.75" customHeight="1" x14ac:dyDescent="0.25">
      <c r="B729" s="1"/>
      <c r="C729" s="1"/>
      <c r="D729" s="1"/>
      <c r="E729" s="1"/>
      <c r="F729" s="1"/>
      <c r="G729" s="1"/>
      <c r="H729" s="1"/>
      <c r="I729" s="1"/>
    </row>
    <row r="730" spans="2:9" ht="15.75" customHeight="1" x14ac:dyDescent="0.25">
      <c r="B730" s="1"/>
      <c r="C730" s="1"/>
      <c r="D730" s="1"/>
      <c r="E730" s="1"/>
      <c r="F730" s="1"/>
      <c r="G730" s="1"/>
      <c r="H730" s="1"/>
      <c r="I730" s="1"/>
    </row>
    <row r="731" spans="2:9" ht="15.75" customHeight="1" x14ac:dyDescent="0.25">
      <c r="B731" s="1"/>
      <c r="C731" s="1"/>
      <c r="D731" s="1"/>
      <c r="E731" s="1"/>
      <c r="F731" s="1"/>
      <c r="G731" s="1"/>
      <c r="H731" s="1"/>
      <c r="I731" s="1"/>
    </row>
    <row r="732" spans="2:9" ht="15.75" customHeight="1" x14ac:dyDescent="0.25">
      <c r="B732" s="1"/>
      <c r="C732" s="1"/>
      <c r="D732" s="1"/>
      <c r="E732" s="1"/>
      <c r="F732" s="1"/>
      <c r="G732" s="1"/>
      <c r="H732" s="1"/>
      <c r="I732" s="1"/>
    </row>
    <row r="733" spans="2:9" ht="15.75" customHeight="1" x14ac:dyDescent="0.25">
      <c r="B733" s="1"/>
      <c r="C733" s="1"/>
      <c r="D733" s="1"/>
      <c r="E733" s="1"/>
      <c r="F733" s="1"/>
      <c r="G733" s="1"/>
      <c r="H733" s="1"/>
      <c r="I733" s="1"/>
    </row>
    <row r="734" spans="2:9" ht="15.75" customHeight="1" x14ac:dyDescent="0.25">
      <c r="B734" s="1"/>
      <c r="C734" s="1"/>
      <c r="D734" s="1"/>
      <c r="E734" s="1"/>
      <c r="F734" s="1"/>
      <c r="G734" s="1"/>
      <c r="H734" s="1"/>
      <c r="I734" s="1"/>
    </row>
    <row r="735" spans="2:9" ht="15.75" customHeight="1" x14ac:dyDescent="0.25">
      <c r="B735" s="1"/>
      <c r="C735" s="1"/>
      <c r="D735" s="1"/>
      <c r="E735" s="1"/>
      <c r="F735" s="1"/>
      <c r="G735" s="1"/>
      <c r="H735" s="1"/>
      <c r="I735" s="1"/>
    </row>
    <row r="736" spans="2:9" ht="15.75" customHeight="1" x14ac:dyDescent="0.25">
      <c r="B736" s="1"/>
      <c r="C736" s="1"/>
      <c r="D736" s="1"/>
      <c r="E736" s="1"/>
      <c r="F736" s="1"/>
      <c r="G736" s="1"/>
      <c r="H736" s="1"/>
      <c r="I736" s="1"/>
    </row>
    <row r="737" spans="2:9" ht="15.75" customHeight="1" x14ac:dyDescent="0.25">
      <c r="B737" s="1"/>
      <c r="C737" s="1"/>
      <c r="D737" s="1"/>
      <c r="E737" s="1"/>
      <c r="F737" s="1"/>
      <c r="G737" s="1"/>
      <c r="H737" s="1"/>
      <c r="I737" s="1"/>
    </row>
    <row r="738" spans="2:9" ht="15.75" customHeight="1" x14ac:dyDescent="0.25">
      <c r="B738" s="1"/>
      <c r="C738" s="1"/>
      <c r="D738" s="1"/>
      <c r="E738" s="1"/>
      <c r="F738" s="1"/>
      <c r="G738" s="1"/>
      <c r="H738" s="1"/>
      <c r="I738" s="1"/>
    </row>
    <row r="739" spans="2:9" ht="15.75" customHeight="1" x14ac:dyDescent="0.25">
      <c r="B739" s="1"/>
      <c r="C739" s="1"/>
      <c r="D739" s="1"/>
      <c r="E739" s="1"/>
      <c r="F739" s="1"/>
      <c r="G739" s="1"/>
      <c r="H739" s="1"/>
      <c r="I739" s="1"/>
    </row>
    <row r="740" spans="2:9" ht="15.75" customHeight="1" x14ac:dyDescent="0.25">
      <c r="B740" s="1"/>
      <c r="C740" s="1"/>
      <c r="D740" s="1"/>
      <c r="E740" s="1"/>
      <c r="F740" s="1"/>
      <c r="G740" s="1"/>
      <c r="H740" s="1"/>
      <c r="I740" s="1"/>
    </row>
    <row r="741" spans="2:9" ht="15.75" customHeight="1" x14ac:dyDescent="0.25">
      <c r="B741" s="1"/>
      <c r="C741" s="1"/>
      <c r="D741" s="1"/>
      <c r="E741" s="1"/>
      <c r="F741" s="1"/>
      <c r="G741" s="1"/>
      <c r="H741" s="1"/>
      <c r="I741" s="1"/>
    </row>
    <row r="742" spans="2:9" ht="15.75" customHeight="1" x14ac:dyDescent="0.25">
      <c r="B742" s="1"/>
      <c r="C742" s="1"/>
      <c r="D742" s="1"/>
      <c r="E742" s="1"/>
      <c r="F742" s="1"/>
      <c r="G742" s="1"/>
      <c r="H742" s="1"/>
      <c r="I742" s="1"/>
    </row>
    <row r="743" spans="2:9" ht="15.75" customHeight="1" x14ac:dyDescent="0.25">
      <c r="B743" s="1"/>
      <c r="C743" s="1"/>
      <c r="D743" s="1"/>
      <c r="E743" s="1"/>
      <c r="F743" s="1"/>
      <c r="G743" s="1"/>
      <c r="H743" s="1"/>
      <c r="I743" s="1"/>
    </row>
    <row r="744" spans="2:9" ht="15.75" customHeight="1" x14ac:dyDescent="0.25">
      <c r="B744" s="1"/>
      <c r="C744" s="1"/>
      <c r="D744" s="1"/>
      <c r="E744" s="1"/>
      <c r="F744" s="1"/>
      <c r="G744" s="1"/>
      <c r="H744" s="1"/>
      <c r="I744" s="1"/>
    </row>
    <row r="745" spans="2:9" ht="15.75" customHeight="1" x14ac:dyDescent="0.25">
      <c r="B745" s="1"/>
      <c r="C745" s="1"/>
      <c r="D745" s="1"/>
      <c r="E745" s="1"/>
      <c r="F745" s="1"/>
      <c r="G745" s="1"/>
      <c r="H745" s="1"/>
      <c r="I745" s="1"/>
    </row>
    <row r="746" spans="2:9" ht="15.75" customHeight="1" x14ac:dyDescent="0.25">
      <c r="B746" s="1"/>
      <c r="C746" s="1"/>
      <c r="D746" s="1"/>
      <c r="E746" s="1"/>
      <c r="F746" s="1"/>
      <c r="G746" s="1"/>
      <c r="H746" s="1"/>
      <c r="I746" s="1"/>
    </row>
    <row r="747" spans="2:9" ht="15.75" customHeight="1" x14ac:dyDescent="0.25">
      <c r="B747" s="1"/>
      <c r="C747" s="1"/>
      <c r="D747" s="1"/>
      <c r="E747" s="1"/>
      <c r="F747" s="1"/>
      <c r="G747" s="1"/>
      <c r="H747" s="1"/>
      <c r="I747" s="1"/>
    </row>
    <row r="748" spans="2:9" ht="15.75" customHeight="1" x14ac:dyDescent="0.25">
      <c r="B748" s="1"/>
      <c r="C748" s="1"/>
      <c r="D748" s="1"/>
      <c r="E748" s="1"/>
      <c r="F748" s="1"/>
      <c r="G748" s="1"/>
      <c r="H748" s="1"/>
      <c r="I748" s="1"/>
    </row>
    <row r="749" spans="2:9" ht="15.75" customHeight="1" x14ac:dyDescent="0.25">
      <c r="B749" s="1"/>
      <c r="C749" s="1"/>
      <c r="D749" s="1"/>
      <c r="E749" s="1"/>
      <c r="F749" s="1"/>
      <c r="G749" s="1"/>
      <c r="H749" s="1"/>
      <c r="I749" s="1"/>
    </row>
    <row r="750" spans="2:9" ht="15.75" customHeight="1" x14ac:dyDescent="0.25">
      <c r="B750" s="1"/>
      <c r="C750" s="1"/>
      <c r="D750" s="1"/>
      <c r="E750" s="1"/>
      <c r="F750" s="1"/>
      <c r="G750" s="1"/>
      <c r="H750" s="1"/>
      <c r="I750" s="1"/>
    </row>
    <row r="751" spans="2:9" ht="15.75" customHeight="1" x14ac:dyDescent="0.25">
      <c r="B751" s="1"/>
      <c r="C751" s="1"/>
      <c r="D751" s="1"/>
      <c r="E751" s="1"/>
      <c r="F751" s="1"/>
      <c r="G751" s="1"/>
      <c r="H751" s="1"/>
      <c r="I751" s="1"/>
    </row>
    <row r="752" spans="2:9" ht="15.75" customHeight="1" x14ac:dyDescent="0.25">
      <c r="B752" s="1"/>
      <c r="C752" s="1"/>
      <c r="D752" s="1"/>
      <c r="E752" s="1"/>
      <c r="F752" s="1"/>
      <c r="G752" s="1"/>
      <c r="H752" s="1"/>
      <c r="I752" s="1"/>
    </row>
    <row r="753" spans="2:9" ht="15.75" customHeight="1" x14ac:dyDescent="0.25">
      <c r="B753" s="1"/>
      <c r="C753" s="1"/>
      <c r="D753" s="1"/>
      <c r="E753" s="1"/>
      <c r="F753" s="1"/>
      <c r="G753" s="1"/>
      <c r="H753" s="1"/>
      <c r="I753" s="1"/>
    </row>
    <row r="754" spans="2:9" ht="15.75" customHeight="1" x14ac:dyDescent="0.25">
      <c r="B754" s="1"/>
      <c r="C754" s="1"/>
      <c r="D754" s="1"/>
      <c r="E754" s="1"/>
      <c r="F754" s="1"/>
      <c r="G754" s="1"/>
      <c r="H754" s="1"/>
      <c r="I754" s="1"/>
    </row>
    <row r="755" spans="2:9" ht="15.75" customHeight="1" x14ac:dyDescent="0.25">
      <c r="B755" s="1"/>
      <c r="C755" s="1"/>
      <c r="D755" s="1"/>
      <c r="E755" s="1"/>
      <c r="F755" s="1"/>
      <c r="G755" s="1"/>
      <c r="H755" s="1"/>
      <c r="I755" s="1"/>
    </row>
    <row r="756" spans="2:9" ht="15.75" customHeight="1" x14ac:dyDescent="0.25">
      <c r="B756" s="1"/>
      <c r="C756" s="1"/>
      <c r="D756" s="1"/>
      <c r="E756" s="1"/>
      <c r="F756" s="1"/>
      <c r="G756" s="1"/>
      <c r="H756" s="1"/>
      <c r="I756" s="1"/>
    </row>
    <row r="757" spans="2:9" ht="15.75" customHeight="1" x14ac:dyDescent="0.25">
      <c r="B757" s="1"/>
      <c r="C757" s="1"/>
      <c r="D757" s="1"/>
      <c r="E757" s="1"/>
      <c r="F757" s="1"/>
      <c r="G757" s="1"/>
      <c r="H757" s="1"/>
      <c r="I757" s="1"/>
    </row>
    <row r="758" spans="2:9" ht="15.75" customHeight="1" x14ac:dyDescent="0.25">
      <c r="B758" s="1"/>
      <c r="C758" s="1"/>
      <c r="D758" s="1"/>
      <c r="E758" s="1"/>
      <c r="F758" s="1"/>
      <c r="G758" s="1"/>
      <c r="H758" s="1"/>
      <c r="I758" s="1"/>
    </row>
    <row r="759" spans="2:9" ht="15.75" customHeight="1" x14ac:dyDescent="0.25">
      <c r="B759" s="1"/>
      <c r="C759" s="1"/>
      <c r="D759" s="1"/>
      <c r="E759" s="1"/>
      <c r="F759" s="1"/>
      <c r="G759" s="1"/>
      <c r="H759" s="1"/>
      <c r="I759" s="1"/>
    </row>
    <row r="760" spans="2:9" ht="15.75" customHeight="1" x14ac:dyDescent="0.25">
      <c r="B760" s="1"/>
      <c r="C760" s="1"/>
      <c r="D760" s="1"/>
      <c r="E760" s="1"/>
      <c r="F760" s="1"/>
      <c r="G760" s="1"/>
      <c r="H760" s="1"/>
      <c r="I760" s="1"/>
    </row>
    <row r="761" spans="2:9" ht="15.75" customHeight="1" x14ac:dyDescent="0.25">
      <c r="B761" s="1"/>
      <c r="C761" s="1"/>
      <c r="D761" s="1"/>
      <c r="E761" s="1"/>
      <c r="F761" s="1"/>
      <c r="G761" s="1"/>
      <c r="H761" s="1"/>
      <c r="I761" s="1"/>
    </row>
    <row r="762" spans="2:9" ht="15.75" customHeight="1" x14ac:dyDescent="0.25">
      <c r="B762" s="1"/>
      <c r="C762" s="1"/>
      <c r="D762" s="1"/>
      <c r="E762" s="1"/>
      <c r="F762" s="1"/>
      <c r="G762" s="1"/>
      <c r="H762" s="1"/>
      <c r="I762" s="1"/>
    </row>
    <row r="763" spans="2:9" ht="15.75" customHeight="1" x14ac:dyDescent="0.25">
      <c r="B763" s="1"/>
      <c r="C763" s="1"/>
      <c r="D763" s="1"/>
      <c r="E763" s="1"/>
      <c r="F763" s="1"/>
      <c r="G763" s="1"/>
      <c r="H763" s="1"/>
      <c r="I763" s="1"/>
    </row>
    <row r="764" spans="2:9" ht="15.75" customHeight="1" x14ac:dyDescent="0.25">
      <c r="B764" s="1"/>
      <c r="C764" s="1"/>
      <c r="D764" s="1"/>
      <c r="E764" s="1"/>
      <c r="F764" s="1"/>
      <c r="G764" s="1"/>
      <c r="H764" s="1"/>
      <c r="I764" s="1"/>
    </row>
    <row r="765" spans="2:9" ht="15.75" customHeight="1" x14ac:dyDescent="0.25">
      <c r="B765" s="1"/>
      <c r="C765" s="1"/>
      <c r="D765" s="1"/>
      <c r="E765" s="1"/>
      <c r="F765" s="1"/>
      <c r="G765" s="1"/>
      <c r="H765" s="1"/>
      <c r="I765" s="1"/>
    </row>
    <row r="766" spans="2:9" ht="15.75" customHeight="1" x14ac:dyDescent="0.25">
      <c r="B766" s="1"/>
      <c r="C766" s="1"/>
      <c r="D766" s="1"/>
      <c r="E766" s="1"/>
      <c r="F766" s="1"/>
      <c r="G766" s="1"/>
      <c r="H766" s="1"/>
      <c r="I766" s="1"/>
    </row>
    <row r="767" spans="2:9" ht="15.75" customHeight="1" x14ac:dyDescent="0.25">
      <c r="B767" s="1"/>
      <c r="C767" s="1"/>
      <c r="D767" s="1"/>
      <c r="E767" s="1"/>
      <c r="F767" s="1"/>
      <c r="G767" s="1"/>
      <c r="H767" s="1"/>
      <c r="I767" s="1"/>
    </row>
    <row r="768" spans="2:9" ht="15.75" customHeight="1" x14ac:dyDescent="0.25">
      <c r="B768" s="1"/>
      <c r="C768" s="1"/>
      <c r="D768" s="1"/>
      <c r="E768" s="1"/>
      <c r="F768" s="1"/>
      <c r="G768" s="1"/>
      <c r="H768" s="1"/>
      <c r="I768" s="1"/>
    </row>
    <row r="769" spans="2:9" ht="15.75" customHeight="1" x14ac:dyDescent="0.25">
      <c r="B769" s="1"/>
      <c r="C769" s="1"/>
      <c r="D769" s="1"/>
      <c r="E769" s="1"/>
      <c r="F769" s="1"/>
      <c r="G769" s="1"/>
      <c r="H769" s="1"/>
      <c r="I769" s="1"/>
    </row>
    <row r="770" spans="2:9" ht="15.75" customHeight="1" x14ac:dyDescent="0.25">
      <c r="B770" s="1"/>
      <c r="C770" s="1"/>
      <c r="D770" s="1"/>
      <c r="E770" s="1"/>
      <c r="F770" s="1"/>
      <c r="G770" s="1"/>
      <c r="H770" s="1"/>
      <c r="I770" s="1"/>
    </row>
    <row r="771" spans="2:9" ht="15.75" customHeight="1" x14ac:dyDescent="0.25">
      <c r="B771" s="1"/>
      <c r="C771" s="1"/>
      <c r="D771" s="1"/>
      <c r="E771" s="1"/>
      <c r="F771" s="1"/>
      <c r="G771" s="1"/>
      <c r="H771" s="1"/>
      <c r="I771" s="1"/>
    </row>
    <row r="772" spans="2:9" ht="15.75" customHeight="1" x14ac:dyDescent="0.25">
      <c r="B772" s="1"/>
      <c r="C772" s="1"/>
      <c r="D772" s="1"/>
      <c r="E772" s="1"/>
      <c r="F772" s="1"/>
      <c r="G772" s="1"/>
      <c r="H772" s="1"/>
      <c r="I772" s="1"/>
    </row>
    <row r="773" spans="2:9" ht="15.75" customHeight="1" x14ac:dyDescent="0.25">
      <c r="B773" s="1"/>
      <c r="C773" s="1"/>
      <c r="D773" s="1"/>
      <c r="E773" s="1"/>
      <c r="F773" s="1"/>
      <c r="G773" s="1"/>
      <c r="H773" s="1"/>
      <c r="I773" s="1"/>
    </row>
    <row r="774" spans="2:9" ht="15.75" customHeight="1" x14ac:dyDescent="0.25">
      <c r="B774" s="1"/>
      <c r="C774" s="1"/>
      <c r="D774" s="1"/>
      <c r="E774" s="1"/>
      <c r="F774" s="1"/>
      <c r="G774" s="1"/>
      <c r="H774" s="1"/>
      <c r="I774" s="1"/>
    </row>
    <row r="775" spans="2:9" ht="15.75" customHeight="1" x14ac:dyDescent="0.25">
      <c r="B775" s="1"/>
      <c r="C775" s="1"/>
      <c r="D775" s="1"/>
      <c r="E775" s="1"/>
      <c r="F775" s="1"/>
      <c r="G775" s="1"/>
      <c r="H775" s="1"/>
      <c r="I775" s="1"/>
    </row>
    <row r="776" spans="2:9" ht="15.75" customHeight="1" x14ac:dyDescent="0.25">
      <c r="B776" s="1"/>
      <c r="C776" s="1"/>
      <c r="D776" s="1"/>
      <c r="E776" s="1"/>
      <c r="F776" s="1"/>
      <c r="G776" s="1"/>
      <c r="H776" s="1"/>
      <c r="I776" s="1"/>
    </row>
    <row r="777" spans="2:9" ht="15.75" customHeight="1" x14ac:dyDescent="0.25">
      <c r="B777" s="1"/>
      <c r="C777" s="1"/>
      <c r="D777" s="1"/>
      <c r="E777" s="1"/>
      <c r="F777" s="1"/>
      <c r="G777" s="1"/>
      <c r="H777" s="1"/>
      <c r="I777" s="1"/>
    </row>
    <row r="778" spans="2:9" ht="15.75" customHeight="1" x14ac:dyDescent="0.25">
      <c r="B778" s="1"/>
      <c r="C778" s="1"/>
      <c r="D778" s="1"/>
      <c r="E778" s="1"/>
      <c r="F778" s="1"/>
      <c r="G778" s="1"/>
      <c r="H778" s="1"/>
      <c r="I778" s="1"/>
    </row>
    <row r="779" spans="2:9" ht="15.75" customHeight="1" x14ac:dyDescent="0.25">
      <c r="B779" s="1"/>
      <c r="C779" s="1"/>
      <c r="D779" s="1"/>
      <c r="E779" s="1"/>
      <c r="F779" s="1"/>
      <c r="G779" s="1"/>
      <c r="H779" s="1"/>
      <c r="I779" s="1"/>
    </row>
    <row r="780" spans="2:9" ht="15.75" customHeight="1" x14ac:dyDescent="0.25">
      <c r="B780" s="1"/>
      <c r="C780" s="1"/>
      <c r="D780" s="1"/>
      <c r="E780" s="1"/>
      <c r="F780" s="1"/>
      <c r="G780" s="1"/>
      <c r="H780" s="1"/>
      <c r="I780" s="1"/>
    </row>
    <row r="781" spans="2:9" ht="15.75" customHeight="1" x14ac:dyDescent="0.25">
      <c r="B781" s="1"/>
      <c r="C781" s="1"/>
      <c r="D781" s="1"/>
      <c r="E781" s="1"/>
      <c r="F781" s="1"/>
      <c r="G781" s="1"/>
      <c r="H781" s="1"/>
      <c r="I781" s="1"/>
    </row>
    <row r="782" spans="2:9" ht="15.75" customHeight="1" x14ac:dyDescent="0.25">
      <c r="B782" s="1"/>
      <c r="C782" s="1"/>
      <c r="D782" s="1"/>
      <c r="E782" s="1"/>
      <c r="F782" s="1"/>
      <c r="G782" s="1"/>
      <c r="H782" s="1"/>
      <c r="I782" s="1"/>
    </row>
    <row r="783" spans="2:9" ht="15.75" customHeight="1" x14ac:dyDescent="0.25">
      <c r="B783" s="1"/>
      <c r="C783" s="1"/>
      <c r="D783" s="1"/>
      <c r="E783" s="1"/>
      <c r="F783" s="1"/>
      <c r="G783" s="1"/>
      <c r="H783" s="1"/>
      <c r="I783" s="1"/>
    </row>
    <row r="784" spans="2:9" ht="15.75" customHeight="1" x14ac:dyDescent="0.25">
      <c r="B784" s="1"/>
      <c r="C784" s="1"/>
      <c r="D784" s="1"/>
      <c r="E784" s="1"/>
      <c r="F784" s="1"/>
      <c r="G784" s="1"/>
      <c r="H784" s="1"/>
      <c r="I784" s="1"/>
    </row>
    <row r="785" spans="2:9" ht="15.75" customHeight="1" x14ac:dyDescent="0.25">
      <c r="B785" s="1"/>
      <c r="C785" s="1"/>
      <c r="D785" s="1"/>
      <c r="E785" s="1"/>
      <c r="F785" s="1"/>
      <c r="G785" s="1"/>
      <c r="H785" s="1"/>
      <c r="I785" s="1"/>
    </row>
    <row r="786" spans="2:9" ht="15.75" customHeight="1" x14ac:dyDescent="0.25">
      <c r="B786" s="1"/>
      <c r="C786" s="1"/>
      <c r="D786" s="1"/>
      <c r="E786" s="1"/>
      <c r="F786" s="1"/>
      <c r="G786" s="1"/>
      <c r="H786" s="1"/>
      <c r="I786" s="1"/>
    </row>
    <row r="787" spans="2:9" ht="15.75" customHeight="1" x14ac:dyDescent="0.25">
      <c r="B787" s="1"/>
      <c r="C787" s="1"/>
      <c r="D787" s="1"/>
      <c r="E787" s="1"/>
      <c r="F787" s="1"/>
      <c r="G787" s="1"/>
      <c r="H787" s="1"/>
      <c r="I787" s="1"/>
    </row>
    <row r="788" spans="2:9" ht="15.75" customHeight="1" x14ac:dyDescent="0.25">
      <c r="B788" s="1"/>
      <c r="C788" s="1"/>
      <c r="D788" s="1"/>
      <c r="E788" s="1"/>
      <c r="F788" s="1"/>
      <c r="G788" s="1"/>
      <c r="H788" s="1"/>
      <c r="I788" s="1"/>
    </row>
    <row r="789" spans="2:9" ht="15.75" customHeight="1" x14ac:dyDescent="0.25">
      <c r="B789" s="1"/>
      <c r="C789" s="1"/>
      <c r="D789" s="1"/>
      <c r="E789" s="1"/>
      <c r="F789" s="1"/>
      <c r="G789" s="1"/>
      <c r="H789" s="1"/>
      <c r="I789" s="1"/>
    </row>
    <row r="790" spans="2:9" ht="15.75" customHeight="1" x14ac:dyDescent="0.25">
      <c r="B790" s="1"/>
      <c r="C790" s="1"/>
      <c r="D790" s="1"/>
      <c r="E790" s="1"/>
      <c r="F790" s="1"/>
      <c r="G790" s="1"/>
      <c r="H790" s="1"/>
      <c r="I790" s="1"/>
    </row>
    <row r="791" spans="2:9" ht="15.75" customHeight="1" x14ac:dyDescent="0.25">
      <c r="B791" s="1"/>
      <c r="C791" s="1"/>
      <c r="D791" s="1"/>
      <c r="E791" s="1"/>
      <c r="F791" s="1"/>
      <c r="G791" s="1"/>
      <c r="H791" s="1"/>
      <c r="I791" s="1"/>
    </row>
    <row r="792" spans="2:9" ht="15.75" customHeight="1" x14ac:dyDescent="0.25">
      <c r="B792" s="1"/>
      <c r="C792" s="1"/>
      <c r="D792" s="1"/>
      <c r="E792" s="1"/>
      <c r="F792" s="1"/>
      <c r="G792" s="1"/>
      <c r="H792" s="1"/>
      <c r="I792" s="1"/>
    </row>
    <row r="793" spans="2:9" ht="15.75" customHeight="1" x14ac:dyDescent="0.25">
      <c r="B793" s="1"/>
      <c r="C793" s="1"/>
      <c r="D793" s="1"/>
      <c r="E793" s="1"/>
      <c r="F793" s="1"/>
      <c r="G793" s="1"/>
      <c r="H793" s="1"/>
      <c r="I793" s="1"/>
    </row>
    <row r="794" spans="2:9" ht="15.75" customHeight="1" x14ac:dyDescent="0.25">
      <c r="B794" s="1"/>
      <c r="C794" s="1"/>
      <c r="D794" s="1"/>
      <c r="E794" s="1"/>
      <c r="F794" s="1"/>
      <c r="G794" s="1"/>
      <c r="H794" s="1"/>
      <c r="I794" s="1"/>
    </row>
    <row r="795" spans="2:9" ht="15.75" customHeight="1" x14ac:dyDescent="0.25">
      <c r="B795" s="1"/>
      <c r="C795" s="1"/>
      <c r="D795" s="1"/>
      <c r="E795" s="1"/>
      <c r="F795" s="1"/>
      <c r="G795" s="1"/>
      <c r="H795" s="1"/>
      <c r="I795" s="1"/>
    </row>
    <row r="796" spans="2:9" ht="15.75" customHeight="1" x14ac:dyDescent="0.25">
      <c r="B796" s="1"/>
      <c r="C796" s="1"/>
      <c r="D796" s="1"/>
      <c r="E796" s="1"/>
      <c r="F796" s="1"/>
      <c r="G796" s="1"/>
      <c r="H796" s="1"/>
      <c r="I796" s="1"/>
    </row>
    <row r="797" spans="2:9" ht="15.75" customHeight="1" x14ac:dyDescent="0.25">
      <c r="B797" s="1"/>
      <c r="C797" s="1"/>
      <c r="D797" s="1"/>
      <c r="E797" s="1"/>
      <c r="F797" s="1"/>
      <c r="G797" s="1"/>
      <c r="H797" s="1"/>
      <c r="I797" s="1"/>
    </row>
    <row r="798" spans="2:9" ht="15.75" customHeight="1" x14ac:dyDescent="0.25">
      <c r="B798" s="1"/>
      <c r="C798" s="1"/>
      <c r="D798" s="1"/>
      <c r="E798" s="1"/>
      <c r="F798" s="1"/>
      <c r="G798" s="1"/>
      <c r="H798" s="1"/>
      <c r="I798" s="1"/>
    </row>
    <row r="799" spans="2:9" ht="15.75" customHeight="1" x14ac:dyDescent="0.25">
      <c r="B799" s="1"/>
      <c r="C799" s="1"/>
      <c r="D799" s="1"/>
      <c r="E799" s="1"/>
      <c r="F799" s="1"/>
      <c r="G799" s="1"/>
      <c r="H799" s="1"/>
      <c r="I799" s="1"/>
    </row>
    <row r="800" spans="2:9" ht="15.75" customHeight="1" x14ac:dyDescent="0.25">
      <c r="B800" s="1"/>
      <c r="C800" s="1"/>
      <c r="D800" s="1"/>
      <c r="E800" s="1"/>
      <c r="F800" s="1"/>
      <c r="G800" s="1"/>
      <c r="H800" s="1"/>
      <c r="I800" s="1"/>
    </row>
    <row r="801" spans="2:9" ht="15.75" customHeight="1" x14ac:dyDescent="0.25">
      <c r="B801" s="1"/>
      <c r="C801" s="1"/>
      <c r="D801" s="1"/>
      <c r="E801" s="1"/>
      <c r="F801" s="1"/>
      <c r="G801" s="1"/>
      <c r="H801" s="1"/>
      <c r="I801" s="1"/>
    </row>
    <row r="802" spans="2:9" ht="15.75" customHeight="1" x14ac:dyDescent="0.25">
      <c r="B802" s="1"/>
      <c r="C802" s="1"/>
      <c r="D802" s="1"/>
      <c r="E802" s="1"/>
      <c r="F802" s="1"/>
      <c r="G802" s="1"/>
      <c r="H802" s="1"/>
      <c r="I802" s="1"/>
    </row>
    <row r="803" spans="2:9" ht="15.75" customHeight="1" x14ac:dyDescent="0.25">
      <c r="B803" s="1"/>
      <c r="C803" s="1"/>
      <c r="D803" s="1"/>
      <c r="E803" s="1"/>
      <c r="F803" s="1"/>
      <c r="G803" s="1"/>
      <c r="H803" s="1"/>
      <c r="I803" s="1"/>
    </row>
    <row r="804" spans="2:9" ht="15.75" customHeight="1" x14ac:dyDescent="0.25">
      <c r="B804" s="1"/>
      <c r="C804" s="1"/>
      <c r="D804" s="1"/>
      <c r="E804" s="1"/>
      <c r="F804" s="1"/>
      <c r="G804" s="1"/>
      <c r="H804" s="1"/>
      <c r="I804" s="1"/>
    </row>
    <row r="805" spans="2:9" ht="15.75" customHeight="1" x14ac:dyDescent="0.25">
      <c r="B805" s="1"/>
      <c r="C805" s="1"/>
      <c r="D805" s="1"/>
      <c r="E805" s="1"/>
      <c r="F805" s="1"/>
      <c r="G805" s="1"/>
      <c r="H805" s="1"/>
      <c r="I805" s="1"/>
    </row>
    <row r="806" spans="2:9" ht="15.75" customHeight="1" x14ac:dyDescent="0.25">
      <c r="B806" s="1"/>
      <c r="C806" s="1"/>
      <c r="D806" s="1"/>
      <c r="E806" s="1"/>
      <c r="F806" s="1"/>
      <c r="G806" s="1"/>
      <c r="H806" s="1"/>
      <c r="I806" s="1"/>
    </row>
    <row r="807" spans="2:9" ht="15.75" customHeight="1" x14ac:dyDescent="0.25">
      <c r="B807" s="1"/>
      <c r="C807" s="1"/>
      <c r="D807" s="1"/>
      <c r="E807" s="1"/>
      <c r="F807" s="1"/>
      <c r="G807" s="1"/>
      <c r="H807" s="1"/>
      <c r="I807" s="1"/>
    </row>
    <row r="808" spans="2:9" ht="15.75" customHeight="1" x14ac:dyDescent="0.25">
      <c r="B808" s="1"/>
      <c r="C808" s="1"/>
      <c r="D808" s="1"/>
      <c r="E808" s="1"/>
      <c r="F808" s="1"/>
      <c r="G808" s="1"/>
      <c r="H808" s="1"/>
      <c r="I808" s="1"/>
    </row>
    <row r="809" spans="2:9" ht="15.75" customHeight="1" x14ac:dyDescent="0.25">
      <c r="B809" s="1"/>
      <c r="C809" s="1"/>
      <c r="D809" s="1"/>
      <c r="E809" s="1"/>
      <c r="F809" s="1"/>
      <c r="G809" s="1"/>
      <c r="H809" s="1"/>
      <c r="I809" s="1"/>
    </row>
    <row r="810" spans="2:9" ht="15.75" customHeight="1" x14ac:dyDescent="0.25">
      <c r="B810" s="1"/>
      <c r="C810" s="1"/>
      <c r="D810" s="1"/>
      <c r="E810" s="1"/>
      <c r="F810" s="1"/>
      <c r="G810" s="1"/>
      <c r="H810" s="1"/>
      <c r="I810" s="1"/>
    </row>
    <row r="811" spans="2:9" ht="15.75" customHeight="1" x14ac:dyDescent="0.25">
      <c r="B811" s="1"/>
      <c r="C811" s="1"/>
      <c r="D811" s="1"/>
      <c r="E811" s="1"/>
      <c r="F811" s="1"/>
      <c r="G811" s="1"/>
      <c r="H811" s="1"/>
      <c r="I811" s="1"/>
    </row>
    <row r="812" spans="2:9" ht="15.75" customHeight="1" x14ac:dyDescent="0.25">
      <c r="B812" s="1"/>
      <c r="C812" s="1"/>
      <c r="D812" s="1"/>
      <c r="E812" s="1"/>
      <c r="F812" s="1"/>
      <c r="G812" s="1"/>
      <c r="H812" s="1"/>
      <c r="I812" s="1"/>
    </row>
    <row r="813" spans="2:9" ht="15.75" customHeight="1" x14ac:dyDescent="0.25">
      <c r="B813" s="1"/>
      <c r="C813" s="1"/>
      <c r="D813" s="1"/>
      <c r="E813" s="1"/>
      <c r="F813" s="1"/>
      <c r="G813" s="1"/>
      <c r="H813" s="1"/>
      <c r="I813" s="1"/>
    </row>
    <row r="814" spans="2:9" ht="15.75" customHeight="1" x14ac:dyDescent="0.25">
      <c r="B814" s="1"/>
      <c r="C814" s="1"/>
      <c r="D814" s="1"/>
      <c r="E814" s="1"/>
      <c r="F814" s="1"/>
      <c r="G814" s="1"/>
      <c r="H814" s="1"/>
      <c r="I814" s="1"/>
    </row>
    <row r="815" spans="2:9" ht="15.75" customHeight="1" x14ac:dyDescent="0.25">
      <c r="B815" s="1"/>
      <c r="C815" s="1"/>
      <c r="D815" s="1"/>
      <c r="E815" s="1"/>
      <c r="F815" s="1"/>
      <c r="G815" s="1"/>
      <c r="H815" s="1"/>
      <c r="I815" s="1"/>
    </row>
    <row r="816" spans="2:9" ht="15.75" customHeight="1" x14ac:dyDescent="0.25">
      <c r="B816" s="1"/>
      <c r="C816" s="1"/>
      <c r="D816" s="1"/>
      <c r="E816" s="1"/>
      <c r="F816" s="1"/>
      <c r="G816" s="1"/>
      <c r="H816" s="1"/>
      <c r="I816" s="1"/>
    </row>
    <row r="817" spans="2:9" ht="15.75" customHeight="1" x14ac:dyDescent="0.25">
      <c r="B817" s="1"/>
      <c r="C817" s="1"/>
      <c r="D817" s="1"/>
      <c r="E817" s="1"/>
      <c r="F817" s="1"/>
      <c r="G817" s="1"/>
      <c r="H817" s="1"/>
      <c r="I817" s="1"/>
    </row>
    <row r="818" spans="2:9" ht="15.75" customHeight="1" x14ac:dyDescent="0.25">
      <c r="B818" s="1"/>
      <c r="C818" s="1"/>
      <c r="D818" s="1"/>
      <c r="E818" s="1"/>
      <c r="F818" s="1"/>
      <c r="G818" s="1"/>
      <c r="H818" s="1"/>
      <c r="I818" s="1"/>
    </row>
    <row r="819" spans="2:9" ht="15.75" customHeight="1" x14ac:dyDescent="0.25">
      <c r="B819" s="1"/>
      <c r="C819" s="1"/>
      <c r="D819" s="1"/>
      <c r="E819" s="1"/>
      <c r="F819" s="1"/>
      <c r="G819" s="1"/>
      <c r="H819" s="1"/>
      <c r="I819" s="1"/>
    </row>
    <row r="820" spans="2:9" ht="15.75" customHeight="1" x14ac:dyDescent="0.25">
      <c r="B820" s="1"/>
      <c r="C820" s="1"/>
      <c r="D820" s="1"/>
      <c r="E820" s="1"/>
      <c r="F820" s="1"/>
      <c r="G820" s="1"/>
      <c r="H820" s="1"/>
      <c r="I820" s="1"/>
    </row>
    <row r="821" spans="2:9" ht="15.75" customHeight="1" x14ac:dyDescent="0.25">
      <c r="B821" s="1"/>
      <c r="C821" s="1"/>
      <c r="D821" s="1"/>
      <c r="E821" s="1"/>
      <c r="F821" s="1"/>
      <c r="G821" s="1"/>
      <c r="H821" s="1"/>
      <c r="I821" s="1"/>
    </row>
    <row r="822" spans="2:9" ht="15.75" customHeight="1" x14ac:dyDescent="0.25">
      <c r="B822" s="1"/>
      <c r="C822" s="1"/>
      <c r="D822" s="1"/>
      <c r="E822" s="1"/>
      <c r="F822" s="1"/>
      <c r="G822" s="1"/>
      <c r="H822" s="1"/>
      <c r="I822" s="1"/>
    </row>
    <row r="823" spans="2:9" ht="15.75" customHeight="1" x14ac:dyDescent="0.25">
      <c r="B823" s="1"/>
      <c r="C823" s="1"/>
      <c r="D823" s="1"/>
      <c r="E823" s="1"/>
      <c r="F823" s="1"/>
      <c r="G823" s="1"/>
      <c r="H823" s="1"/>
      <c r="I823" s="1"/>
    </row>
    <row r="824" spans="2:9" ht="15.75" customHeight="1" x14ac:dyDescent="0.25">
      <c r="B824" s="1"/>
      <c r="C824" s="1"/>
      <c r="D824" s="1"/>
      <c r="E824" s="1"/>
      <c r="F824" s="1"/>
      <c r="G824" s="1"/>
      <c r="H824" s="1"/>
      <c r="I824" s="1"/>
    </row>
    <row r="825" spans="2:9" ht="15.75" customHeight="1" x14ac:dyDescent="0.25">
      <c r="B825" s="1"/>
      <c r="C825" s="1"/>
      <c r="D825" s="1"/>
      <c r="E825" s="1"/>
      <c r="F825" s="1"/>
      <c r="G825" s="1"/>
      <c r="H825" s="1"/>
      <c r="I825" s="1"/>
    </row>
    <row r="826" spans="2:9" ht="15.75" customHeight="1" x14ac:dyDescent="0.25">
      <c r="B826" s="1"/>
      <c r="C826" s="1"/>
      <c r="D826" s="1"/>
      <c r="E826" s="1"/>
      <c r="F826" s="1"/>
      <c r="G826" s="1"/>
      <c r="H826" s="1"/>
      <c r="I826" s="1"/>
    </row>
    <row r="827" spans="2:9" ht="15.75" customHeight="1" x14ac:dyDescent="0.25">
      <c r="B827" s="1"/>
      <c r="C827" s="1"/>
      <c r="D827" s="1"/>
      <c r="E827" s="1"/>
      <c r="F827" s="1"/>
      <c r="G827" s="1"/>
      <c r="H827" s="1"/>
      <c r="I827" s="1"/>
    </row>
    <row r="828" spans="2:9" ht="15.75" customHeight="1" x14ac:dyDescent="0.25">
      <c r="B828" s="1"/>
      <c r="C828" s="1"/>
      <c r="D828" s="1"/>
      <c r="E828" s="1"/>
      <c r="F828" s="1"/>
      <c r="G828" s="1"/>
      <c r="H828" s="1"/>
      <c r="I828" s="1"/>
    </row>
    <row r="829" spans="2:9" ht="15.75" customHeight="1" x14ac:dyDescent="0.25">
      <c r="B829" s="1"/>
      <c r="C829" s="1"/>
      <c r="D829" s="1"/>
      <c r="E829" s="1"/>
      <c r="F829" s="1"/>
      <c r="G829" s="1"/>
      <c r="H829" s="1"/>
      <c r="I829" s="1"/>
    </row>
    <row r="830" spans="2:9" ht="15.75" customHeight="1" x14ac:dyDescent="0.25">
      <c r="B830" s="1"/>
      <c r="C830" s="1"/>
      <c r="D830" s="1"/>
      <c r="E830" s="1"/>
      <c r="F830" s="1"/>
      <c r="G830" s="1"/>
      <c r="H830" s="1"/>
      <c r="I830" s="1"/>
    </row>
    <row r="831" spans="2:9" ht="15.75" customHeight="1" x14ac:dyDescent="0.25">
      <c r="B831" s="1"/>
      <c r="C831" s="1"/>
      <c r="D831" s="1"/>
      <c r="E831" s="1"/>
      <c r="F831" s="1"/>
      <c r="G831" s="1"/>
      <c r="H831" s="1"/>
      <c r="I831" s="1"/>
    </row>
    <row r="832" spans="2:9" ht="15.75" customHeight="1" x14ac:dyDescent="0.25">
      <c r="B832" s="1"/>
      <c r="C832" s="1"/>
      <c r="D832" s="1"/>
      <c r="E832" s="1"/>
      <c r="F832" s="1"/>
      <c r="G832" s="1"/>
      <c r="H832" s="1"/>
      <c r="I832" s="1"/>
    </row>
    <row r="833" spans="2:9" ht="15.75" customHeight="1" x14ac:dyDescent="0.25">
      <c r="B833" s="1"/>
      <c r="C833" s="1"/>
      <c r="D833" s="1"/>
      <c r="E833" s="1"/>
      <c r="F833" s="1"/>
      <c r="G833" s="1"/>
      <c r="H833" s="1"/>
      <c r="I833" s="1"/>
    </row>
    <row r="834" spans="2:9" ht="15.75" customHeight="1" x14ac:dyDescent="0.25">
      <c r="B834" s="1"/>
      <c r="C834" s="1"/>
      <c r="D834" s="1"/>
      <c r="E834" s="1"/>
      <c r="F834" s="1"/>
      <c r="G834" s="1"/>
      <c r="H834" s="1"/>
      <c r="I834" s="1"/>
    </row>
    <row r="835" spans="2:9" ht="15.75" customHeight="1" x14ac:dyDescent="0.25">
      <c r="B835" s="1"/>
      <c r="C835" s="1"/>
      <c r="D835" s="1"/>
      <c r="E835" s="1"/>
      <c r="F835" s="1"/>
      <c r="G835" s="1"/>
      <c r="H835" s="1"/>
      <c r="I835" s="1"/>
    </row>
    <row r="836" spans="2:9" ht="15.75" customHeight="1" x14ac:dyDescent="0.25">
      <c r="B836" s="1"/>
      <c r="C836" s="1"/>
      <c r="D836" s="1"/>
      <c r="E836" s="1"/>
      <c r="F836" s="1"/>
      <c r="G836" s="1"/>
      <c r="H836" s="1"/>
      <c r="I836" s="1"/>
    </row>
    <row r="837" spans="2:9" ht="15.75" customHeight="1" x14ac:dyDescent="0.25">
      <c r="B837" s="1"/>
      <c r="C837" s="1"/>
      <c r="D837" s="1"/>
      <c r="E837" s="1"/>
      <c r="F837" s="1"/>
      <c r="G837" s="1"/>
      <c r="H837" s="1"/>
      <c r="I837" s="1"/>
    </row>
    <row r="838" spans="2:9" ht="15.75" customHeight="1" x14ac:dyDescent="0.25">
      <c r="B838" s="1"/>
      <c r="C838" s="1"/>
      <c r="D838" s="1"/>
      <c r="E838" s="1"/>
      <c r="F838" s="1"/>
      <c r="G838" s="1"/>
      <c r="H838" s="1"/>
      <c r="I838" s="1"/>
    </row>
    <row r="839" spans="2:9" ht="15.75" customHeight="1" x14ac:dyDescent="0.25">
      <c r="B839" s="1"/>
      <c r="C839" s="1"/>
      <c r="D839" s="1"/>
      <c r="E839" s="1"/>
      <c r="F839" s="1"/>
      <c r="G839" s="1"/>
      <c r="H839" s="1"/>
      <c r="I839" s="1"/>
    </row>
    <row r="840" spans="2:9" ht="15.75" customHeight="1" x14ac:dyDescent="0.25">
      <c r="B840" s="1"/>
      <c r="C840" s="1"/>
      <c r="D840" s="1"/>
      <c r="E840" s="1"/>
      <c r="F840" s="1"/>
      <c r="G840" s="1"/>
      <c r="H840" s="1"/>
      <c r="I840" s="1"/>
    </row>
    <row r="841" spans="2:9" ht="15.75" customHeight="1" x14ac:dyDescent="0.25">
      <c r="B841" s="1"/>
      <c r="C841" s="1"/>
      <c r="D841" s="1"/>
      <c r="E841" s="1"/>
      <c r="F841" s="1"/>
      <c r="G841" s="1"/>
      <c r="H841" s="1"/>
      <c r="I841" s="1"/>
    </row>
    <row r="842" spans="2:9" ht="15.75" customHeight="1" x14ac:dyDescent="0.25">
      <c r="B842" s="1"/>
      <c r="C842" s="1"/>
      <c r="D842" s="1"/>
      <c r="E842" s="1"/>
      <c r="F842" s="1"/>
      <c r="G842" s="1"/>
      <c r="H842" s="1"/>
      <c r="I842" s="1"/>
    </row>
    <row r="843" spans="2:9" ht="15.75" customHeight="1" x14ac:dyDescent="0.25">
      <c r="B843" s="1"/>
      <c r="C843" s="1"/>
      <c r="D843" s="1"/>
      <c r="E843" s="1"/>
      <c r="F843" s="1"/>
      <c r="G843" s="1"/>
      <c r="H843" s="1"/>
      <c r="I843" s="1"/>
    </row>
    <row r="844" spans="2:9" ht="15.75" customHeight="1" x14ac:dyDescent="0.25">
      <c r="B844" s="1"/>
      <c r="C844" s="1"/>
      <c r="D844" s="1"/>
      <c r="E844" s="1"/>
      <c r="F844" s="1"/>
      <c r="G844" s="1"/>
      <c r="H844" s="1"/>
      <c r="I844" s="1"/>
    </row>
    <row r="845" spans="2:9" ht="15.75" customHeight="1" x14ac:dyDescent="0.25">
      <c r="B845" s="1"/>
      <c r="C845" s="1"/>
      <c r="D845" s="1"/>
      <c r="E845" s="1"/>
      <c r="F845" s="1"/>
      <c r="G845" s="1"/>
      <c r="H845" s="1"/>
      <c r="I845" s="1"/>
    </row>
    <row r="846" spans="2:9" ht="15.75" customHeight="1" x14ac:dyDescent="0.25">
      <c r="B846" s="1"/>
      <c r="C846" s="1"/>
      <c r="D846" s="1"/>
      <c r="E846" s="1"/>
      <c r="F846" s="1"/>
      <c r="G846" s="1"/>
      <c r="H846" s="1"/>
      <c r="I846" s="1"/>
    </row>
    <row r="847" spans="2:9" ht="15.75" customHeight="1" x14ac:dyDescent="0.25">
      <c r="B847" s="1"/>
      <c r="C847" s="1"/>
      <c r="D847" s="1"/>
      <c r="E847" s="1"/>
      <c r="F847" s="1"/>
      <c r="G847" s="1"/>
      <c r="H847" s="1"/>
      <c r="I847" s="1"/>
    </row>
    <row r="848" spans="2:9" ht="15.75" customHeight="1" x14ac:dyDescent="0.25">
      <c r="B848" s="1"/>
      <c r="C848" s="1"/>
      <c r="D848" s="1"/>
      <c r="E848" s="1"/>
      <c r="F848" s="1"/>
      <c r="G848" s="1"/>
      <c r="H848" s="1"/>
      <c r="I848" s="1"/>
    </row>
    <row r="849" spans="2:9" ht="15.75" customHeight="1" x14ac:dyDescent="0.25">
      <c r="B849" s="1"/>
      <c r="C849" s="1"/>
      <c r="D849" s="1"/>
      <c r="E849" s="1"/>
      <c r="F849" s="1"/>
      <c r="G849" s="1"/>
      <c r="H849" s="1"/>
      <c r="I849" s="1"/>
    </row>
    <row r="850" spans="2:9" ht="15.75" customHeight="1" x14ac:dyDescent="0.25">
      <c r="B850" s="1"/>
      <c r="C850" s="1"/>
      <c r="D850" s="1"/>
      <c r="E850" s="1"/>
      <c r="F850" s="1"/>
      <c r="G850" s="1"/>
      <c r="H850" s="1"/>
      <c r="I850" s="1"/>
    </row>
    <row r="851" spans="2:9" ht="15.75" customHeight="1" x14ac:dyDescent="0.25">
      <c r="B851" s="1"/>
      <c r="C851" s="1"/>
      <c r="D851" s="1"/>
      <c r="E851" s="1"/>
      <c r="F851" s="1"/>
      <c r="G851" s="1"/>
      <c r="H851" s="1"/>
      <c r="I851" s="1"/>
    </row>
    <row r="852" spans="2:9" ht="15.75" customHeight="1" x14ac:dyDescent="0.25">
      <c r="B852" s="1"/>
      <c r="C852" s="1"/>
      <c r="D852" s="1"/>
      <c r="E852" s="1"/>
      <c r="F852" s="1"/>
      <c r="G852" s="1"/>
      <c r="H852" s="1"/>
      <c r="I852" s="1"/>
    </row>
    <row r="853" spans="2:9" ht="15.75" customHeight="1" x14ac:dyDescent="0.25">
      <c r="B853" s="1"/>
      <c r="C853" s="1"/>
      <c r="D853" s="1"/>
      <c r="E853" s="1"/>
      <c r="F853" s="1"/>
      <c r="G853" s="1"/>
      <c r="H853" s="1"/>
      <c r="I853" s="1"/>
    </row>
    <row r="854" spans="2:9" ht="15.75" customHeight="1" x14ac:dyDescent="0.25">
      <c r="B854" s="1"/>
      <c r="C854" s="1"/>
      <c r="D854" s="1"/>
      <c r="E854" s="1"/>
      <c r="F854" s="1"/>
      <c r="G854" s="1"/>
      <c r="H854" s="1"/>
      <c r="I854" s="1"/>
    </row>
    <row r="855" spans="2:9" ht="15.75" customHeight="1" x14ac:dyDescent="0.25">
      <c r="B855" s="1"/>
      <c r="C855" s="1"/>
      <c r="D855" s="1"/>
      <c r="E855" s="1"/>
      <c r="F855" s="1"/>
      <c r="G855" s="1"/>
      <c r="H855" s="1"/>
      <c r="I855" s="1"/>
    </row>
    <row r="856" spans="2:9" ht="15.75" customHeight="1" x14ac:dyDescent="0.25">
      <c r="B856" s="1"/>
      <c r="C856" s="1"/>
      <c r="D856" s="1"/>
      <c r="E856" s="1"/>
      <c r="F856" s="1"/>
      <c r="G856" s="1"/>
      <c r="H856" s="1"/>
      <c r="I856" s="1"/>
    </row>
    <row r="857" spans="2:9" ht="15.75" customHeight="1" x14ac:dyDescent="0.25">
      <c r="B857" s="1"/>
      <c r="C857" s="1"/>
      <c r="D857" s="1"/>
      <c r="E857" s="1"/>
      <c r="F857" s="1"/>
      <c r="G857" s="1"/>
      <c r="H857" s="1"/>
      <c r="I857" s="1"/>
    </row>
    <row r="858" spans="2:9" ht="15.75" customHeight="1" x14ac:dyDescent="0.25">
      <c r="B858" s="1"/>
      <c r="C858" s="1"/>
      <c r="D858" s="1"/>
      <c r="E858" s="1"/>
      <c r="F858" s="1"/>
      <c r="G858" s="1"/>
      <c r="H858" s="1"/>
      <c r="I858" s="1"/>
    </row>
    <row r="859" spans="2:9" ht="15.75" customHeight="1" x14ac:dyDescent="0.25">
      <c r="B859" s="1"/>
      <c r="C859" s="1"/>
      <c r="D859" s="1"/>
      <c r="E859" s="1"/>
      <c r="F859" s="1"/>
      <c r="G859" s="1"/>
      <c r="H859" s="1"/>
      <c r="I859" s="1"/>
    </row>
    <row r="860" spans="2:9" ht="15.75" customHeight="1" x14ac:dyDescent="0.25">
      <c r="B860" s="1"/>
      <c r="C860" s="1"/>
      <c r="D860" s="1"/>
      <c r="E860" s="1"/>
      <c r="F860" s="1"/>
      <c r="G860" s="1"/>
      <c r="H860" s="1"/>
      <c r="I860" s="1"/>
    </row>
    <row r="861" spans="2:9" ht="15.75" customHeight="1" x14ac:dyDescent="0.25">
      <c r="B861" s="1"/>
      <c r="C861" s="1"/>
      <c r="D861" s="1"/>
      <c r="E861" s="1"/>
      <c r="F861" s="1"/>
      <c r="G861" s="1"/>
      <c r="H861" s="1"/>
      <c r="I861" s="1"/>
    </row>
    <row r="862" spans="2:9" ht="15.75" customHeight="1" x14ac:dyDescent="0.25">
      <c r="B862" s="1"/>
      <c r="C862" s="1"/>
      <c r="D862" s="1"/>
      <c r="E862" s="1"/>
      <c r="F862" s="1"/>
      <c r="G862" s="1"/>
      <c r="H862" s="1"/>
      <c r="I862" s="1"/>
    </row>
    <row r="863" spans="2:9" ht="15.75" customHeight="1" x14ac:dyDescent="0.25">
      <c r="B863" s="1"/>
      <c r="C863" s="1"/>
      <c r="D863" s="1"/>
      <c r="E863" s="1"/>
      <c r="F863" s="1"/>
      <c r="G863" s="1"/>
      <c r="H863" s="1"/>
      <c r="I863" s="1"/>
    </row>
    <row r="864" spans="2:9" ht="15.75" customHeight="1" x14ac:dyDescent="0.25">
      <c r="B864" s="1"/>
      <c r="C864" s="1"/>
      <c r="D864" s="1"/>
      <c r="E864" s="1"/>
      <c r="F864" s="1"/>
      <c r="G864" s="1"/>
      <c r="H864" s="1"/>
      <c r="I864" s="1"/>
    </row>
    <row r="865" spans="2:9" ht="15.75" customHeight="1" x14ac:dyDescent="0.25">
      <c r="B865" s="1"/>
      <c r="C865" s="1"/>
      <c r="D865" s="1"/>
      <c r="E865" s="1"/>
      <c r="F865" s="1"/>
      <c r="G865" s="1"/>
      <c r="H865" s="1"/>
      <c r="I865" s="1"/>
    </row>
    <row r="866" spans="2:9" ht="15.75" customHeight="1" x14ac:dyDescent="0.25">
      <c r="B866" s="1"/>
      <c r="C866" s="1"/>
      <c r="D866" s="1"/>
      <c r="E866" s="1"/>
      <c r="F866" s="1"/>
      <c r="G866" s="1"/>
      <c r="H866" s="1"/>
      <c r="I866" s="1"/>
    </row>
    <row r="867" spans="2:9" ht="15.75" customHeight="1" x14ac:dyDescent="0.25">
      <c r="B867" s="1"/>
      <c r="C867" s="1"/>
      <c r="D867" s="1"/>
      <c r="E867" s="1"/>
      <c r="F867" s="1"/>
      <c r="G867" s="1"/>
      <c r="H867" s="1"/>
      <c r="I867" s="1"/>
    </row>
    <row r="868" spans="2:9" ht="15.75" customHeight="1" x14ac:dyDescent="0.25">
      <c r="B868" s="1"/>
      <c r="C868" s="1"/>
      <c r="D868" s="1"/>
      <c r="E868" s="1"/>
      <c r="F868" s="1"/>
      <c r="G868" s="1"/>
      <c r="H868" s="1"/>
      <c r="I868" s="1"/>
    </row>
    <row r="869" spans="2:9" ht="15.75" customHeight="1" x14ac:dyDescent="0.25">
      <c r="B869" s="1"/>
      <c r="C869" s="1"/>
      <c r="D869" s="1"/>
      <c r="E869" s="1"/>
      <c r="F869" s="1"/>
      <c r="G869" s="1"/>
      <c r="H869" s="1"/>
      <c r="I869" s="1"/>
    </row>
    <row r="870" spans="2:9" ht="15.75" customHeight="1" x14ac:dyDescent="0.25">
      <c r="B870" s="1"/>
      <c r="C870" s="1"/>
      <c r="D870" s="1"/>
      <c r="E870" s="1"/>
      <c r="F870" s="1"/>
      <c r="G870" s="1"/>
      <c r="H870" s="1"/>
      <c r="I870" s="1"/>
    </row>
    <row r="871" spans="2:9" ht="15.75" customHeight="1" x14ac:dyDescent="0.25">
      <c r="B871" s="1"/>
      <c r="C871" s="1"/>
      <c r="D871" s="1"/>
      <c r="E871" s="1"/>
      <c r="F871" s="1"/>
      <c r="G871" s="1"/>
      <c r="H871" s="1"/>
      <c r="I871" s="1"/>
    </row>
    <row r="872" spans="2:9" ht="15.75" customHeight="1" x14ac:dyDescent="0.25">
      <c r="B872" s="1"/>
      <c r="C872" s="1"/>
      <c r="D872" s="1"/>
      <c r="E872" s="1"/>
      <c r="F872" s="1"/>
      <c r="G872" s="1"/>
      <c r="H872" s="1"/>
      <c r="I872" s="1"/>
    </row>
    <row r="873" spans="2:9" ht="15.75" customHeight="1" x14ac:dyDescent="0.25">
      <c r="B873" s="1"/>
      <c r="C873" s="1"/>
      <c r="D873" s="1"/>
      <c r="E873" s="1"/>
      <c r="F873" s="1"/>
      <c r="G873" s="1"/>
      <c r="H873" s="1"/>
      <c r="I873" s="1"/>
    </row>
    <row r="874" spans="2:9" ht="15.75" customHeight="1" x14ac:dyDescent="0.25">
      <c r="B874" s="1"/>
      <c r="C874" s="1"/>
      <c r="D874" s="1"/>
      <c r="E874" s="1"/>
      <c r="F874" s="1"/>
      <c r="G874" s="1"/>
      <c r="H874" s="1"/>
      <c r="I874" s="1"/>
    </row>
    <row r="875" spans="2:9" ht="15.75" customHeight="1" x14ac:dyDescent="0.25">
      <c r="B875" s="1"/>
      <c r="C875" s="1"/>
      <c r="D875" s="1"/>
      <c r="E875" s="1"/>
      <c r="F875" s="1"/>
      <c r="G875" s="1"/>
      <c r="H875" s="1"/>
      <c r="I875" s="1"/>
    </row>
    <row r="876" spans="2:9" ht="15.75" customHeight="1" x14ac:dyDescent="0.25">
      <c r="B876" s="1"/>
      <c r="C876" s="1"/>
      <c r="D876" s="1"/>
      <c r="E876" s="1"/>
      <c r="F876" s="1"/>
      <c r="G876" s="1"/>
      <c r="H876" s="1"/>
      <c r="I876" s="1"/>
    </row>
    <row r="877" spans="2:9" ht="15.75" customHeight="1" x14ac:dyDescent="0.25">
      <c r="B877" s="1"/>
      <c r="C877" s="1"/>
      <c r="D877" s="1"/>
      <c r="E877" s="1"/>
      <c r="F877" s="1"/>
      <c r="G877" s="1"/>
      <c r="H877" s="1"/>
      <c r="I877" s="1"/>
    </row>
    <row r="878" spans="2:9" ht="15.75" customHeight="1" x14ac:dyDescent="0.25">
      <c r="B878" s="1"/>
      <c r="C878" s="1"/>
      <c r="D878" s="1"/>
      <c r="E878" s="1"/>
      <c r="F878" s="1"/>
      <c r="G878" s="1"/>
      <c r="H878" s="1"/>
      <c r="I878" s="1"/>
    </row>
    <row r="879" spans="2:9" ht="15.75" customHeight="1" x14ac:dyDescent="0.25">
      <c r="B879" s="1"/>
      <c r="C879" s="1"/>
      <c r="D879" s="1"/>
      <c r="E879" s="1"/>
      <c r="F879" s="1"/>
      <c r="G879" s="1"/>
      <c r="H879" s="1"/>
      <c r="I879" s="1"/>
    </row>
    <row r="880" spans="2:9" ht="15.75" customHeight="1" x14ac:dyDescent="0.25">
      <c r="B880" s="1"/>
      <c r="C880" s="1"/>
      <c r="D880" s="1"/>
      <c r="E880" s="1"/>
      <c r="F880" s="1"/>
      <c r="G880" s="1"/>
      <c r="H880" s="1"/>
      <c r="I880" s="1"/>
    </row>
    <row r="881" spans="2:9" ht="15.75" customHeight="1" x14ac:dyDescent="0.25">
      <c r="B881" s="1"/>
      <c r="C881" s="1"/>
      <c r="D881" s="1"/>
      <c r="E881" s="1"/>
      <c r="F881" s="1"/>
      <c r="G881" s="1"/>
      <c r="H881" s="1"/>
      <c r="I881" s="1"/>
    </row>
    <row r="882" spans="2:9" ht="15.75" customHeight="1" x14ac:dyDescent="0.25">
      <c r="B882" s="1"/>
      <c r="C882" s="1"/>
      <c r="D882" s="1"/>
      <c r="E882" s="1"/>
      <c r="F882" s="1"/>
      <c r="G882" s="1"/>
      <c r="H882" s="1"/>
      <c r="I882" s="1"/>
    </row>
    <row r="883" spans="2:9" ht="15.75" customHeight="1" x14ac:dyDescent="0.25">
      <c r="B883" s="1"/>
      <c r="C883" s="1"/>
      <c r="D883" s="1"/>
      <c r="E883" s="1"/>
      <c r="F883" s="1"/>
      <c r="G883" s="1"/>
      <c r="H883" s="1"/>
      <c r="I883" s="1"/>
    </row>
    <row r="884" spans="2:9" ht="15.75" customHeight="1" x14ac:dyDescent="0.25">
      <c r="B884" s="1"/>
      <c r="C884" s="1"/>
      <c r="D884" s="1"/>
      <c r="E884" s="1"/>
      <c r="F884" s="1"/>
      <c r="G884" s="1"/>
      <c r="H884" s="1"/>
      <c r="I884" s="1"/>
    </row>
    <row r="885" spans="2:9" ht="15.75" customHeight="1" x14ac:dyDescent="0.25">
      <c r="B885" s="1"/>
      <c r="C885" s="1"/>
      <c r="D885" s="1"/>
      <c r="E885" s="1"/>
      <c r="F885" s="1"/>
      <c r="G885" s="1"/>
      <c r="H885" s="1"/>
      <c r="I885" s="1"/>
    </row>
    <row r="886" spans="2:9" ht="15.75" customHeight="1" x14ac:dyDescent="0.25">
      <c r="B886" s="1"/>
      <c r="C886" s="1"/>
      <c r="D886" s="1"/>
      <c r="E886" s="1"/>
      <c r="F886" s="1"/>
      <c r="G886" s="1"/>
      <c r="H886" s="1"/>
      <c r="I886" s="1"/>
    </row>
    <row r="887" spans="2:9" ht="15.75" customHeight="1" x14ac:dyDescent="0.25">
      <c r="B887" s="1"/>
      <c r="C887" s="1"/>
      <c r="D887" s="1"/>
      <c r="E887" s="1"/>
      <c r="F887" s="1"/>
      <c r="G887" s="1"/>
      <c r="H887" s="1"/>
      <c r="I887" s="1"/>
    </row>
    <row r="888" spans="2:9" ht="15.75" customHeight="1" x14ac:dyDescent="0.25">
      <c r="B888" s="1"/>
      <c r="C888" s="1"/>
      <c r="D888" s="1"/>
      <c r="E888" s="1"/>
      <c r="F888" s="1"/>
      <c r="G888" s="1"/>
      <c r="H888" s="1"/>
      <c r="I888" s="1"/>
    </row>
    <row r="889" spans="2:9" ht="15.75" customHeight="1" x14ac:dyDescent="0.25">
      <c r="B889" s="1"/>
      <c r="C889" s="1"/>
      <c r="D889" s="1"/>
      <c r="E889" s="1"/>
      <c r="F889" s="1"/>
      <c r="G889" s="1"/>
      <c r="H889" s="1"/>
      <c r="I889" s="1"/>
    </row>
    <row r="890" spans="2:9" ht="15.75" customHeight="1" x14ac:dyDescent="0.25">
      <c r="B890" s="1"/>
      <c r="C890" s="1"/>
      <c r="D890" s="1"/>
      <c r="E890" s="1"/>
      <c r="F890" s="1"/>
      <c r="G890" s="1"/>
      <c r="H890" s="1"/>
      <c r="I890" s="1"/>
    </row>
    <row r="891" spans="2:9" ht="15.75" customHeight="1" x14ac:dyDescent="0.25">
      <c r="B891" s="1"/>
      <c r="C891" s="1"/>
      <c r="D891" s="1"/>
      <c r="E891" s="1"/>
      <c r="F891" s="1"/>
      <c r="G891" s="1"/>
      <c r="H891" s="1"/>
      <c r="I891" s="1"/>
    </row>
    <row r="892" spans="2:9" ht="15.75" customHeight="1" x14ac:dyDescent="0.25">
      <c r="B892" s="1"/>
      <c r="C892" s="1"/>
      <c r="D892" s="1"/>
      <c r="E892" s="1"/>
      <c r="F892" s="1"/>
      <c r="G892" s="1"/>
      <c r="H892" s="1"/>
      <c r="I892" s="1"/>
    </row>
    <row r="893" spans="2:9" ht="15.75" customHeight="1" x14ac:dyDescent="0.25">
      <c r="B893" s="1"/>
      <c r="C893" s="1"/>
      <c r="D893" s="1"/>
      <c r="E893" s="1"/>
      <c r="F893" s="1"/>
      <c r="G893" s="1"/>
      <c r="H893" s="1"/>
      <c r="I893" s="1"/>
    </row>
    <row r="894" spans="2:9" ht="15.75" customHeight="1" x14ac:dyDescent="0.25">
      <c r="B894" s="1"/>
      <c r="C894" s="1"/>
      <c r="D894" s="1"/>
      <c r="E894" s="1"/>
      <c r="F894" s="1"/>
      <c r="G894" s="1"/>
      <c r="H894" s="1"/>
      <c r="I894" s="1"/>
    </row>
    <row r="895" spans="2:9" ht="15.75" customHeight="1" x14ac:dyDescent="0.25">
      <c r="B895" s="1"/>
      <c r="C895" s="1"/>
      <c r="D895" s="1"/>
      <c r="E895" s="1"/>
      <c r="F895" s="1"/>
      <c r="G895" s="1"/>
      <c r="H895" s="1"/>
      <c r="I895" s="1"/>
    </row>
    <row r="896" spans="2:9" ht="15.75" customHeight="1" x14ac:dyDescent="0.25">
      <c r="B896" s="1"/>
      <c r="C896" s="1"/>
      <c r="D896" s="1"/>
      <c r="E896" s="1"/>
      <c r="F896" s="1"/>
      <c r="G896" s="1"/>
      <c r="H896" s="1"/>
      <c r="I896" s="1"/>
    </row>
    <row r="897" spans="2:9" ht="15.75" customHeight="1" x14ac:dyDescent="0.25">
      <c r="B897" s="1"/>
      <c r="C897" s="1"/>
      <c r="D897" s="1"/>
      <c r="E897" s="1"/>
      <c r="F897" s="1"/>
      <c r="G897" s="1"/>
      <c r="H897" s="1"/>
      <c r="I897" s="1"/>
    </row>
    <row r="898" spans="2:9" ht="15.75" customHeight="1" x14ac:dyDescent="0.25">
      <c r="B898" s="1"/>
      <c r="C898" s="1"/>
      <c r="D898" s="1"/>
      <c r="E898" s="1"/>
      <c r="F898" s="1"/>
      <c r="G898" s="1"/>
      <c r="H898" s="1"/>
      <c r="I898" s="1"/>
    </row>
    <row r="899" spans="2:9" ht="15.75" customHeight="1" x14ac:dyDescent="0.25">
      <c r="B899" s="1"/>
      <c r="C899" s="1"/>
      <c r="D899" s="1"/>
      <c r="E899" s="1"/>
      <c r="F899" s="1"/>
      <c r="G899" s="1"/>
      <c r="H899" s="1"/>
      <c r="I899" s="1"/>
    </row>
    <row r="900" spans="2:9" ht="15.75" customHeight="1" x14ac:dyDescent="0.25">
      <c r="B900" s="1"/>
      <c r="C900" s="1"/>
      <c r="D900" s="1"/>
      <c r="E900" s="1"/>
      <c r="F900" s="1"/>
      <c r="G900" s="1"/>
      <c r="H900" s="1"/>
      <c r="I900" s="1"/>
    </row>
    <row r="901" spans="2:9" ht="15.75" customHeight="1" x14ac:dyDescent="0.25">
      <c r="B901" s="1"/>
      <c r="C901" s="1"/>
      <c r="D901" s="1"/>
      <c r="E901" s="1"/>
      <c r="F901" s="1"/>
      <c r="G901" s="1"/>
      <c r="H901" s="1"/>
      <c r="I901" s="1"/>
    </row>
    <row r="902" spans="2:9" ht="15.75" customHeight="1" x14ac:dyDescent="0.25">
      <c r="B902" s="1"/>
      <c r="C902" s="1"/>
      <c r="D902" s="1"/>
      <c r="E902" s="1"/>
      <c r="F902" s="1"/>
      <c r="G902" s="1"/>
      <c r="H902" s="1"/>
      <c r="I902" s="1"/>
    </row>
    <row r="903" spans="2:9" ht="15.75" customHeight="1" x14ac:dyDescent="0.25">
      <c r="B903" s="1"/>
      <c r="C903" s="1"/>
      <c r="D903" s="1"/>
      <c r="E903" s="1"/>
      <c r="F903" s="1"/>
      <c r="G903" s="1"/>
      <c r="H903" s="1"/>
      <c r="I903" s="1"/>
    </row>
    <row r="904" spans="2:9" ht="15.75" customHeight="1" x14ac:dyDescent="0.25">
      <c r="B904" s="1"/>
      <c r="C904" s="1"/>
      <c r="D904" s="1"/>
      <c r="E904" s="1"/>
      <c r="F904" s="1"/>
      <c r="G904" s="1"/>
      <c r="H904" s="1"/>
      <c r="I904" s="1"/>
    </row>
    <row r="905" spans="2:9" ht="15.75" customHeight="1" x14ac:dyDescent="0.25">
      <c r="B905" s="1"/>
      <c r="C905" s="1"/>
      <c r="D905" s="1"/>
      <c r="E905" s="1"/>
      <c r="F905" s="1"/>
      <c r="G905" s="1"/>
      <c r="H905" s="1"/>
      <c r="I905" s="1"/>
    </row>
    <row r="906" spans="2:9" ht="15.75" customHeight="1" x14ac:dyDescent="0.25">
      <c r="B906" s="1"/>
      <c r="C906" s="1"/>
      <c r="D906" s="1"/>
      <c r="E906" s="1"/>
      <c r="F906" s="1"/>
      <c r="G906" s="1"/>
      <c r="H906" s="1"/>
      <c r="I906" s="1"/>
    </row>
    <row r="907" spans="2:9" ht="15.75" customHeight="1" x14ac:dyDescent="0.25">
      <c r="B907" s="1"/>
      <c r="C907" s="1"/>
      <c r="D907" s="1"/>
      <c r="E907" s="1"/>
      <c r="F907" s="1"/>
      <c r="G907" s="1"/>
      <c r="H907" s="1"/>
      <c r="I907" s="1"/>
    </row>
    <row r="908" spans="2:9" ht="15.75" customHeight="1" x14ac:dyDescent="0.25">
      <c r="B908" s="1"/>
      <c r="C908" s="1"/>
      <c r="D908" s="1"/>
      <c r="E908" s="1"/>
      <c r="F908" s="1"/>
      <c r="G908" s="1"/>
      <c r="H908" s="1"/>
      <c r="I908" s="1"/>
    </row>
    <row r="909" spans="2:9" ht="15.75" customHeight="1" x14ac:dyDescent="0.25">
      <c r="B909" s="1"/>
      <c r="C909" s="1"/>
      <c r="D909" s="1"/>
      <c r="E909" s="1"/>
      <c r="F909" s="1"/>
      <c r="G909" s="1"/>
      <c r="H909" s="1"/>
      <c r="I909" s="1"/>
    </row>
    <row r="910" spans="2:9" ht="15.75" customHeight="1" x14ac:dyDescent="0.25">
      <c r="B910" s="1"/>
      <c r="C910" s="1"/>
      <c r="D910" s="1"/>
      <c r="E910" s="1"/>
      <c r="F910" s="1"/>
      <c r="G910" s="1"/>
      <c r="H910" s="1"/>
      <c r="I910" s="1"/>
    </row>
    <row r="911" spans="2:9" ht="15.75" customHeight="1" x14ac:dyDescent="0.25">
      <c r="B911" s="1"/>
      <c r="C911" s="1"/>
      <c r="D911" s="1"/>
      <c r="E911" s="1"/>
      <c r="F911" s="1"/>
      <c r="G911" s="1"/>
      <c r="H911" s="1"/>
      <c r="I911" s="1"/>
    </row>
    <row r="912" spans="2:9" ht="15.75" customHeight="1" x14ac:dyDescent="0.25">
      <c r="B912" s="1"/>
      <c r="C912" s="1"/>
      <c r="D912" s="1"/>
      <c r="E912" s="1"/>
      <c r="F912" s="1"/>
      <c r="G912" s="1"/>
      <c r="H912" s="1"/>
      <c r="I912" s="1"/>
    </row>
    <row r="913" spans="2:9" ht="15.75" customHeight="1" x14ac:dyDescent="0.25">
      <c r="B913" s="1"/>
      <c r="C913" s="1"/>
      <c r="D913" s="1"/>
      <c r="E913" s="1"/>
      <c r="F913" s="1"/>
      <c r="G913" s="1"/>
      <c r="H913" s="1"/>
      <c r="I913" s="1"/>
    </row>
    <row r="914" spans="2:9" ht="15.75" customHeight="1" x14ac:dyDescent="0.25">
      <c r="B914" s="1"/>
      <c r="C914" s="1"/>
      <c r="D914" s="1"/>
      <c r="E914" s="1"/>
      <c r="F914" s="1"/>
      <c r="G914" s="1"/>
      <c r="H914" s="1"/>
      <c r="I914" s="1"/>
    </row>
    <row r="915" spans="2:9" ht="15.75" customHeight="1" x14ac:dyDescent="0.25">
      <c r="B915" s="1"/>
      <c r="C915" s="1"/>
      <c r="D915" s="1"/>
      <c r="E915" s="1"/>
      <c r="F915" s="1"/>
      <c r="G915" s="1"/>
      <c r="H915" s="1"/>
      <c r="I915" s="1"/>
    </row>
    <row r="916" spans="2:9" ht="15.75" customHeight="1" x14ac:dyDescent="0.25">
      <c r="B916" s="1"/>
      <c r="C916" s="1"/>
      <c r="D916" s="1"/>
      <c r="E916" s="1"/>
      <c r="F916" s="1"/>
      <c r="G916" s="1"/>
      <c r="H916" s="1"/>
      <c r="I916" s="1"/>
    </row>
    <row r="917" spans="2:9" ht="15.75" customHeight="1" x14ac:dyDescent="0.25">
      <c r="B917" s="1"/>
      <c r="C917" s="1"/>
      <c r="D917" s="1"/>
      <c r="E917" s="1"/>
      <c r="F917" s="1"/>
      <c r="G917" s="1"/>
      <c r="H917" s="1"/>
      <c r="I917" s="1"/>
    </row>
    <row r="918" spans="2:9" ht="15.75" customHeight="1" x14ac:dyDescent="0.25">
      <c r="B918" s="1"/>
      <c r="C918" s="1"/>
      <c r="D918" s="1"/>
      <c r="E918" s="1"/>
      <c r="F918" s="1"/>
      <c r="G918" s="1"/>
      <c r="H918" s="1"/>
      <c r="I918" s="1"/>
    </row>
    <row r="919" spans="2:9" ht="15.75" customHeight="1" x14ac:dyDescent="0.25">
      <c r="B919" s="1"/>
      <c r="C919" s="1"/>
      <c r="D919" s="1"/>
      <c r="E919" s="1"/>
      <c r="F919" s="1"/>
      <c r="G919" s="1"/>
      <c r="H919" s="1"/>
      <c r="I919" s="1"/>
    </row>
    <row r="920" spans="2:9" ht="15.75" customHeight="1" x14ac:dyDescent="0.25">
      <c r="B920" s="1"/>
      <c r="C920" s="1"/>
      <c r="D920" s="1"/>
      <c r="E920" s="1"/>
      <c r="F920" s="1"/>
      <c r="G920" s="1"/>
      <c r="H920" s="1"/>
      <c r="I920" s="1"/>
    </row>
    <row r="921" spans="2:9" ht="15.75" customHeight="1" x14ac:dyDescent="0.25">
      <c r="B921" s="1"/>
      <c r="C921" s="1"/>
      <c r="D921" s="1"/>
      <c r="E921" s="1"/>
      <c r="F921" s="1"/>
      <c r="G921" s="1"/>
      <c r="H921" s="1"/>
      <c r="I921" s="1"/>
    </row>
    <row r="922" spans="2:9" ht="15.75" customHeight="1" x14ac:dyDescent="0.25">
      <c r="B922" s="1"/>
      <c r="C922" s="1"/>
      <c r="D922" s="1"/>
      <c r="E922" s="1"/>
      <c r="F922" s="1"/>
      <c r="G922" s="1"/>
      <c r="H922" s="1"/>
      <c r="I922" s="1"/>
    </row>
    <row r="923" spans="2:9" ht="15.75" customHeight="1" x14ac:dyDescent="0.25">
      <c r="B923" s="1"/>
      <c r="C923" s="1"/>
      <c r="D923" s="1"/>
      <c r="E923" s="1"/>
      <c r="F923" s="1"/>
      <c r="G923" s="1"/>
      <c r="H923" s="1"/>
      <c r="I923" s="1"/>
    </row>
    <row r="924" spans="2:9" ht="15.75" customHeight="1" x14ac:dyDescent="0.25">
      <c r="B924" s="1"/>
      <c r="C924" s="1"/>
      <c r="D924" s="1"/>
      <c r="E924" s="1"/>
      <c r="F924" s="1"/>
      <c r="G924" s="1"/>
      <c r="H924" s="1"/>
      <c r="I924" s="1"/>
    </row>
    <row r="925" spans="2:9" ht="15.75" customHeight="1" x14ac:dyDescent="0.25">
      <c r="B925" s="1"/>
      <c r="C925" s="1"/>
      <c r="D925" s="1"/>
      <c r="E925" s="1"/>
      <c r="F925" s="1"/>
      <c r="G925" s="1"/>
      <c r="H925" s="1"/>
      <c r="I925" s="1"/>
    </row>
    <row r="926" spans="2:9" ht="15.75" customHeight="1" x14ac:dyDescent="0.25">
      <c r="B926" s="1"/>
      <c r="C926" s="1"/>
      <c r="D926" s="1"/>
      <c r="E926" s="1"/>
      <c r="F926" s="1"/>
      <c r="G926" s="1"/>
      <c r="H926" s="1"/>
      <c r="I926" s="1"/>
    </row>
    <row r="927" spans="2:9" ht="15.75" customHeight="1" x14ac:dyDescent="0.25">
      <c r="B927" s="1"/>
      <c r="C927" s="1"/>
      <c r="D927" s="1"/>
      <c r="E927" s="1"/>
      <c r="F927" s="1"/>
      <c r="G927" s="1"/>
      <c r="H927" s="1"/>
      <c r="I927" s="1"/>
    </row>
    <row r="928" spans="2:9" ht="15.75" customHeight="1" x14ac:dyDescent="0.25">
      <c r="B928" s="1"/>
      <c r="C928" s="1"/>
      <c r="D928" s="1"/>
      <c r="E928" s="1"/>
      <c r="F928" s="1"/>
      <c r="G928" s="1"/>
      <c r="H928" s="1"/>
      <c r="I928" s="1"/>
    </row>
    <row r="929" spans="2:9" ht="15.75" customHeight="1" x14ac:dyDescent="0.25">
      <c r="B929" s="1"/>
      <c r="C929" s="1"/>
      <c r="D929" s="1"/>
      <c r="E929" s="1"/>
      <c r="F929" s="1"/>
      <c r="G929" s="1"/>
      <c r="H929" s="1"/>
      <c r="I929" s="1"/>
    </row>
    <row r="930" spans="2:9" ht="15.75" customHeight="1" x14ac:dyDescent="0.25">
      <c r="B930" s="1"/>
      <c r="C930" s="1"/>
      <c r="D930" s="1"/>
      <c r="E930" s="1"/>
      <c r="F930" s="1"/>
      <c r="G930" s="1"/>
      <c r="H930" s="1"/>
      <c r="I930" s="1"/>
    </row>
    <row r="931" spans="2:9" ht="15.75" customHeight="1" x14ac:dyDescent="0.25">
      <c r="B931" s="1"/>
      <c r="C931" s="1"/>
      <c r="D931" s="1"/>
      <c r="E931" s="1"/>
      <c r="F931" s="1"/>
      <c r="G931" s="1"/>
      <c r="H931" s="1"/>
      <c r="I931" s="1"/>
    </row>
    <row r="932" spans="2:9" ht="15.75" customHeight="1" x14ac:dyDescent="0.25">
      <c r="B932" s="1"/>
      <c r="C932" s="1"/>
      <c r="D932" s="1"/>
      <c r="E932" s="1"/>
      <c r="F932" s="1"/>
      <c r="G932" s="1"/>
      <c r="H932" s="1"/>
      <c r="I932" s="1"/>
    </row>
    <row r="933" spans="2:9" ht="15.75" customHeight="1" x14ac:dyDescent="0.25">
      <c r="B933" s="1"/>
      <c r="C933" s="1"/>
      <c r="D933" s="1"/>
      <c r="E933" s="1"/>
      <c r="F933" s="1"/>
      <c r="G933" s="1"/>
      <c r="H933" s="1"/>
      <c r="I933" s="1"/>
    </row>
    <row r="934" spans="2:9" ht="15.75" customHeight="1" x14ac:dyDescent="0.25">
      <c r="B934" s="1"/>
      <c r="C934" s="1"/>
      <c r="D934" s="1"/>
      <c r="E934" s="1"/>
      <c r="F934" s="1"/>
      <c r="G934" s="1"/>
      <c r="H934" s="1"/>
      <c r="I934" s="1"/>
    </row>
    <row r="935" spans="2:9" ht="15.75" customHeight="1" x14ac:dyDescent="0.25">
      <c r="B935" s="1"/>
      <c r="C935" s="1"/>
      <c r="D935" s="1"/>
      <c r="E935" s="1"/>
      <c r="F935" s="1"/>
      <c r="G935" s="1"/>
      <c r="H935" s="1"/>
      <c r="I935" s="1"/>
    </row>
    <row r="936" spans="2:9" ht="15.75" customHeight="1" x14ac:dyDescent="0.25">
      <c r="B936" s="1"/>
      <c r="C936" s="1"/>
      <c r="D936" s="1"/>
      <c r="E936" s="1"/>
      <c r="F936" s="1"/>
      <c r="G936" s="1"/>
      <c r="H936" s="1"/>
      <c r="I936" s="1"/>
    </row>
    <row r="937" spans="2:9" ht="15.75" customHeight="1" x14ac:dyDescent="0.25">
      <c r="B937" s="1"/>
      <c r="C937" s="1"/>
      <c r="D937" s="1"/>
      <c r="E937" s="1"/>
      <c r="F937" s="1"/>
      <c r="G937" s="1"/>
      <c r="H937" s="1"/>
      <c r="I937" s="1"/>
    </row>
    <row r="938" spans="2:9" ht="15.75" customHeight="1" x14ac:dyDescent="0.25">
      <c r="B938" s="1"/>
      <c r="C938" s="1"/>
      <c r="D938" s="1"/>
      <c r="E938" s="1"/>
      <c r="F938" s="1"/>
      <c r="G938" s="1"/>
      <c r="H938" s="1"/>
      <c r="I938" s="1"/>
    </row>
    <row r="939" spans="2:9" ht="15.75" customHeight="1" x14ac:dyDescent="0.25">
      <c r="B939" s="1"/>
      <c r="C939" s="1"/>
      <c r="D939" s="1"/>
      <c r="E939" s="1"/>
      <c r="F939" s="1"/>
      <c r="G939" s="1"/>
      <c r="H939" s="1"/>
      <c r="I939" s="1"/>
    </row>
    <row r="940" spans="2:9" ht="15.75" customHeight="1" x14ac:dyDescent="0.25">
      <c r="B940" s="1"/>
      <c r="C940" s="1"/>
      <c r="D940" s="1"/>
      <c r="E940" s="1"/>
      <c r="F940" s="1"/>
      <c r="G940" s="1"/>
      <c r="H940" s="1"/>
      <c r="I940" s="1"/>
    </row>
    <row r="941" spans="2:9" ht="15.75" customHeight="1" x14ac:dyDescent="0.25">
      <c r="B941" s="1"/>
      <c r="C941" s="1"/>
      <c r="D941" s="1"/>
      <c r="E941" s="1"/>
      <c r="F941" s="1"/>
      <c r="G941" s="1"/>
      <c r="H941" s="1"/>
      <c r="I941" s="1"/>
    </row>
    <row r="942" spans="2:9" ht="15.75" customHeight="1" x14ac:dyDescent="0.25">
      <c r="B942" s="1"/>
      <c r="C942" s="1"/>
      <c r="D942" s="1"/>
      <c r="E942" s="1"/>
      <c r="F942" s="1"/>
      <c r="G942" s="1"/>
      <c r="H942" s="1"/>
      <c r="I942" s="1"/>
    </row>
    <row r="943" spans="2:9" ht="15.75" customHeight="1" x14ac:dyDescent="0.25">
      <c r="B943" s="1"/>
      <c r="C943" s="1"/>
      <c r="D943" s="1"/>
      <c r="E943" s="1"/>
      <c r="F943" s="1"/>
      <c r="G943" s="1"/>
      <c r="H943" s="1"/>
      <c r="I943" s="1"/>
    </row>
    <row r="944" spans="2:9" ht="15.75" customHeight="1" x14ac:dyDescent="0.25">
      <c r="B944" s="1"/>
      <c r="C944" s="1"/>
      <c r="D944" s="1"/>
      <c r="E944" s="1"/>
      <c r="F944" s="1"/>
      <c r="G944" s="1"/>
      <c r="H944" s="1"/>
      <c r="I944" s="1"/>
    </row>
    <row r="945" spans="2:9" ht="15.75" customHeight="1" x14ac:dyDescent="0.25">
      <c r="B945" s="1"/>
      <c r="C945" s="1"/>
      <c r="D945" s="1"/>
      <c r="E945" s="1"/>
      <c r="F945" s="1"/>
      <c r="G945" s="1"/>
      <c r="H945" s="1"/>
      <c r="I945" s="1"/>
    </row>
    <row r="946" spans="2:9" ht="15.75" customHeight="1" x14ac:dyDescent="0.25">
      <c r="B946" s="1"/>
      <c r="C946" s="1"/>
      <c r="D946" s="1"/>
      <c r="E946" s="1"/>
      <c r="F946" s="1"/>
      <c r="G946" s="1"/>
      <c r="H946" s="1"/>
      <c r="I946" s="1"/>
    </row>
    <row r="947" spans="2:9" ht="15.75" customHeight="1" x14ac:dyDescent="0.25">
      <c r="B947" s="1"/>
      <c r="C947" s="1"/>
      <c r="D947" s="1"/>
      <c r="E947" s="1"/>
      <c r="F947" s="1"/>
      <c r="G947" s="1"/>
      <c r="H947" s="1"/>
      <c r="I947" s="1"/>
    </row>
    <row r="948" spans="2:9" ht="15.75" customHeight="1" x14ac:dyDescent="0.25">
      <c r="B948" s="1"/>
      <c r="C948" s="1"/>
      <c r="D948" s="1"/>
      <c r="E948" s="1"/>
      <c r="F948" s="1"/>
      <c r="G948" s="1"/>
      <c r="H948" s="1"/>
      <c r="I948" s="1"/>
    </row>
    <row r="949" spans="2:9" ht="15.75" customHeight="1" x14ac:dyDescent="0.25">
      <c r="B949" s="1"/>
      <c r="C949" s="1"/>
      <c r="D949" s="1"/>
      <c r="E949" s="1"/>
      <c r="F949" s="1"/>
      <c r="G949" s="1"/>
      <c r="H949" s="1"/>
      <c r="I949" s="1"/>
    </row>
    <row r="950" spans="2:9" ht="15.75" customHeight="1" x14ac:dyDescent="0.25">
      <c r="B950" s="1"/>
      <c r="C950" s="1"/>
      <c r="D950" s="1"/>
      <c r="E950" s="1"/>
      <c r="F950" s="1"/>
      <c r="G950" s="1"/>
      <c r="H950" s="1"/>
      <c r="I950" s="1"/>
    </row>
    <row r="951" spans="2:9" ht="15.75" customHeight="1" x14ac:dyDescent="0.25">
      <c r="B951" s="1"/>
      <c r="C951" s="1"/>
      <c r="D951" s="1"/>
      <c r="E951" s="1"/>
      <c r="F951" s="1"/>
      <c r="G951" s="1"/>
      <c r="H951" s="1"/>
      <c r="I951" s="1"/>
    </row>
    <row r="952" spans="2:9" ht="15.75" customHeight="1" x14ac:dyDescent="0.25">
      <c r="B952" s="1"/>
      <c r="C952" s="1"/>
      <c r="D952" s="1"/>
      <c r="E952" s="1"/>
      <c r="F952" s="1"/>
      <c r="G952" s="1"/>
      <c r="H952" s="1"/>
      <c r="I952" s="1"/>
    </row>
    <row r="953" spans="2:9" ht="15.75" customHeight="1" x14ac:dyDescent="0.25">
      <c r="B953" s="1"/>
      <c r="C953" s="1"/>
      <c r="D953" s="1"/>
      <c r="E953" s="1"/>
      <c r="F953" s="1"/>
      <c r="G953" s="1"/>
      <c r="H953" s="1"/>
      <c r="I953" s="1"/>
    </row>
    <row r="954" spans="2:9" ht="15.75" customHeight="1" x14ac:dyDescent="0.25">
      <c r="B954" s="1"/>
      <c r="C954" s="1"/>
      <c r="D954" s="1"/>
      <c r="E954" s="1"/>
      <c r="F954" s="1"/>
      <c r="G954" s="1"/>
      <c r="H954" s="1"/>
      <c r="I954" s="1"/>
    </row>
    <row r="955" spans="2:9" ht="15.75" customHeight="1" x14ac:dyDescent="0.25">
      <c r="B955" s="1"/>
      <c r="C955" s="1"/>
      <c r="D955" s="1"/>
      <c r="E955" s="1"/>
      <c r="F955" s="1"/>
      <c r="G955" s="1"/>
      <c r="H955" s="1"/>
      <c r="I955" s="1"/>
    </row>
    <row r="956" spans="2:9" ht="15.75" customHeight="1" x14ac:dyDescent="0.25">
      <c r="B956" s="1"/>
      <c r="C956" s="1"/>
      <c r="D956" s="1"/>
      <c r="E956" s="1"/>
      <c r="F956" s="1"/>
      <c r="G956" s="1"/>
      <c r="H956" s="1"/>
      <c r="I956" s="1"/>
    </row>
    <row r="957" spans="2:9" ht="15.75" customHeight="1" x14ac:dyDescent="0.25">
      <c r="B957" s="1"/>
      <c r="C957" s="1"/>
      <c r="D957" s="1"/>
      <c r="E957" s="1"/>
      <c r="F957" s="1"/>
      <c r="G957" s="1"/>
      <c r="H957" s="1"/>
      <c r="I957" s="1"/>
    </row>
    <row r="958" spans="2:9" ht="15.75" customHeight="1" x14ac:dyDescent="0.25">
      <c r="B958" s="1"/>
      <c r="C958" s="1"/>
      <c r="D958" s="1"/>
      <c r="E958" s="1"/>
      <c r="F958" s="1"/>
      <c r="G958" s="1"/>
      <c r="H958" s="1"/>
      <c r="I958" s="1"/>
    </row>
    <row r="959" spans="2:9" ht="15.75" customHeight="1" x14ac:dyDescent="0.25">
      <c r="B959" s="1"/>
      <c r="C959" s="1"/>
      <c r="D959" s="1"/>
      <c r="E959" s="1"/>
      <c r="F959" s="1"/>
      <c r="G959" s="1"/>
      <c r="H959" s="1"/>
      <c r="I959" s="1"/>
    </row>
    <row r="960" spans="2:9" ht="15.75" customHeight="1" x14ac:dyDescent="0.25">
      <c r="B960" s="1"/>
      <c r="C960" s="1"/>
      <c r="D960" s="1"/>
      <c r="E960" s="1"/>
      <c r="F960" s="1"/>
      <c r="G960" s="1"/>
      <c r="H960" s="1"/>
      <c r="I960" s="1"/>
    </row>
    <row r="961" spans="2:9" ht="15.75" customHeight="1" x14ac:dyDescent="0.25">
      <c r="B961" s="1"/>
      <c r="C961" s="1"/>
      <c r="D961" s="1"/>
      <c r="E961" s="1"/>
      <c r="F961" s="1"/>
      <c r="G961" s="1"/>
      <c r="H961" s="1"/>
      <c r="I961" s="1"/>
    </row>
    <row r="962" spans="2:9" ht="15.75" customHeight="1" x14ac:dyDescent="0.25">
      <c r="B962" s="1"/>
      <c r="C962" s="1"/>
      <c r="D962" s="1"/>
      <c r="E962" s="1"/>
      <c r="F962" s="1"/>
      <c r="G962" s="1"/>
      <c r="H962" s="1"/>
      <c r="I962" s="1"/>
    </row>
    <row r="963" spans="2:9" ht="15.75" customHeight="1" x14ac:dyDescent="0.25">
      <c r="B963" s="1"/>
      <c r="C963" s="1"/>
      <c r="D963" s="1"/>
      <c r="E963" s="1"/>
      <c r="F963" s="1"/>
      <c r="G963" s="1"/>
      <c r="H963" s="1"/>
      <c r="I963" s="1"/>
    </row>
    <row r="964" spans="2:9" ht="15.75" customHeight="1" x14ac:dyDescent="0.25">
      <c r="B964" s="1"/>
      <c r="C964" s="1"/>
      <c r="D964" s="1"/>
      <c r="E964" s="1"/>
      <c r="F964" s="1"/>
      <c r="G964" s="1"/>
      <c r="H964" s="1"/>
      <c r="I964" s="1"/>
    </row>
    <row r="965" spans="2:9" ht="15.75" customHeight="1" x14ac:dyDescent="0.25">
      <c r="B965" s="1"/>
      <c r="C965" s="1"/>
      <c r="D965" s="1"/>
      <c r="E965" s="1"/>
      <c r="F965" s="1"/>
      <c r="G965" s="1"/>
      <c r="H965" s="1"/>
      <c r="I965" s="1"/>
    </row>
    <row r="966" spans="2:9" ht="15.75" customHeight="1" x14ac:dyDescent="0.25">
      <c r="B966" s="1"/>
      <c r="C966" s="1"/>
      <c r="D966" s="1"/>
      <c r="E966" s="1"/>
      <c r="F966" s="1"/>
      <c r="G966" s="1"/>
      <c r="H966" s="1"/>
      <c r="I966" s="1"/>
    </row>
    <row r="967" spans="2:9" ht="15.75" customHeight="1" x14ac:dyDescent="0.25">
      <c r="B967" s="1"/>
      <c r="C967" s="1"/>
      <c r="D967" s="1"/>
      <c r="E967" s="1"/>
      <c r="F967" s="1"/>
      <c r="G967" s="1"/>
      <c r="H967" s="1"/>
      <c r="I967" s="1"/>
    </row>
    <row r="968" spans="2:9" ht="15.75" customHeight="1" x14ac:dyDescent="0.25">
      <c r="B968" s="1"/>
      <c r="C968" s="1"/>
      <c r="D968" s="1"/>
      <c r="E968" s="1"/>
      <c r="F968" s="1"/>
      <c r="G968" s="1"/>
      <c r="H968" s="1"/>
      <c r="I968" s="1"/>
    </row>
    <row r="969" spans="2:9" ht="15.75" customHeight="1" x14ac:dyDescent="0.25">
      <c r="B969" s="1"/>
      <c r="C969" s="1"/>
      <c r="D969" s="1"/>
      <c r="E969" s="1"/>
      <c r="F969" s="1"/>
      <c r="G969" s="1"/>
      <c r="H969" s="1"/>
      <c r="I969" s="1"/>
    </row>
    <row r="970" spans="2:9" ht="15.75" customHeight="1" x14ac:dyDescent="0.25">
      <c r="B970" s="1"/>
      <c r="C970" s="1"/>
      <c r="D970" s="1"/>
      <c r="E970" s="1"/>
      <c r="F970" s="1"/>
      <c r="G970" s="1"/>
      <c r="H970" s="1"/>
      <c r="I970" s="1"/>
    </row>
    <row r="971" spans="2:9" ht="15.75" customHeight="1" x14ac:dyDescent="0.25">
      <c r="B971" s="1"/>
      <c r="C971" s="1"/>
      <c r="D971" s="1"/>
      <c r="E971" s="1"/>
      <c r="F971" s="1"/>
      <c r="G971" s="1"/>
      <c r="H971" s="1"/>
      <c r="I971" s="1"/>
    </row>
    <row r="972" spans="2:9" ht="15.75" customHeight="1" x14ac:dyDescent="0.25">
      <c r="B972" s="1"/>
      <c r="C972" s="1"/>
      <c r="D972" s="1"/>
      <c r="E972" s="1"/>
      <c r="F972" s="1"/>
      <c r="G972" s="1"/>
      <c r="H972" s="1"/>
      <c r="I972" s="1"/>
    </row>
    <row r="973" spans="2:9" ht="15.75" customHeight="1" x14ac:dyDescent="0.25">
      <c r="B973" s="1"/>
      <c r="C973" s="1"/>
      <c r="D973" s="1"/>
      <c r="E973" s="1"/>
      <c r="F973" s="1"/>
      <c r="G973" s="1"/>
      <c r="H973" s="1"/>
      <c r="I973" s="1"/>
    </row>
    <row r="974" spans="2:9" ht="15.75" customHeight="1" x14ac:dyDescent="0.25">
      <c r="B974" s="1"/>
      <c r="C974" s="1"/>
      <c r="D974" s="1"/>
      <c r="E974" s="1"/>
      <c r="F974" s="1"/>
      <c r="G974" s="1"/>
      <c r="H974" s="1"/>
      <c r="I974" s="1"/>
    </row>
    <row r="975" spans="2:9" ht="15.75" customHeight="1" x14ac:dyDescent="0.25">
      <c r="B975" s="1"/>
      <c r="C975" s="1"/>
      <c r="D975" s="1"/>
      <c r="E975" s="1"/>
      <c r="F975" s="1"/>
      <c r="G975" s="1"/>
      <c r="H975" s="1"/>
      <c r="I975" s="1"/>
    </row>
    <row r="976" spans="2:9" ht="15.75" customHeight="1" x14ac:dyDescent="0.25">
      <c r="B976" s="1"/>
      <c r="C976" s="1"/>
      <c r="D976" s="1"/>
      <c r="E976" s="1"/>
      <c r="F976" s="1"/>
      <c r="G976" s="1"/>
      <c r="H976" s="1"/>
      <c r="I976" s="1"/>
    </row>
    <row r="977" spans="2:9" ht="15.75" customHeight="1" x14ac:dyDescent="0.25">
      <c r="B977" s="1"/>
      <c r="C977" s="1"/>
      <c r="D977" s="1"/>
      <c r="E977" s="1"/>
      <c r="F977" s="1"/>
      <c r="G977" s="1"/>
      <c r="H977" s="1"/>
      <c r="I977" s="1"/>
    </row>
    <row r="978" spans="2:9" ht="15.75" customHeight="1" x14ac:dyDescent="0.25">
      <c r="B978" s="1"/>
      <c r="C978" s="1"/>
      <c r="D978" s="1"/>
      <c r="E978" s="1"/>
      <c r="F978" s="1"/>
      <c r="G978" s="1"/>
      <c r="H978" s="1"/>
      <c r="I978" s="1"/>
    </row>
    <row r="979" spans="2:9" ht="15.75" customHeight="1" x14ac:dyDescent="0.25">
      <c r="B979" s="1"/>
      <c r="C979" s="1"/>
      <c r="D979" s="1"/>
      <c r="E979" s="1"/>
      <c r="F979" s="1"/>
      <c r="G979" s="1"/>
      <c r="H979" s="1"/>
      <c r="I979" s="1"/>
    </row>
    <row r="980" spans="2:9" ht="15.75" customHeight="1" x14ac:dyDescent="0.25">
      <c r="B980" s="1"/>
      <c r="C980" s="1"/>
      <c r="D980" s="1"/>
      <c r="E980" s="1"/>
      <c r="F980" s="1"/>
      <c r="G980" s="1"/>
      <c r="H980" s="1"/>
      <c r="I980" s="1"/>
    </row>
    <row r="981" spans="2:9" ht="15.75" customHeight="1" x14ac:dyDescent="0.25">
      <c r="B981" s="1"/>
      <c r="C981" s="1"/>
      <c r="D981" s="1"/>
      <c r="E981" s="1"/>
      <c r="F981" s="1"/>
      <c r="G981" s="1"/>
      <c r="H981" s="1"/>
      <c r="I981" s="1"/>
    </row>
    <row r="982" spans="2:9" ht="15.75" customHeight="1" x14ac:dyDescent="0.25">
      <c r="B982" s="1"/>
      <c r="C982" s="1"/>
      <c r="D982" s="1"/>
      <c r="E982" s="1"/>
      <c r="F982" s="1"/>
      <c r="G982" s="1"/>
      <c r="H982" s="1"/>
      <c r="I982" s="1"/>
    </row>
    <row r="983" spans="2:9" ht="15.75" customHeight="1" x14ac:dyDescent="0.25">
      <c r="B983" s="1"/>
      <c r="C983" s="1"/>
      <c r="D983" s="1"/>
      <c r="E983" s="1"/>
      <c r="F983" s="1"/>
      <c r="G983" s="1"/>
      <c r="H983" s="1"/>
      <c r="I983" s="1"/>
    </row>
    <row r="984" spans="2:9" ht="15.75" customHeight="1" x14ac:dyDescent="0.25">
      <c r="B984" s="1"/>
      <c r="C984" s="1"/>
      <c r="D984" s="1"/>
      <c r="E984" s="1"/>
      <c r="F984" s="1"/>
      <c r="G984" s="1"/>
      <c r="H984" s="1"/>
      <c r="I984" s="1"/>
    </row>
    <row r="985" spans="2:9" ht="15.75" customHeight="1" x14ac:dyDescent="0.25">
      <c r="B985" s="1"/>
      <c r="C985" s="1"/>
      <c r="D985" s="1"/>
      <c r="E985" s="1"/>
      <c r="F985" s="1"/>
      <c r="G985" s="1"/>
      <c r="H985" s="1"/>
      <c r="I985" s="1"/>
    </row>
    <row r="986" spans="2:9" ht="15.75" customHeight="1" x14ac:dyDescent="0.25">
      <c r="B986" s="1"/>
      <c r="C986" s="1"/>
      <c r="D986" s="1"/>
      <c r="E986" s="1"/>
      <c r="F986" s="1"/>
      <c r="G986" s="1"/>
      <c r="H986" s="1"/>
      <c r="I986" s="1"/>
    </row>
    <row r="987" spans="2:9" ht="15.75" customHeight="1" x14ac:dyDescent="0.25">
      <c r="B987" s="1"/>
      <c r="C987" s="1"/>
      <c r="D987" s="1"/>
      <c r="E987" s="1"/>
      <c r="F987" s="1"/>
      <c r="G987" s="1"/>
      <c r="H987" s="1"/>
      <c r="I987" s="1"/>
    </row>
    <row r="988" spans="2:9" ht="15.75" customHeight="1" x14ac:dyDescent="0.25">
      <c r="B988" s="1"/>
      <c r="C988" s="1"/>
      <c r="D988" s="1"/>
      <c r="E988" s="1"/>
      <c r="F988" s="1"/>
      <c r="G988" s="1"/>
      <c r="H988" s="1"/>
      <c r="I988" s="1"/>
    </row>
    <row r="989" spans="2:9" ht="15.75" customHeight="1" x14ac:dyDescent="0.25">
      <c r="B989" s="1"/>
      <c r="C989" s="1"/>
      <c r="D989" s="1"/>
      <c r="E989" s="1"/>
      <c r="F989" s="1"/>
      <c r="G989" s="1"/>
      <c r="H989" s="1"/>
      <c r="I989" s="1"/>
    </row>
    <row r="990" spans="2:9" ht="15.75" customHeight="1" x14ac:dyDescent="0.25">
      <c r="B990" s="1"/>
      <c r="C990" s="1"/>
      <c r="D990" s="1"/>
      <c r="E990" s="1"/>
      <c r="F990" s="1"/>
      <c r="G990" s="1"/>
      <c r="H990" s="1"/>
      <c r="I990" s="1"/>
    </row>
    <row r="991" spans="2:9" ht="15.75" customHeight="1" x14ac:dyDescent="0.25">
      <c r="B991" s="1"/>
      <c r="C991" s="1"/>
      <c r="D991" s="1"/>
      <c r="E991" s="1"/>
      <c r="F991" s="1"/>
      <c r="G991" s="1"/>
      <c r="H991" s="1"/>
      <c r="I991" s="1"/>
    </row>
    <row r="992" spans="2:9" ht="15.75" customHeight="1" x14ac:dyDescent="0.25">
      <c r="B992" s="1"/>
      <c r="C992" s="1"/>
      <c r="D992" s="1"/>
      <c r="E992" s="1"/>
      <c r="F992" s="1"/>
      <c r="G992" s="1"/>
      <c r="H992" s="1"/>
      <c r="I992" s="1"/>
    </row>
    <row r="993" spans="2:9" ht="15.75" customHeight="1" x14ac:dyDescent="0.25">
      <c r="B993" s="1"/>
      <c r="C993" s="1"/>
      <c r="D993" s="1"/>
      <c r="E993" s="1"/>
      <c r="F993" s="1"/>
      <c r="G993" s="1"/>
      <c r="H993" s="1"/>
      <c r="I993" s="1"/>
    </row>
    <row r="994" spans="2:9" ht="15.75" customHeight="1" x14ac:dyDescent="0.25">
      <c r="B994" s="1"/>
      <c r="C994" s="1"/>
      <c r="D994" s="1"/>
      <c r="E994" s="1"/>
      <c r="F994" s="1"/>
      <c r="G994" s="1"/>
      <c r="H994" s="1"/>
      <c r="I994" s="1"/>
    </row>
    <row r="995" spans="2:9" ht="15.75" customHeight="1" x14ac:dyDescent="0.25">
      <c r="B995" s="1"/>
      <c r="C995" s="1"/>
      <c r="D995" s="1"/>
      <c r="E995" s="1"/>
      <c r="F995" s="1"/>
      <c r="G995" s="1"/>
      <c r="H995" s="1"/>
      <c r="I995" s="1"/>
    </row>
    <row r="996" spans="2:9" ht="15.75" customHeight="1" x14ac:dyDescent="0.25">
      <c r="B996" s="1"/>
      <c r="C996" s="1"/>
      <c r="D996" s="1"/>
      <c r="E996" s="1"/>
      <c r="F996" s="1"/>
      <c r="G996" s="1"/>
      <c r="H996" s="1"/>
      <c r="I996" s="1"/>
    </row>
    <row r="997" spans="2:9" ht="15.75" customHeight="1" x14ac:dyDescent="0.25">
      <c r="B997" s="1"/>
      <c r="C997" s="1"/>
      <c r="D997" s="1"/>
      <c r="E997" s="1"/>
      <c r="F997" s="1"/>
      <c r="G997" s="1"/>
      <c r="H997" s="1"/>
      <c r="I997" s="1"/>
    </row>
    <row r="998" spans="2:9" ht="15.75" customHeight="1" x14ac:dyDescent="0.25">
      <c r="B998" s="1"/>
      <c r="C998" s="1"/>
      <c r="D998" s="1"/>
      <c r="E998" s="1"/>
      <c r="F998" s="1"/>
      <c r="G998" s="1"/>
      <c r="H998" s="1"/>
      <c r="I998" s="1"/>
    </row>
    <row r="999" spans="2:9" ht="15.75" customHeight="1" x14ac:dyDescent="0.25">
      <c r="B999" s="1"/>
      <c r="C999" s="1"/>
      <c r="D999" s="1"/>
      <c r="E999" s="1"/>
      <c r="F999" s="1"/>
      <c r="G999" s="1"/>
      <c r="H999" s="1"/>
      <c r="I999" s="1"/>
    </row>
    <row r="1000" spans="2:9" ht="15.75" customHeight="1" x14ac:dyDescent="0.25">
      <c r="B1000" s="1"/>
      <c r="C1000" s="1"/>
      <c r="D1000" s="1"/>
      <c r="E1000" s="1"/>
      <c r="F1000" s="1"/>
      <c r="G1000" s="1"/>
      <c r="H1000" s="1"/>
      <c r="I1000" s="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10.28515625" customWidth="1"/>
    <col min="3" max="3" width="62.28515625" customWidth="1"/>
    <col min="4" max="4" width="3.7109375" customWidth="1"/>
    <col min="5" max="5" width="8.28515625" customWidth="1"/>
    <col min="6" max="6" width="10" customWidth="1"/>
    <col min="7" max="7" width="14.28515625" customWidth="1"/>
    <col min="8" max="8" width="8.7109375" customWidth="1"/>
    <col min="9" max="9" width="13.28515625" customWidth="1"/>
    <col min="10" max="26" width="10.7109375" customWidth="1"/>
  </cols>
  <sheetData>
    <row r="1" spans="2:9" x14ac:dyDescent="0.25">
      <c r="B1" s="1"/>
      <c r="C1" s="1"/>
      <c r="D1" s="1"/>
      <c r="E1" s="1"/>
      <c r="F1" s="1"/>
      <c r="G1" s="2">
        <f>0+0+0+0+0+G3+0+0+0</f>
        <v>23490</v>
      </c>
      <c r="H1" s="1"/>
      <c r="I1" s="2">
        <f>0+0+0+0+0+I3+0+0+0</f>
        <v>25241.51</v>
      </c>
    </row>
    <row r="2" spans="2:9" ht="33.75" x14ac:dyDescent="0.25">
      <c r="B2" s="3" t="s">
        <v>3</v>
      </c>
      <c r="C2" s="3" t="s">
        <v>4</v>
      </c>
      <c r="D2" s="3" t="s">
        <v>5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</row>
    <row r="3" spans="2:9" x14ac:dyDescent="0.25">
      <c r="B3" s="2" t="s">
        <v>14</v>
      </c>
      <c r="C3" s="2" t="s">
        <v>2642</v>
      </c>
      <c r="D3" s="1"/>
      <c r="E3" s="1"/>
      <c r="F3" s="1"/>
      <c r="G3" s="2">
        <v>23490</v>
      </c>
      <c r="H3" s="1"/>
      <c r="I3" s="2">
        <v>25241.51</v>
      </c>
    </row>
    <row r="4" spans="2:9" x14ac:dyDescent="0.25">
      <c r="B4" s="6" t="s">
        <v>16</v>
      </c>
      <c r="C4" s="6" t="s">
        <v>2643</v>
      </c>
      <c r="D4" s="6" t="s">
        <v>20</v>
      </c>
      <c r="E4" s="6">
        <v>1</v>
      </c>
      <c r="F4" s="6">
        <v>0</v>
      </c>
      <c r="G4" s="6">
        <v>0</v>
      </c>
      <c r="H4" s="6">
        <v>25241.51</v>
      </c>
      <c r="I4" s="6">
        <v>25241.51</v>
      </c>
    </row>
    <row r="5" spans="2:9" x14ac:dyDescent="0.25">
      <c r="B5" s="6" t="s">
        <v>30</v>
      </c>
      <c r="C5" s="6" t="s">
        <v>2644</v>
      </c>
      <c r="D5" s="6" t="s">
        <v>20</v>
      </c>
      <c r="E5" s="6">
        <v>1</v>
      </c>
      <c r="F5" s="6">
        <v>490</v>
      </c>
      <c r="G5" s="6">
        <v>490</v>
      </c>
      <c r="H5" s="6">
        <v>0</v>
      </c>
      <c r="I5" s="6">
        <v>0</v>
      </c>
    </row>
    <row r="6" spans="2:9" x14ac:dyDescent="0.25">
      <c r="B6" s="6" t="s">
        <v>73</v>
      </c>
      <c r="C6" s="6" t="s">
        <v>2645</v>
      </c>
      <c r="D6" s="6" t="s">
        <v>20</v>
      </c>
      <c r="E6" s="6">
        <v>1</v>
      </c>
      <c r="F6" s="6">
        <v>23000</v>
      </c>
      <c r="G6" s="6">
        <v>23000</v>
      </c>
      <c r="H6" s="6">
        <v>0</v>
      </c>
      <c r="I6" s="6">
        <v>0</v>
      </c>
    </row>
    <row r="7" spans="2:9" x14ac:dyDescent="0.25">
      <c r="B7" s="1"/>
      <c r="C7" s="1"/>
      <c r="D7" s="1"/>
      <c r="E7" s="1"/>
      <c r="F7" s="1"/>
      <c r="G7" s="1"/>
      <c r="H7" s="1"/>
      <c r="I7" s="1"/>
    </row>
    <row r="8" spans="2:9" x14ac:dyDescent="0.25">
      <c r="B8" s="1"/>
      <c r="C8" s="1"/>
      <c r="D8" s="1"/>
      <c r="E8" s="1"/>
      <c r="F8" s="1"/>
      <c r="G8" s="1"/>
      <c r="H8" s="1"/>
      <c r="I8" s="1"/>
    </row>
    <row r="9" spans="2:9" x14ac:dyDescent="0.25">
      <c r="B9" s="1"/>
      <c r="C9" s="1"/>
      <c r="D9" s="1"/>
      <c r="E9" s="1"/>
      <c r="F9" s="1"/>
      <c r="G9" s="1"/>
      <c r="H9" s="1"/>
      <c r="I9" s="1"/>
    </row>
    <row r="10" spans="2:9" x14ac:dyDescent="0.25">
      <c r="B10" s="1"/>
      <c r="C10" s="1"/>
      <c r="D10" s="1"/>
      <c r="E10" s="1"/>
      <c r="F10" s="1"/>
      <c r="G10" s="1"/>
      <c r="H10" s="1"/>
      <c r="I10" s="1"/>
    </row>
    <row r="11" spans="2:9" x14ac:dyDescent="0.25">
      <c r="B11" s="1"/>
      <c r="C11" s="1"/>
      <c r="D11" s="1"/>
      <c r="E11" s="1"/>
      <c r="F11" s="1"/>
      <c r="G11" s="1"/>
      <c r="H11" s="1"/>
      <c r="I11" s="1"/>
    </row>
    <row r="12" spans="2:9" x14ac:dyDescent="0.25">
      <c r="B12" s="1"/>
      <c r="C12" s="1"/>
      <c r="D12" s="1"/>
      <c r="E12" s="1"/>
      <c r="F12" s="1"/>
      <c r="G12" s="1"/>
      <c r="H12" s="1"/>
      <c r="I12" s="1"/>
    </row>
    <row r="13" spans="2:9" x14ac:dyDescent="0.25">
      <c r="B13" s="1"/>
      <c r="C13" s="1"/>
      <c r="D13" s="1"/>
      <c r="E13" s="1"/>
      <c r="F13" s="1"/>
      <c r="G13" s="1"/>
      <c r="H13" s="1"/>
      <c r="I13" s="1"/>
    </row>
    <row r="14" spans="2:9" x14ac:dyDescent="0.25">
      <c r="B14" s="1"/>
      <c r="C14" s="1"/>
      <c r="D14" s="1"/>
      <c r="E14" s="1"/>
      <c r="F14" s="1"/>
      <c r="G14" s="1"/>
      <c r="H14" s="1"/>
      <c r="I14" s="1"/>
    </row>
    <row r="15" spans="2:9" x14ac:dyDescent="0.25">
      <c r="B15" s="1"/>
      <c r="C15" s="1"/>
      <c r="D15" s="1"/>
      <c r="E15" s="1"/>
      <c r="F15" s="1"/>
      <c r="G15" s="1"/>
      <c r="H15" s="1"/>
      <c r="I15" s="1"/>
    </row>
    <row r="16" spans="2:9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1"/>
      <c r="I17" s="1"/>
    </row>
    <row r="18" spans="2:9" x14ac:dyDescent="0.25">
      <c r="B18" s="1"/>
      <c r="C18" s="1"/>
      <c r="D18" s="1"/>
      <c r="E18" s="1"/>
      <c r="F18" s="1"/>
      <c r="G18" s="1"/>
      <c r="H18" s="1"/>
      <c r="I18" s="1"/>
    </row>
    <row r="19" spans="2:9" x14ac:dyDescent="0.25">
      <c r="B19" s="1"/>
      <c r="C19" s="1"/>
      <c r="D19" s="1"/>
      <c r="E19" s="1"/>
      <c r="F19" s="1"/>
      <c r="G19" s="1"/>
      <c r="H19" s="1"/>
      <c r="I19" s="1"/>
    </row>
    <row r="20" spans="2:9" x14ac:dyDescent="0.25">
      <c r="B20" s="1"/>
      <c r="C20" s="1"/>
      <c r="D20" s="1"/>
      <c r="E20" s="1"/>
      <c r="F20" s="1"/>
      <c r="G20" s="1"/>
      <c r="H20" s="1"/>
      <c r="I20" s="1"/>
    </row>
    <row r="21" spans="2:9" ht="15.75" customHeight="1" x14ac:dyDescent="0.25">
      <c r="B21" s="1"/>
      <c r="C21" s="1"/>
      <c r="D21" s="1"/>
      <c r="E21" s="1"/>
      <c r="F21" s="1"/>
      <c r="G21" s="1"/>
      <c r="H21" s="1"/>
      <c r="I21" s="1"/>
    </row>
    <row r="22" spans="2:9" ht="15.75" customHeight="1" x14ac:dyDescent="0.25">
      <c r="B22" s="1"/>
      <c r="C22" s="1"/>
      <c r="D22" s="1"/>
      <c r="E22" s="1"/>
      <c r="F22" s="1"/>
      <c r="G22" s="1"/>
      <c r="H22" s="1"/>
      <c r="I22" s="1"/>
    </row>
    <row r="23" spans="2:9" ht="15.75" customHeight="1" x14ac:dyDescent="0.25">
      <c r="B23" s="1"/>
      <c r="C23" s="1"/>
      <c r="D23" s="1"/>
      <c r="E23" s="1"/>
      <c r="F23" s="1"/>
      <c r="G23" s="1"/>
      <c r="H23" s="1"/>
      <c r="I23" s="1"/>
    </row>
    <row r="24" spans="2:9" ht="15.75" customHeight="1" x14ac:dyDescent="0.25">
      <c r="B24" s="1"/>
      <c r="C24" s="1"/>
      <c r="D24" s="1"/>
      <c r="E24" s="1"/>
      <c r="F24" s="1"/>
      <c r="G24" s="1"/>
      <c r="H24" s="1"/>
      <c r="I24" s="1"/>
    </row>
    <row r="25" spans="2:9" ht="15.75" customHeight="1" x14ac:dyDescent="0.25">
      <c r="B25" s="1"/>
      <c r="C25" s="1"/>
      <c r="D25" s="1"/>
      <c r="E25" s="1"/>
      <c r="F25" s="1"/>
      <c r="G25" s="1"/>
      <c r="H25" s="1"/>
      <c r="I25" s="1"/>
    </row>
    <row r="26" spans="2:9" ht="15.75" customHeight="1" x14ac:dyDescent="0.25">
      <c r="B26" s="1"/>
      <c r="C26" s="1"/>
      <c r="D26" s="1"/>
      <c r="E26" s="1"/>
      <c r="F26" s="1"/>
      <c r="G26" s="1"/>
      <c r="H26" s="1"/>
      <c r="I26" s="1"/>
    </row>
    <row r="27" spans="2:9" ht="15.75" customHeight="1" x14ac:dyDescent="0.25">
      <c r="B27" s="1"/>
      <c r="C27" s="1"/>
      <c r="D27" s="1"/>
      <c r="E27" s="1"/>
      <c r="F27" s="1"/>
      <c r="G27" s="1"/>
      <c r="H27" s="1"/>
      <c r="I27" s="1"/>
    </row>
    <row r="28" spans="2:9" ht="15.75" customHeight="1" x14ac:dyDescent="0.25">
      <c r="B28" s="1"/>
      <c r="C28" s="1"/>
      <c r="D28" s="1"/>
      <c r="E28" s="1"/>
      <c r="F28" s="1"/>
      <c r="G28" s="1"/>
      <c r="H28" s="1"/>
      <c r="I28" s="1"/>
    </row>
    <row r="29" spans="2:9" ht="15.75" customHeight="1" x14ac:dyDescent="0.25">
      <c r="B29" s="1"/>
      <c r="C29" s="1"/>
      <c r="D29" s="1"/>
      <c r="E29" s="1"/>
      <c r="F29" s="1"/>
      <c r="G29" s="1"/>
      <c r="H29" s="1"/>
      <c r="I29" s="1"/>
    </row>
    <row r="30" spans="2:9" ht="15.75" customHeight="1" x14ac:dyDescent="0.25">
      <c r="B30" s="1"/>
      <c r="C30" s="1"/>
      <c r="D30" s="1"/>
      <c r="E30" s="1"/>
      <c r="F30" s="1"/>
      <c r="G30" s="1"/>
      <c r="H30" s="1"/>
      <c r="I30" s="1"/>
    </row>
    <row r="31" spans="2:9" ht="15.75" customHeight="1" x14ac:dyDescent="0.25">
      <c r="B31" s="1"/>
      <c r="C31" s="1"/>
      <c r="D31" s="1"/>
      <c r="E31" s="1"/>
      <c r="F31" s="1"/>
      <c r="G31" s="1"/>
      <c r="H31" s="1"/>
      <c r="I31" s="1"/>
    </row>
    <row r="32" spans="2:9" ht="15.75" customHeight="1" x14ac:dyDescent="0.25">
      <c r="B32" s="1"/>
      <c r="C32" s="1"/>
      <c r="D32" s="1"/>
      <c r="E32" s="1"/>
      <c r="F32" s="1"/>
      <c r="G32" s="1"/>
      <c r="H32" s="1"/>
      <c r="I32" s="1"/>
    </row>
    <row r="33" spans="2:9" ht="15.75" customHeight="1" x14ac:dyDescent="0.25">
      <c r="B33" s="1"/>
      <c r="C33" s="1"/>
      <c r="D33" s="1"/>
      <c r="E33" s="1"/>
      <c r="F33" s="1"/>
      <c r="G33" s="1"/>
      <c r="H33" s="1"/>
      <c r="I33" s="1"/>
    </row>
    <row r="34" spans="2:9" ht="15.75" customHeight="1" x14ac:dyDescent="0.25">
      <c r="B34" s="1"/>
      <c r="C34" s="1"/>
      <c r="D34" s="1"/>
      <c r="E34" s="1"/>
      <c r="F34" s="1"/>
      <c r="G34" s="1"/>
      <c r="H34" s="1"/>
      <c r="I34" s="1"/>
    </row>
    <row r="35" spans="2:9" ht="15.75" customHeight="1" x14ac:dyDescent="0.25">
      <c r="B35" s="1"/>
      <c r="C35" s="1"/>
      <c r="D35" s="1"/>
      <c r="E35" s="1"/>
      <c r="F35" s="1"/>
      <c r="G35" s="1"/>
      <c r="H35" s="1"/>
      <c r="I35" s="1"/>
    </row>
    <row r="36" spans="2:9" ht="15.75" customHeight="1" x14ac:dyDescent="0.25">
      <c r="B36" s="1"/>
      <c r="C36" s="1"/>
      <c r="D36" s="1"/>
      <c r="E36" s="1"/>
      <c r="F36" s="1"/>
      <c r="G36" s="1"/>
      <c r="H36" s="1"/>
      <c r="I36" s="1"/>
    </row>
    <row r="37" spans="2:9" ht="15.75" customHeight="1" x14ac:dyDescent="0.25">
      <c r="B37" s="1"/>
      <c r="C37" s="1"/>
      <c r="D37" s="1"/>
      <c r="E37" s="1"/>
      <c r="F37" s="1"/>
      <c r="G37" s="1"/>
      <c r="H37" s="1"/>
      <c r="I37" s="1"/>
    </row>
    <row r="38" spans="2:9" ht="15.75" customHeight="1" x14ac:dyDescent="0.25">
      <c r="B38" s="1"/>
      <c r="C38" s="1"/>
      <c r="D38" s="1"/>
      <c r="E38" s="1"/>
      <c r="F38" s="1"/>
      <c r="G38" s="1"/>
      <c r="H38" s="1"/>
      <c r="I38" s="1"/>
    </row>
    <row r="39" spans="2:9" ht="15.75" customHeight="1" x14ac:dyDescent="0.25">
      <c r="B39" s="1"/>
      <c r="C39" s="1"/>
      <c r="D39" s="1"/>
      <c r="E39" s="1"/>
      <c r="F39" s="1"/>
      <c r="G39" s="1"/>
      <c r="H39" s="1"/>
      <c r="I39" s="1"/>
    </row>
    <row r="40" spans="2:9" ht="15.75" customHeight="1" x14ac:dyDescent="0.25">
      <c r="B40" s="1"/>
      <c r="C40" s="1"/>
      <c r="D40" s="1"/>
      <c r="E40" s="1"/>
      <c r="F40" s="1"/>
      <c r="G40" s="1"/>
      <c r="H40" s="1"/>
      <c r="I40" s="1"/>
    </row>
    <row r="41" spans="2:9" ht="15.75" customHeight="1" x14ac:dyDescent="0.25">
      <c r="B41" s="1"/>
      <c r="C41" s="1"/>
      <c r="D41" s="1"/>
      <c r="E41" s="1"/>
      <c r="F41" s="1"/>
      <c r="G41" s="1"/>
      <c r="H41" s="1"/>
      <c r="I41" s="1"/>
    </row>
    <row r="42" spans="2:9" ht="15.75" customHeight="1" x14ac:dyDescent="0.25">
      <c r="B42" s="1"/>
      <c r="C42" s="1"/>
      <c r="D42" s="1"/>
      <c r="E42" s="1"/>
      <c r="F42" s="1"/>
      <c r="G42" s="1"/>
      <c r="H42" s="1"/>
      <c r="I42" s="1"/>
    </row>
    <row r="43" spans="2:9" ht="15.75" customHeight="1" x14ac:dyDescent="0.25">
      <c r="B43" s="1"/>
      <c r="C43" s="1"/>
      <c r="D43" s="1"/>
      <c r="E43" s="1"/>
      <c r="F43" s="1"/>
      <c r="G43" s="1"/>
      <c r="H43" s="1"/>
      <c r="I43" s="1"/>
    </row>
    <row r="44" spans="2:9" ht="15.75" customHeight="1" x14ac:dyDescent="0.25">
      <c r="B44" s="1"/>
      <c r="C44" s="1"/>
      <c r="D44" s="1"/>
      <c r="E44" s="1"/>
      <c r="F44" s="1"/>
      <c r="G44" s="1"/>
      <c r="H44" s="1"/>
      <c r="I44" s="1"/>
    </row>
    <row r="45" spans="2:9" ht="15.75" customHeight="1" x14ac:dyDescent="0.25">
      <c r="B45" s="1"/>
      <c r="C45" s="1"/>
      <c r="D45" s="1"/>
      <c r="E45" s="1"/>
      <c r="F45" s="1"/>
      <c r="G45" s="1"/>
      <c r="H45" s="1"/>
      <c r="I45" s="1"/>
    </row>
    <row r="46" spans="2:9" ht="15.75" customHeight="1" x14ac:dyDescent="0.25">
      <c r="B46" s="1"/>
      <c r="C46" s="1"/>
      <c r="D46" s="1"/>
      <c r="E46" s="1"/>
      <c r="F46" s="1"/>
      <c r="G46" s="1"/>
      <c r="H46" s="1"/>
      <c r="I46" s="1"/>
    </row>
    <row r="47" spans="2:9" ht="15.75" customHeight="1" x14ac:dyDescent="0.25">
      <c r="B47" s="1"/>
      <c r="C47" s="1"/>
      <c r="D47" s="1"/>
      <c r="E47" s="1"/>
      <c r="F47" s="1"/>
      <c r="G47" s="1"/>
      <c r="H47" s="1"/>
      <c r="I47" s="1"/>
    </row>
    <row r="48" spans="2:9" ht="15.75" customHeight="1" x14ac:dyDescent="0.25">
      <c r="B48" s="1"/>
      <c r="C48" s="1"/>
      <c r="D48" s="1"/>
      <c r="E48" s="1"/>
      <c r="F48" s="1"/>
      <c r="G48" s="1"/>
      <c r="H48" s="1"/>
      <c r="I48" s="1"/>
    </row>
    <row r="49" spans="2:9" ht="15.75" customHeight="1" x14ac:dyDescent="0.25">
      <c r="B49" s="1"/>
      <c r="C49" s="1"/>
      <c r="D49" s="1"/>
      <c r="E49" s="1"/>
      <c r="F49" s="1"/>
      <c r="G49" s="1"/>
      <c r="H49" s="1"/>
      <c r="I49" s="1"/>
    </row>
    <row r="50" spans="2:9" ht="15.75" customHeight="1" x14ac:dyDescent="0.25">
      <c r="B50" s="1"/>
      <c r="C50" s="1"/>
      <c r="D50" s="1"/>
      <c r="E50" s="1"/>
      <c r="F50" s="1"/>
      <c r="G50" s="1"/>
      <c r="H50" s="1"/>
      <c r="I50" s="1"/>
    </row>
    <row r="51" spans="2:9" ht="15.75" customHeight="1" x14ac:dyDescent="0.25">
      <c r="B51" s="1"/>
      <c r="C51" s="1"/>
      <c r="D51" s="1"/>
      <c r="E51" s="1"/>
      <c r="F51" s="1"/>
      <c r="G51" s="1"/>
      <c r="H51" s="1"/>
      <c r="I51" s="1"/>
    </row>
    <row r="52" spans="2:9" ht="15.75" customHeight="1" x14ac:dyDescent="0.25">
      <c r="B52" s="1"/>
      <c r="C52" s="1"/>
      <c r="D52" s="1"/>
      <c r="E52" s="1"/>
      <c r="F52" s="1"/>
      <c r="G52" s="1"/>
      <c r="H52" s="1"/>
      <c r="I52" s="1"/>
    </row>
    <row r="53" spans="2:9" ht="15.75" customHeight="1" x14ac:dyDescent="0.25">
      <c r="B53" s="1"/>
      <c r="C53" s="1"/>
      <c r="D53" s="1"/>
      <c r="E53" s="1"/>
      <c r="F53" s="1"/>
      <c r="G53" s="1"/>
      <c r="H53" s="1"/>
      <c r="I53" s="1"/>
    </row>
    <row r="54" spans="2:9" ht="15.75" customHeight="1" x14ac:dyDescent="0.25">
      <c r="B54" s="1"/>
      <c r="C54" s="1"/>
      <c r="D54" s="1"/>
      <c r="E54" s="1"/>
      <c r="F54" s="1"/>
      <c r="G54" s="1"/>
      <c r="H54" s="1"/>
      <c r="I54" s="1"/>
    </row>
    <row r="55" spans="2:9" ht="15.75" customHeight="1" x14ac:dyDescent="0.25">
      <c r="B55" s="1"/>
      <c r="C55" s="1"/>
      <c r="D55" s="1"/>
      <c r="E55" s="1"/>
      <c r="F55" s="1"/>
      <c r="G55" s="1"/>
      <c r="H55" s="1"/>
      <c r="I55" s="1"/>
    </row>
    <row r="56" spans="2:9" ht="15.75" customHeight="1" x14ac:dyDescent="0.25">
      <c r="B56" s="1"/>
      <c r="C56" s="1"/>
      <c r="D56" s="1"/>
      <c r="E56" s="1"/>
      <c r="F56" s="1"/>
      <c r="G56" s="1"/>
      <c r="H56" s="1"/>
      <c r="I56" s="1"/>
    </row>
    <row r="57" spans="2:9" ht="15.75" customHeight="1" x14ac:dyDescent="0.25">
      <c r="B57" s="1"/>
      <c r="C57" s="1"/>
      <c r="D57" s="1"/>
      <c r="E57" s="1"/>
      <c r="F57" s="1"/>
      <c r="G57" s="1"/>
      <c r="H57" s="1"/>
      <c r="I57" s="1"/>
    </row>
    <row r="58" spans="2:9" ht="15.75" customHeight="1" x14ac:dyDescent="0.25">
      <c r="B58" s="1"/>
      <c r="C58" s="1"/>
      <c r="D58" s="1"/>
      <c r="E58" s="1"/>
      <c r="F58" s="1"/>
      <c r="G58" s="1"/>
      <c r="H58" s="1"/>
      <c r="I58" s="1"/>
    </row>
    <row r="59" spans="2:9" ht="15.75" customHeight="1" x14ac:dyDescent="0.25">
      <c r="B59" s="1"/>
      <c r="C59" s="1"/>
      <c r="D59" s="1"/>
      <c r="E59" s="1"/>
      <c r="F59" s="1"/>
      <c r="G59" s="1"/>
      <c r="H59" s="1"/>
      <c r="I59" s="1"/>
    </row>
    <row r="60" spans="2:9" ht="15.75" customHeight="1" x14ac:dyDescent="0.25">
      <c r="B60" s="1"/>
      <c r="C60" s="1"/>
      <c r="D60" s="1"/>
      <c r="E60" s="1"/>
      <c r="F60" s="1"/>
      <c r="G60" s="1"/>
      <c r="H60" s="1"/>
      <c r="I60" s="1"/>
    </row>
    <row r="61" spans="2:9" ht="15.75" customHeight="1" x14ac:dyDescent="0.25">
      <c r="B61" s="1"/>
      <c r="C61" s="1"/>
      <c r="D61" s="1"/>
      <c r="E61" s="1"/>
      <c r="F61" s="1"/>
      <c r="G61" s="1"/>
      <c r="H61" s="1"/>
      <c r="I61" s="1"/>
    </row>
    <row r="62" spans="2:9" ht="15.75" customHeight="1" x14ac:dyDescent="0.25">
      <c r="B62" s="1"/>
      <c r="C62" s="1"/>
      <c r="D62" s="1"/>
      <c r="E62" s="1"/>
      <c r="F62" s="1"/>
      <c r="G62" s="1"/>
      <c r="H62" s="1"/>
      <c r="I62" s="1"/>
    </row>
    <row r="63" spans="2:9" ht="15.75" customHeight="1" x14ac:dyDescent="0.25">
      <c r="B63" s="1"/>
      <c r="C63" s="1"/>
      <c r="D63" s="1"/>
      <c r="E63" s="1"/>
      <c r="F63" s="1"/>
      <c r="G63" s="1"/>
      <c r="H63" s="1"/>
      <c r="I63" s="1"/>
    </row>
    <row r="64" spans="2:9" ht="15.75" customHeight="1" x14ac:dyDescent="0.25">
      <c r="B64" s="1"/>
      <c r="C64" s="1"/>
      <c r="D64" s="1"/>
      <c r="E64" s="1"/>
      <c r="F64" s="1"/>
      <c r="G64" s="1"/>
      <c r="H64" s="1"/>
      <c r="I64" s="1"/>
    </row>
    <row r="65" spans="2:9" ht="15.75" customHeight="1" x14ac:dyDescent="0.25">
      <c r="B65" s="1"/>
      <c r="C65" s="1"/>
      <c r="D65" s="1"/>
      <c r="E65" s="1"/>
      <c r="F65" s="1"/>
      <c r="G65" s="1"/>
      <c r="H65" s="1"/>
      <c r="I65" s="1"/>
    </row>
    <row r="66" spans="2:9" ht="15.75" customHeight="1" x14ac:dyDescent="0.25">
      <c r="B66" s="1"/>
      <c r="C66" s="1"/>
      <c r="D66" s="1"/>
      <c r="E66" s="1"/>
      <c r="F66" s="1"/>
      <c r="G66" s="1"/>
      <c r="H66" s="1"/>
      <c r="I66" s="1"/>
    </row>
    <row r="67" spans="2:9" ht="15.75" customHeight="1" x14ac:dyDescent="0.25">
      <c r="B67" s="1"/>
      <c r="C67" s="1"/>
      <c r="D67" s="1"/>
      <c r="E67" s="1"/>
      <c r="F67" s="1"/>
      <c r="G67" s="1"/>
      <c r="H67" s="1"/>
      <c r="I67" s="1"/>
    </row>
    <row r="68" spans="2:9" ht="15.75" customHeight="1" x14ac:dyDescent="0.25">
      <c r="B68" s="1"/>
      <c r="C68" s="1"/>
      <c r="D68" s="1"/>
      <c r="E68" s="1"/>
      <c r="F68" s="1"/>
      <c r="G68" s="1"/>
      <c r="H68" s="1"/>
      <c r="I68" s="1"/>
    </row>
    <row r="69" spans="2:9" ht="15.75" customHeight="1" x14ac:dyDescent="0.25">
      <c r="B69" s="1"/>
      <c r="C69" s="1"/>
      <c r="D69" s="1"/>
      <c r="E69" s="1"/>
      <c r="F69" s="1"/>
      <c r="G69" s="1"/>
      <c r="H69" s="1"/>
      <c r="I69" s="1"/>
    </row>
    <row r="70" spans="2:9" ht="15.75" customHeight="1" x14ac:dyDescent="0.25">
      <c r="B70" s="1"/>
      <c r="C70" s="1"/>
      <c r="D70" s="1"/>
      <c r="E70" s="1"/>
      <c r="F70" s="1"/>
      <c r="G70" s="1"/>
      <c r="H70" s="1"/>
      <c r="I70" s="1"/>
    </row>
    <row r="71" spans="2:9" ht="15.75" customHeight="1" x14ac:dyDescent="0.25">
      <c r="B71" s="1"/>
      <c r="C71" s="1"/>
      <c r="D71" s="1"/>
      <c r="E71" s="1"/>
      <c r="F71" s="1"/>
      <c r="G71" s="1"/>
      <c r="H71" s="1"/>
      <c r="I71" s="1"/>
    </row>
    <row r="72" spans="2:9" ht="15.75" customHeight="1" x14ac:dyDescent="0.25">
      <c r="B72" s="1"/>
      <c r="C72" s="1"/>
      <c r="D72" s="1"/>
      <c r="E72" s="1"/>
      <c r="F72" s="1"/>
      <c r="G72" s="1"/>
      <c r="H72" s="1"/>
      <c r="I72" s="1"/>
    </row>
    <row r="73" spans="2:9" ht="15.75" customHeight="1" x14ac:dyDescent="0.25">
      <c r="B73" s="1"/>
      <c r="C73" s="1"/>
      <c r="D73" s="1"/>
      <c r="E73" s="1"/>
      <c r="F73" s="1"/>
      <c r="G73" s="1"/>
      <c r="H73" s="1"/>
      <c r="I73" s="1"/>
    </row>
    <row r="74" spans="2:9" ht="15.75" customHeight="1" x14ac:dyDescent="0.25">
      <c r="B74" s="1"/>
      <c r="C74" s="1"/>
      <c r="D74" s="1"/>
      <c r="E74" s="1"/>
      <c r="F74" s="1"/>
      <c r="G74" s="1"/>
      <c r="H74" s="1"/>
      <c r="I74" s="1"/>
    </row>
    <row r="75" spans="2:9" ht="15.75" customHeight="1" x14ac:dyDescent="0.25">
      <c r="B75" s="1"/>
      <c r="C75" s="1"/>
      <c r="D75" s="1"/>
      <c r="E75" s="1"/>
      <c r="F75" s="1"/>
      <c r="G75" s="1"/>
      <c r="H75" s="1"/>
      <c r="I75" s="1"/>
    </row>
    <row r="76" spans="2:9" ht="15.75" customHeight="1" x14ac:dyDescent="0.25">
      <c r="B76" s="1"/>
      <c r="C76" s="1"/>
      <c r="D76" s="1"/>
      <c r="E76" s="1"/>
      <c r="F76" s="1"/>
      <c r="G76" s="1"/>
      <c r="H76" s="1"/>
      <c r="I76" s="1"/>
    </row>
    <row r="77" spans="2:9" ht="15.75" customHeight="1" x14ac:dyDescent="0.25">
      <c r="B77" s="1"/>
      <c r="C77" s="1"/>
      <c r="D77" s="1"/>
      <c r="E77" s="1"/>
      <c r="F77" s="1"/>
      <c r="G77" s="1"/>
      <c r="H77" s="1"/>
      <c r="I77" s="1"/>
    </row>
    <row r="78" spans="2:9" ht="15.75" customHeight="1" x14ac:dyDescent="0.25">
      <c r="B78" s="1"/>
      <c r="C78" s="1"/>
      <c r="D78" s="1"/>
      <c r="E78" s="1"/>
      <c r="F78" s="1"/>
      <c r="G78" s="1"/>
      <c r="H78" s="1"/>
      <c r="I78" s="1"/>
    </row>
    <row r="79" spans="2:9" ht="15.75" customHeight="1" x14ac:dyDescent="0.25">
      <c r="B79" s="1"/>
      <c r="C79" s="1"/>
      <c r="D79" s="1"/>
      <c r="E79" s="1"/>
      <c r="F79" s="1"/>
      <c r="G79" s="1"/>
      <c r="H79" s="1"/>
      <c r="I79" s="1"/>
    </row>
    <row r="80" spans="2:9" ht="15.75" customHeight="1" x14ac:dyDescent="0.25">
      <c r="B80" s="1"/>
      <c r="C80" s="1"/>
      <c r="D80" s="1"/>
      <c r="E80" s="1"/>
      <c r="F80" s="1"/>
      <c r="G80" s="1"/>
      <c r="H80" s="1"/>
      <c r="I80" s="1"/>
    </row>
    <row r="81" spans="2:9" ht="15.75" customHeight="1" x14ac:dyDescent="0.25">
      <c r="B81" s="1"/>
      <c r="C81" s="1"/>
      <c r="D81" s="1"/>
      <c r="E81" s="1"/>
      <c r="F81" s="1"/>
      <c r="G81" s="1"/>
      <c r="H81" s="1"/>
      <c r="I81" s="1"/>
    </row>
    <row r="82" spans="2:9" ht="15.75" customHeight="1" x14ac:dyDescent="0.25">
      <c r="B82" s="1"/>
      <c r="C82" s="1"/>
      <c r="D82" s="1"/>
      <c r="E82" s="1"/>
      <c r="F82" s="1"/>
      <c r="G82" s="1"/>
      <c r="H82" s="1"/>
      <c r="I82" s="1"/>
    </row>
    <row r="83" spans="2:9" ht="15.75" customHeight="1" x14ac:dyDescent="0.25">
      <c r="B83" s="1"/>
      <c r="C83" s="1"/>
      <c r="D83" s="1"/>
      <c r="E83" s="1"/>
      <c r="F83" s="1"/>
      <c r="G83" s="1"/>
      <c r="H83" s="1"/>
      <c r="I83" s="1"/>
    </row>
    <row r="84" spans="2:9" ht="15.75" customHeight="1" x14ac:dyDescent="0.25">
      <c r="B84" s="1"/>
      <c r="C84" s="1"/>
      <c r="D84" s="1"/>
      <c r="E84" s="1"/>
      <c r="F84" s="1"/>
      <c r="G84" s="1"/>
      <c r="H84" s="1"/>
      <c r="I84" s="1"/>
    </row>
    <row r="85" spans="2:9" ht="15.75" customHeight="1" x14ac:dyDescent="0.25">
      <c r="B85" s="1"/>
      <c r="C85" s="1"/>
      <c r="D85" s="1"/>
      <c r="E85" s="1"/>
      <c r="F85" s="1"/>
      <c r="G85" s="1"/>
      <c r="H85" s="1"/>
      <c r="I85" s="1"/>
    </row>
    <row r="86" spans="2:9" ht="15.75" customHeight="1" x14ac:dyDescent="0.25">
      <c r="B86" s="1"/>
      <c r="C86" s="1"/>
      <c r="D86" s="1"/>
      <c r="E86" s="1"/>
      <c r="F86" s="1"/>
      <c r="G86" s="1"/>
      <c r="H86" s="1"/>
      <c r="I86" s="1"/>
    </row>
    <row r="87" spans="2:9" ht="15.75" customHeight="1" x14ac:dyDescent="0.25">
      <c r="B87" s="1"/>
      <c r="C87" s="1"/>
      <c r="D87" s="1"/>
      <c r="E87" s="1"/>
      <c r="F87" s="1"/>
      <c r="G87" s="1"/>
      <c r="H87" s="1"/>
      <c r="I87" s="1"/>
    </row>
    <row r="88" spans="2:9" ht="15.75" customHeight="1" x14ac:dyDescent="0.25">
      <c r="B88" s="1"/>
      <c r="C88" s="1"/>
      <c r="D88" s="1"/>
      <c r="E88" s="1"/>
      <c r="F88" s="1"/>
      <c r="G88" s="1"/>
      <c r="H88" s="1"/>
      <c r="I88" s="1"/>
    </row>
    <row r="89" spans="2:9" ht="15.75" customHeight="1" x14ac:dyDescent="0.25">
      <c r="B89" s="1"/>
      <c r="C89" s="1"/>
      <c r="D89" s="1"/>
      <c r="E89" s="1"/>
      <c r="F89" s="1"/>
      <c r="G89" s="1"/>
      <c r="H89" s="1"/>
      <c r="I89" s="1"/>
    </row>
    <row r="90" spans="2:9" ht="15.75" customHeight="1" x14ac:dyDescent="0.25">
      <c r="B90" s="1"/>
      <c r="C90" s="1"/>
      <c r="D90" s="1"/>
      <c r="E90" s="1"/>
      <c r="F90" s="1"/>
      <c r="G90" s="1"/>
      <c r="H90" s="1"/>
      <c r="I90" s="1"/>
    </row>
    <row r="91" spans="2:9" ht="15.75" customHeight="1" x14ac:dyDescent="0.25">
      <c r="B91" s="1"/>
      <c r="C91" s="1"/>
      <c r="D91" s="1"/>
      <c r="E91" s="1"/>
      <c r="F91" s="1"/>
      <c r="G91" s="1"/>
      <c r="H91" s="1"/>
      <c r="I91" s="1"/>
    </row>
    <row r="92" spans="2:9" ht="15.75" customHeight="1" x14ac:dyDescent="0.25">
      <c r="B92" s="1"/>
      <c r="C92" s="1"/>
      <c r="D92" s="1"/>
      <c r="E92" s="1"/>
      <c r="F92" s="1"/>
      <c r="G92" s="1"/>
      <c r="H92" s="1"/>
      <c r="I92" s="1"/>
    </row>
    <row r="93" spans="2:9" ht="15.75" customHeight="1" x14ac:dyDescent="0.25">
      <c r="B93" s="1"/>
      <c r="C93" s="1"/>
      <c r="D93" s="1"/>
      <c r="E93" s="1"/>
      <c r="F93" s="1"/>
      <c r="G93" s="1"/>
      <c r="H93" s="1"/>
      <c r="I93" s="1"/>
    </row>
    <row r="94" spans="2:9" ht="15.75" customHeight="1" x14ac:dyDescent="0.25">
      <c r="B94" s="1"/>
      <c r="C94" s="1"/>
      <c r="D94" s="1"/>
      <c r="E94" s="1"/>
      <c r="F94" s="1"/>
      <c r="G94" s="1"/>
      <c r="H94" s="1"/>
      <c r="I94" s="1"/>
    </row>
    <row r="95" spans="2:9" ht="15.75" customHeight="1" x14ac:dyDescent="0.25">
      <c r="B95" s="1"/>
      <c r="C95" s="1"/>
      <c r="D95" s="1"/>
      <c r="E95" s="1"/>
      <c r="F95" s="1"/>
      <c r="G95" s="1"/>
      <c r="H95" s="1"/>
      <c r="I95" s="1"/>
    </row>
    <row r="96" spans="2:9" ht="15.75" customHeight="1" x14ac:dyDescent="0.25">
      <c r="B96" s="1"/>
      <c r="C96" s="1"/>
      <c r="D96" s="1"/>
      <c r="E96" s="1"/>
      <c r="F96" s="1"/>
      <c r="G96" s="1"/>
      <c r="H96" s="1"/>
      <c r="I96" s="1"/>
    </row>
    <row r="97" spans="2:9" ht="15.75" customHeight="1" x14ac:dyDescent="0.25">
      <c r="B97" s="1"/>
      <c r="C97" s="1"/>
      <c r="D97" s="1"/>
      <c r="E97" s="1"/>
      <c r="F97" s="1"/>
      <c r="G97" s="1"/>
      <c r="H97" s="1"/>
      <c r="I97" s="1"/>
    </row>
    <row r="98" spans="2:9" ht="15.75" customHeight="1" x14ac:dyDescent="0.25">
      <c r="B98" s="1"/>
      <c r="C98" s="1"/>
      <c r="D98" s="1"/>
      <c r="E98" s="1"/>
      <c r="F98" s="1"/>
      <c r="G98" s="1"/>
      <c r="H98" s="1"/>
      <c r="I98" s="1"/>
    </row>
    <row r="99" spans="2:9" ht="15.75" customHeight="1" x14ac:dyDescent="0.25">
      <c r="B99" s="1"/>
      <c r="C99" s="1"/>
      <c r="D99" s="1"/>
      <c r="E99" s="1"/>
      <c r="F99" s="1"/>
      <c r="G99" s="1"/>
      <c r="H99" s="1"/>
      <c r="I99" s="1"/>
    </row>
    <row r="100" spans="2:9" ht="15.75" customHeight="1" x14ac:dyDescent="0.25">
      <c r="B100" s="1"/>
      <c r="C100" s="1"/>
      <c r="D100" s="1"/>
      <c r="E100" s="1"/>
      <c r="F100" s="1"/>
      <c r="G100" s="1"/>
      <c r="H100" s="1"/>
      <c r="I100" s="1"/>
    </row>
    <row r="101" spans="2:9" ht="15.75" customHeight="1" x14ac:dyDescent="0.25">
      <c r="B101" s="1"/>
      <c r="C101" s="1"/>
      <c r="D101" s="1"/>
      <c r="E101" s="1"/>
      <c r="F101" s="1"/>
      <c r="G101" s="1"/>
      <c r="H101" s="1"/>
      <c r="I101" s="1"/>
    </row>
    <row r="102" spans="2:9" ht="15.75" customHeight="1" x14ac:dyDescent="0.25">
      <c r="B102" s="1"/>
      <c r="C102" s="1"/>
      <c r="D102" s="1"/>
      <c r="E102" s="1"/>
      <c r="F102" s="1"/>
      <c r="G102" s="1"/>
      <c r="H102" s="1"/>
      <c r="I102" s="1"/>
    </row>
    <row r="103" spans="2:9" ht="15.75" customHeight="1" x14ac:dyDescent="0.25">
      <c r="B103" s="1"/>
      <c r="C103" s="1"/>
      <c r="D103" s="1"/>
      <c r="E103" s="1"/>
      <c r="F103" s="1"/>
      <c r="G103" s="1"/>
      <c r="H103" s="1"/>
      <c r="I103" s="1"/>
    </row>
    <row r="104" spans="2:9" ht="15.75" customHeight="1" x14ac:dyDescent="0.25">
      <c r="B104" s="1"/>
      <c r="C104" s="1"/>
      <c r="D104" s="1"/>
      <c r="E104" s="1"/>
      <c r="F104" s="1"/>
      <c r="G104" s="1"/>
      <c r="H104" s="1"/>
      <c r="I104" s="1"/>
    </row>
    <row r="105" spans="2:9" ht="15.75" customHeight="1" x14ac:dyDescent="0.25">
      <c r="B105" s="1"/>
      <c r="C105" s="1"/>
      <c r="D105" s="1"/>
      <c r="E105" s="1"/>
      <c r="F105" s="1"/>
      <c r="G105" s="1"/>
      <c r="H105" s="1"/>
      <c r="I105" s="1"/>
    </row>
    <row r="106" spans="2:9" ht="15.75" customHeight="1" x14ac:dyDescent="0.25">
      <c r="B106" s="1"/>
      <c r="C106" s="1"/>
      <c r="D106" s="1"/>
      <c r="E106" s="1"/>
      <c r="F106" s="1"/>
      <c r="G106" s="1"/>
      <c r="H106" s="1"/>
      <c r="I106" s="1"/>
    </row>
    <row r="107" spans="2:9" ht="15.75" customHeight="1" x14ac:dyDescent="0.25">
      <c r="B107" s="1"/>
      <c r="C107" s="1"/>
      <c r="D107" s="1"/>
      <c r="E107" s="1"/>
      <c r="F107" s="1"/>
      <c r="G107" s="1"/>
      <c r="H107" s="1"/>
      <c r="I107" s="1"/>
    </row>
    <row r="108" spans="2:9" ht="15.75" customHeight="1" x14ac:dyDescent="0.25">
      <c r="B108" s="1"/>
      <c r="C108" s="1"/>
      <c r="D108" s="1"/>
      <c r="E108" s="1"/>
      <c r="F108" s="1"/>
      <c r="G108" s="1"/>
      <c r="H108" s="1"/>
      <c r="I108" s="1"/>
    </row>
    <row r="109" spans="2:9" ht="15.75" customHeight="1" x14ac:dyDescent="0.25">
      <c r="B109" s="1"/>
      <c r="C109" s="1"/>
      <c r="D109" s="1"/>
      <c r="E109" s="1"/>
      <c r="F109" s="1"/>
      <c r="G109" s="1"/>
      <c r="H109" s="1"/>
      <c r="I109" s="1"/>
    </row>
    <row r="110" spans="2:9" ht="15.75" customHeight="1" x14ac:dyDescent="0.25">
      <c r="B110" s="1"/>
      <c r="C110" s="1"/>
      <c r="D110" s="1"/>
      <c r="E110" s="1"/>
      <c r="F110" s="1"/>
      <c r="G110" s="1"/>
      <c r="H110" s="1"/>
      <c r="I110" s="1"/>
    </row>
    <row r="111" spans="2:9" ht="15.75" customHeight="1" x14ac:dyDescent="0.25">
      <c r="B111" s="1"/>
      <c r="C111" s="1"/>
      <c r="D111" s="1"/>
      <c r="E111" s="1"/>
      <c r="F111" s="1"/>
      <c r="G111" s="1"/>
      <c r="H111" s="1"/>
      <c r="I111" s="1"/>
    </row>
    <row r="112" spans="2:9" ht="15.75" customHeight="1" x14ac:dyDescent="0.25">
      <c r="B112" s="1"/>
      <c r="C112" s="1"/>
      <c r="D112" s="1"/>
      <c r="E112" s="1"/>
      <c r="F112" s="1"/>
      <c r="G112" s="1"/>
      <c r="H112" s="1"/>
      <c r="I112" s="1"/>
    </row>
    <row r="113" spans="2:9" ht="15.75" customHeight="1" x14ac:dyDescent="0.25">
      <c r="B113" s="1"/>
      <c r="C113" s="1"/>
      <c r="D113" s="1"/>
      <c r="E113" s="1"/>
      <c r="F113" s="1"/>
      <c r="G113" s="1"/>
      <c r="H113" s="1"/>
      <c r="I113" s="1"/>
    </row>
    <row r="114" spans="2:9" ht="15.75" customHeight="1" x14ac:dyDescent="0.25">
      <c r="B114" s="1"/>
      <c r="C114" s="1"/>
      <c r="D114" s="1"/>
      <c r="E114" s="1"/>
      <c r="F114" s="1"/>
      <c r="G114" s="1"/>
      <c r="H114" s="1"/>
      <c r="I114" s="1"/>
    </row>
    <row r="115" spans="2:9" ht="15.75" customHeight="1" x14ac:dyDescent="0.25">
      <c r="B115" s="1"/>
      <c r="C115" s="1"/>
      <c r="D115" s="1"/>
      <c r="E115" s="1"/>
      <c r="F115" s="1"/>
      <c r="G115" s="1"/>
      <c r="H115" s="1"/>
      <c r="I115" s="1"/>
    </row>
    <row r="116" spans="2:9" ht="15.75" customHeight="1" x14ac:dyDescent="0.25">
      <c r="B116" s="1"/>
      <c r="C116" s="1"/>
      <c r="D116" s="1"/>
      <c r="E116" s="1"/>
      <c r="F116" s="1"/>
      <c r="G116" s="1"/>
      <c r="H116" s="1"/>
      <c r="I116" s="1"/>
    </row>
    <row r="117" spans="2:9" ht="15.75" customHeight="1" x14ac:dyDescent="0.25">
      <c r="B117" s="1"/>
      <c r="C117" s="1"/>
      <c r="D117" s="1"/>
      <c r="E117" s="1"/>
      <c r="F117" s="1"/>
      <c r="G117" s="1"/>
      <c r="H117" s="1"/>
      <c r="I117" s="1"/>
    </row>
    <row r="118" spans="2:9" ht="15.75" customHeight="1" x14ac:dyDescent="0.25">
      <c r="B118" s="1"/>
      <c r="C118" s="1"/>
      <c r="D118" s="1"/>
      <c r="E118" s="1"/>
      <c r="F118" s="1"/>
      <c r="G118" s="1"/>
      <c r="H118" s="1"/>
      <c r="I118" s="1"/>
    </row>
    <row r="119" spans="2:9" ht="15.75" customHeight="1" x14ac:dyDescent="0.25">
      <c r="B119" s="1"/>
      <c r="C119" s="1"/>
      <c r="D119" s="1"/>
      <c r="E119" s="1"/>
      <c r="F119" s="1"/>
      <c r="G119" s="1"/>
      <c r="H119" s="1"/>
      <c r="I119" s="1"/>
    </row>
    <row r="120" spans="2:9" ht="15.75" customHeight="1" x14ac:dyDescent="0.25">
      <c r="B120" s="1"/>
      <c r="C120" s="1"/>
      <c r="D120" s="1"/>
      <c r="E120" s="1"/>
      <c r="F120" s="1"/>
      <c r="G120" s="1"/>
      <c r="H120" s="1"/>
      <c r="I120" s="1"/>
    </row>
    <row r="121" spans="2:9" ht="15.75" customHeight="1" x14ac:dyDescent="0.25">
      <c r="B121" s="1"/>
      <c r="C121" s="1"/>
      <c r="D121" s="1"/>
      <c r="E121" s="1"/>
      <c r="F121" s="1"/>
      <c r="G121" s="1"/>
      <c r="H121" s="1"/>
      <c r="I121" s="1"/>
    </row>
    <row r="122" spans="2:9" ht="15.75" customHeight="1" x14ac:dyDescent="0.25">
      <c r="B122" s="1"/>
      <c r="C122" s="1"/>
      <c r="D122" s="1"/>
      <c r="E122" s="1"/>
      <c r="F122" s="1"/>
      <c r="G122" s="1"/>
      <c r="H122" s="1"/>
      <c r="I122" s="1"/>
    </row>
    <row r="123" spans="2:9" ht="15.75" customHeight="1" x14ac:dyDescent="0.25">
      <c r="B123" s="1"/>
      <c r="C123" s="1"/>
      <c r="D123" s="1"/>
      <c r="E123" s="1"/>
      <c r="F123" s="1"/>
      <c r="G123" s="1"/>
      <c r="H123" s="1"/>
      <c r="I123" s="1"/>
    </row>
    <row r="124" spans="2:9" ht="15.75" customHeight="1" x14ac:dyDescent="0.25">
      <c r="B124" s="1"/>
      <c r="C124" s="1"/>
      <c r="D124" s="1"/>
      <c r="E124" s="1"/>
      <c r="F124" s="1"/>
      <c r="G124" s="1"/>
      <c r="H124" s="1"/>
      <c r="I124" s="1"/>
    </row>
    <row r="125" spans="2:9" ht="15.75" customHeight="1" x14ac:dyDescent="0.25">
      <c r="B125" s="1"/>
      <c r="C125" s="1"/>
      <c r="D125" s="1"/>
      <c r="E125" s="1"/>
      <c r="F125" s="1"/>
      <c r="G125" s="1"/>
      <c r="H125" s="1"/>
      <c r="I125" s="1"/>
    </row>
    <row r="126" spans="2:9" ht="15.75" customHeight="1" x14ac:dyDescent="0.25">
      <c r="B126" s="1"/>
      <c r="C126" s="1"/>
      <c r="D126" s="1"/>
      <c r="E126" s="1"/>
      <c r="F126" s="1"/>
      <c r="G126" s="1"/>
      <c r="H126" s="1"/>
      <c r="I126" s="1"/>
    </row>
    <row r="127" spans="2:9" ht="15.75" customHeight="1" x14ac:dyDescent="0.25">
      <c r="B127" s="1"/>
      <c r="C127" s="1"/>
      <c r="D127" s="1"/>
      <c r="E127" s="1"/>
      <c r="F127" s="1"/>
      <c r="G127" s="1"/>
      <c r="H127" s="1"/>
      <c r="I127" s="1"/>
    </row>
    <row r="128" spans="2:9" ht="15.75" customHeight="1" x14ac:dyDescent="0.25">
      <c r="B128" s="1"/>
      <c r="C128" s="1"/>
      <c r="D128" s="1"/>
      <c r="E128" s="1"/>
      <c r="F128" s="1"/>
      <c r="G128" s="1"/>
      <c r="H128" s="1"/>
      <c r="I128" s="1"/>
    </row>
    <row r="129" spans="2:9" ht="15.75" customHeight="1" x14ac:dyDescent="0.25">
      <c r="B129" s="1"/>
      <c r="C129" s="1"/>
      <c r="D129" s="1"/>
      <c r="E129" s="1"/>
      <c r="F129" s="1"/>
      <c r="G129" s="1"/>
      <c r="H129" s="1"/>
      <c r="I129" s="1"/>
    </row>
    <row r="130" spans="2:9" ht="15.75" customHeight="1" x14ac:dyDescent="0.25">
      <c r="B130" s="1"/>
      <c r="C130" s="1"/>
      <c r="D130" s="1"/>
      <c r="E130" s="1"/>
      <c r="F130" s="1"/>
      <c r="G130" s="1"/>
      <c r="H130" s="1"/>
      <c r="I130" s="1"/>
    </row>
    <row r="131" spans="2:9" ht="15.75" customHeight="1" x14ac:dyDescent="0.25">
      <c r="B131" s="1"/>
      <c r="C131" s="1"/>
      <c r="D131" s="1"/>
      <c r="E131" s="1"/>
      <c r="F131" s="1"/>
      <c r="G131" s="1"/>
      <c r="H131" s="1"/>
      <c r="I131" s="1"/>
    </row>
    <row r="132" spans="2:9" ht="15.75" customHeight="1" x14ac:dyDescent="0.25">
      <c r="B132" s="1"/>
      <c r="C132" s="1"/>
      <c r="D132" s="1"/>
      <c r="E132" s="1"/>
      <c r="F132" s="1"/>
      <c r="G132" s="1"/>
      <c r="H132" s="1"/>
      <c r="I132" s="1"/>
    </row>
    <row r="133" spans="2:9" ht="15.75" customHeight="1" x14ac:dyDescent="0.25">
      <c r="B133" s="1"/>
      <c r="C133" s="1"/>
      <c r="D133" s="1"/>
      <c r="E133" s="1"/>
      <c r="F133" s="1"/>
      <c r="G133" s="1"/>
      <c r="H133" s="1"/>
      <c r="I133" s="1"/>
    </row>
    <row r="134" spans="2:9" ht="15.75" customHeight="1" x14ac:dyDescent="0.25">
      <c r="B134" s="1"/>
      <c r="C134" s="1"/>
      <c r="D134" s="1"/>
      <c r="E134" s="1"/>
      <c r="F134" s="1"/>
      <c r="G134" s="1"/>
      <c r="H134" s="1"/>
      <c r="I134" s="1"/>
    </row>
    <row r="135" spans="2:9" ht="15.75" customHeight="1" x14ac:dyDescent="0.25">
      <c r="B135" s="1"/>
      <c r="C135" s="1"/>
      <c r="D135" s="1"/>
      <c r="E135" s="1"/>
      <c r="F135" s="1"/>
      <c r="G135" s="1"/>
      <c r="H135" s="1"/>
      <c r="I135" s="1"/>
    </row>
    <row r="136" spans="2:9" ht="15.75" customHeight="1" x14ac:dyDescent="0.25">
      <c r="B136" s="1"/>
      <c r="C136" s="1"/>
      <c r="D136" s="1"/>
      <c r="E136" s="1"/>
      <c r="F136" s="1"/>
      <c r="G136" s="1"/>
      <c r="H136" s="1"/>
      <c r="I136" s="1"/>
    </row>
    <row r="137" spans="2:9" ht="15.75" customHeight="1" x14ac:dyDescent="0.25">
      <c r="B137" s="1"/>
      <c r="C137" s="1"/>
      <c r="D137" s="1"/>
      <c r="E137" s="1"/>
      <c r="F137" s="1"/>
      <c r="G137" s="1"/>
      <c r="H137" s="1"/>
      <c r="I137" s="1"/>
    </row>
    <row r="138" spans="2:9" ht="15.75" customHeight="1" x14ac:dyDescent="0.25">
      <c r="B138" s="1"/>
      <c r="C138" s="1"/>
      <c r="D138" s="1"/>
      <c r="E138" s="1"/>
      <c r="F138" s="1"/>
      <c r="G138" s="1"/>
      <c r="H138" s="1"/>
      <c r="I138" s="1"/>
    </row>
    <row r="139" spans="2:9" ht="15.75" customHeight="1" x14ac:dyDescent="0.25">
      <c r="B139" s="1"/>
      <c r="C139" s="1"/>
      <c r="D139" s="1"/>
      <c r="E139" s="1"/>
      <c r="F139" s="1"/>
      <c r="G139" s="1"/>
      <c r="H139" s="1"/>
      <c r="I139" s="1"/>
    </row>
    <row r="140" spans="2:9" ht="15.75" customHeight="1" x14ac:dyDescent="0.25">
      <c r="B140" s="1"/>
      <c r="C140" s="1"/>
      <c r="D140" s="1"/>
      <c r="E140" s="1"/>
      <c r="F140" s="1"/>
      <c r="G140" s="1"/>
      <c r="H140" s="1"/>
      <c r="I140" s="1"/>
    </row>
    <row r="141" spans="2:9" ht="15.75" customHeight="1" x14ac:dyDescent="0.25">
      <c r="B141" s="1"/>
      <c r="C141" s="1"/>
      <c r="D141" s="1"/>
      <c r="E141" s="1"/>
      <c r="F141" s="1"/>
      <c r="G141" s="1"/>
      <c r="H141" s="1"/>
      <c r="I141" s="1"/>
    </row>
    <row r="142" spans="2:9" ht="15.75" customHeight="1" x14ac:dyDescent="0.25">
      <c r="B142" s="1"/>
      <c r="C142" s="1"/>
      <c r="D142" s="1"/>
      <c r="E142" s="1"/>
      <c r="F142" s="1"/>
      <c r="G142" s="1"/>
      <c r="H142" s="1"/>
      <c r="I142" s="1"/>
    </row>
    <row r="143" spans="2:9" ht="15.75" customHeight="1" x14ac:dyDescent="0.25">
      <c r="B143" s="1"/>
      <c r="C143" s="1"/>
      <c r="D143" s="1"/>
      <c r="E143" s="1"/>
      <c r="F143" s="1"/>
      <c r="G143" s="1"/>
      <c r="H143" s="1"/>
      <c r="I143" s="1"/>
    </row>
    <row r="144" spans="2:9" ht="15.75" customHeight="1" x14ac:dyDescent="0.25">
      <c r="B144" s="1"/>
      <c r="C144" s="1"/>
      <c r="D144" s="1"/>
      <c r="E144" s="1"/>
      <c r="F144" s="1"/>
      <c r="G144" s="1"/>
      <c r="H144" s="1"/>
      <c r="I144" s="1"/>
    </row>
    <row r="145" spans="2:9" ht="15.75" customHeight="1" x14ac:dyDescent="0.25">
      <c r="B145" s="1"/>
      <c r="C145" s="1"/>
      <c r="D145" s="1"/>
      <c r="E145" s="1"/>
      <c r="F145" s="1"/>
      <c r="G145" s="1"/>
      <c r="H145" s="1"/>
      <c r="I145" s="1"/>
    </row>
    <row r="146" spans="2:9" ht="15.75" customHeight="1" x14ac:dyDescent="0.25">
      <c r="B146" s="1"/>
      <c r="C146" s="1"/>
      <c r="D146" s="1"/>
      <c r="E146" s="1"/>
      <c r="F146" s="1"/>
      <c r="G146" s="1"/>
      <c r="H146" s="1"/>
      <c r="I146" s="1"/>
    </row>
    <row r="147" spans="2:9" ht="15.75" customHeight="1" x14ac:dyDescent="0.25">
      <c r="B147" s="1"/>
      <c r="C147" s="1"/>
      <c r="D147" s="1"/>
      <c r="E147" s="1"/>
      <c r="F147" s="1"/>
      <c r="G147" s="1"/>
      <c r="H147" s="1"/>
      <c r="I147" s="1"/>
    </row>
    <row r="148" spans="2:9" ht="15.75" customHeight="1" x14ac:dyDescent="0.25">
      <c r="B148" s="1"/>
      <c r="C148" s="1"/>
      <c r="D148" s="1"/>
      <c r="E148" s="1"/>
      <c r="F148" s="1"/>
      <c r="G148" s="1"/>
      <c r="H148" s="1"/>
      <c r="I148" s="1"/>
    </row>
    <row r="149" spans="2:9" ht="15.75" customHeight="1" x14ac:dyDescent="0.25">
      <c r="B149" s="1"/>
      <c r="C149" s="1"/>
      <c r="D149" s="1"/>
      <c r="E149" s="1"/>
      <c r="F149" s="1"/>
      <c r="G149" s="1"/>
      <c r="H149" s="1"/>
      <c r="I149" s="1"/>
    </row>
    <row r="150" spans="2:9" ht="15.75" customHeight="1" x14ac:dyDescent="0.25">
      <c r="B150" s="1"/>
      <c r="C150" s="1"/>
      <c r="D150" s="1"/>
      <c r="E150" s="1"/>
      <c r="F150" s="1"/>
      <c r="G150" s="1"/>
      <c r="H150" s="1"/>
      <c r="I150" s="1"/>
    </row>
    <row r="151" spans="2:9" ht="15.75" customHeight="1" x14ac:dyDescent="0.25">
      <c r="B151" s="1"/>
      <c r="C151" s="1"/>
      <c r="D151" s="1"/>
      <c r="E151" s="1"/>
      <c r="F151" s="1"/>
      <c r="G151" s="1"/>
      <c r="H151" s="1"/>
      <c r="I151" s="1"/>
    </row>
    <row r="152" spans="2:9" ht="15.75" customHeight="1" x14ac:dyDescent="0.25">
      <c r="B152" s="1"/>
      <c r="C152" s="1"/>
      <c r="D152" s="1"/>
      <c r="E152" s="1"/>
      <c r="F152" s="1"/>
      <c r="G152" s="1"/>
      <c r="H152" s="1"/>
      <c r="I152" s="1"/>
    </row>
    <row r="153" spans="2:9" ht="15.75" customHeight="1" x14ac:dyDescent="0.25">
      <c r="B153" s="1"/>
      <c r="C153" s="1"/>
      <c r="D153" s="1"/>
      <c r="E153" s="1"/>
      <c r="F153" s="1"/>
      <c r="G153" s="1"/>
      <c r="H153" s="1"/>
      <c r="I153" s="1"/>
    </row>
    <row r="154" spans="2:9" ht="15.75" customHeight="1" x14ac:dyDescent="0.25">
      <c r="B154" s="1"/>
      <c r="C154" s="1"/>
      <c r="D154" s="1"/>
      <c r="E154" s="1"/>
      <c r="F154" s="1"/>
      <c r="G154" s="1"/>
      <c r="H154" s="1"/>
      <c r="I154" s="1"/>
    </row>
    <row r="155" spans="2:9" ht="15.75" customHeight="1" x14ac:dyDescent="0.25">
      <c r="B155" s="1"/>
      <c r="C155" s="1"/>
      <c r="D155" s="1"/>
      <c r="E155" s="1"/>
      <c r="F155" s="1"/>
      <c r="G155" s="1"/>
      <c r="H155" s="1"/>
      <c r="I155" s="1"/>
    </row>
    <row r="156" spans="2:9" ht="15.75" customHeight="1" x14ac:dyDescent="0.25">
      <c r="B156" s="1"/>
      <c r="C156" s="1"/>
      <c r="D156" s="1"/>
      <c r="E156" s="1"/>
      <c r="F156" s="1"/>
      <c r="G156" s="1"/>
      <c r="H156" s="1"/>
      <c r="I156" s="1"/>
    </row>
    <row r="157" spans="2:9" ht="15.75" customHeight="1" x14ac:dyDescent="0.25">
      <c r="B157" s="1"/>
      <c r="C157" s="1"/>
      <c r="D157" s="1"/>
      <c r="E157" s="1"/>
      <c r="F157" s="1"/>
      <c r="G157" s="1"/>
      <c r="H157" s="1"/>
      <c r="I157" s="1"/>
    </row>
    <row r="158" spans="2:9" ht="15.75" customHeight="1" x14ac:dyDescent="0.25">
      <c r="B158" s="1"/>
      <c r="C158" s="1"/>
      <c r="D158" s="1"/>
      <c r="E158" s="1"/>
      <c r="F158" s="1"/>
      <c r="G158" s="1"/>
      <c r="H158" s="1"/>
      <c r="I158" s="1"/>
    </row>
    <row r="159" spans="2:9" ht="15.75" customHeight="1" x14ac:dyDescent="0.25">
      <c r="B159" s="1"/>
      <c r="C159" s="1"/>
      <c r="D159" s="1"/>
      <c r="E159" s="1"/>
      <c r="F159" s="1"/>
      <c r="G159" s="1"/>
      <c r="H159" s="1"/>
      <c r="I159" s="1"/>
    </row>
    <row r="160" spans="2:9" ht="15.75" customHeight="1" x14ac:dyDescent="0.25">
      <c r="B160" s="1"/>
      <c r="C160" s="1"/>
      <c r="D160" s="1"/>
      <c r="E160" s="1"/>
      <c r="F160" s="1"/>
      <c r="G160" s="1"/>
      <c r="H160" s="1"/>
      <c r="I160" s="1"/>
    </row>
    <row r="161" spans="2:9" ht="15.75" customHeight="1" x14ac:dyDescent="0.25">
      <c r="B161" s="1"/>
      <c r="C161" s="1"/>
      <c r="D161" s="1"/>
      <c r="E161" s="1"/>
      <c r="F161" s="1"/>
      <c r="G161" s="1"/>
      <c r="H161" s="1"/>
      <c r="I161" s="1"/>
    </row>
    <row r="162" spans="2:9" ht="15.75" customHeight="1" x14ac:dyDescent="0.25">
      <c r="B162" s="1"/>
      <c r="C162" s="1"/>
      <c r="D162" s="1"/>
      <c r="E162" s="1"/>
      <c r="F162" s="1"/>
      <c r="G162" s="1"/>
      <c r="H162" s="1"/>
      <c r="I162" s="1"/>
    </row>
    <row r="163" spans="2:9" ht="15.75" customHeight="1" x14ac:dyDescent="0.25">
      <c r="B163" s="1"/>
      <c r="C163" s="1"/>
      <c r="D163" s="1"/>
      <c r="E163" s="1"/>
      <c r="F163" s="1"/>
      <c r="G163" s="1"/>
      <c r="H163" s="1"/>
      <c r="I163" s="1"/>
    </row>
    <row r="164" spans="2:9" ht="15.75" customHeight="1" x14ac:dyDescent="0.25">
      <c r="B164" s="1"/>
      <c r="C164" s="1"/>
      <c r="D164" s="1"/>
      <c r="E164" s="1"/>
      <c r="F164" s="1"/>
      <c r="G164" s="1"/>
      <c r="H164" s="1"/>
      <c r="I164" s="1"/>
    </row>
    <row r="165" spans="2:9" ht="15.75" customHeight="1" x14ac:dyDescent="0.25">
      <c r="B165" s="1"/>
      <c r="C165" s="1"/>
      <c r="D165" s="1"/>
      <c r="E165" s="1"/>
      <c r="F165" s="1"/>
      <c r="G165" s="1"/>
      <c r="H165" s="1"/>
      <c r="I165" s="1"/>
    </row>
    <row r="166" spans="2:9" ht="15.75" customHeight="1" x14ac:dyDescent="0.25">
      <c r="B166" s="1"/>
      <c r="C166" s="1"/>
      <c r="D166" s="1"/>
      <c r="E166" s="1"/>
      <c r="F166" s="1"/>
      <c r="G166" s="1"/>
      <c r="H166" s="1"/>
      <c r="I166" s="1"/>
    </row>
    <row r="167" spans="2:9" ht="15.75" customHeight="1" x14ac:dyDescent="0.25">
      <c r="B167" s="1"/>
      <c r="C167" s="1"/>
      <c r="D167" s="1"/>
      <c r="E167" s="1"/>
      <c r="F167" s="1"/>
      <c r="G167" s="1"/>
      <c r="H167" s="1"/>
      <c r="I167" s="1"/>
    </row>
    <row r="168" spans="2:9" ht="15.75" customHeight="1" x14ac:dyDescent="0.25">
      <c r="B168" s="1"/>
      <c r="C168" s="1"/>
      <c r="D168" s="1"/>
      <c r="E168" s="1"/>
      <c r="F168" s="1"/>
      <c r="G168" s="1"/>
      <c r="H168" s="1"/>
      <c r="I168" s="1"/>
    </row>
    <row r="169" spans="2:9" ht="15.75" customHeight="1" x14ac:dyDescent="0.25">
      <c r="B169" s="1"/>
      <c r="C169" s="1"/>
      <c r="D169" s="1"/>
      <c r="E169" s="1"/>
      <c r="F169" s="1"/>
      <c r="G169" s="1"/>
      <c r="H169" s="1"/>
      <c r="I169" s="1"/>
    </row>
    <row r="170" spans="2:9" ht="15.75" customHeight="1" x14ac:dyDescent="0.25">
      <c r="B170" s="1"/>
      <c r="C170" s="1"/>
      <c r="D170" s="1"/>
      <c r="E170" s="1"/>
      <c r="F170" s="1"/>
      <c r="G170" s="1"/>
      <c r="H170" s="1"/>
      <c r="I170" s="1"/>
    </row>
    <row r="171" spans="2:9" ht="15.75" customHeight="1" x14ac:dyDescent="0.25">
      <c r="B171" s="1"/>
      <c r="C171" s="1"/>
      <c r="D171" s="1"/>
      <c r="E171" s="1"/>
      <c r="F171" s="1"/>
      <c r="G171" s="1"/>
      <c r="H171" s="1"/>
      <c r="I171" s="1"/>
    </row>
    <row r="172" spans="2:9" ht="15.75" customHeight="1" x14ac:dyDescent="0.25">
      <c r="B172" s="1"/>
      <c r="C172" s="1"/>
      <c r="D172" s="1"/>
      <c r="E172" s="1"/>
      <c r="F172" s="1"/>
      <c r="G172" s="1"/>
      <c r="H172" s="1"/>
      <c r="I172" s="1"/>
    </row>
    <row r="173" spans="2:9" ht="15.75" customHeight="1" x14ac:dyDescent="0.25">
      <c r="B173" s="1"/>
      <c r="C173" s="1"/>
      <c r="D173" s="1"/>
      <c r="E173" s="1"/>
      <c r="F173" s="1"/>
      <c r="G173" s="1"/>
      <c r="H173" s="1"/>
      <c r="I173" s="1"/>
    </row>
    <row r="174" spans="2:9" ht="15.75" customHeight="1" x14ac:dyDescent="0.25">
      <c r="B174" s="1"/>
      <c r="C174" s="1"/>
      <c r="D174" s="1"/>
      <c r="E174" s="1"/>
      <c r="F174" s="1"/>
      <c r="G174" s="1"/>
      <c r="H174" s="1"/>
      <c r="I174" s="1"/>
    </row>
    <row r="175" spans="2:9" ht="15.75" customHeight="1" x14ac:dyDescent="0.25">
      <c r="B175" s="1"/>
      <c r="C175" s="1"/>
      <c r="D175" s="1"/>
      <c r="E175" s="1"/>
      <c r="F175" s="1"/>
      <c r="G175" s="1"/>
      <c r="H175" s="1"/>
      <c r="I175" s="1"/>
    </row>
    <row r="176" spans="2:9" ht="15.75" customHeight="1" x14ac:dyDescent="0.25">
      <c r="B176" s="1"/>
      <c r="C176" s="1"/>
      <c r="D176" s="1"/>
      <c r="E176" s="1"/>
      <c r="F176" s="1"/>
      <c r="G176" s="1"/>
      <c r="H176" s="1"/>
      <c r="I176" s="1"/>
    </row>
    <row r="177" spans="2:9" ht="15.75" customHeight="1" x14ac:dyDescent="0.25">
      <c r="B177" s="1"/>
      <c r="C177" s="1"/>
      <c r="D177" s="1"/>
      <c r="E177" s="1"/>
      <c r="F177" s="1"/>
      <c r="G177" s="1"/>
      <c r="H177" s="1"/>
      <c r="I177" s="1"/>
    </row>
    <row r="178" spans="2:9" ht="15.75" customHeight="1" x14ac:dyDescent="0.25">
      <c r="B178" s="1"/>
      <c r="C178" s="1"/>
      <c r="D178" s="1"/>
      <c r="E178" s="1"/>
      <c r="F178" s="1"/>
      <c r="G178" s="1"/>
      <c r="H178" s="1"/>
      <c r="I178" s="1"/>
    </row>
    <row r="179" spans="2:9" ht="15.75" customHeight="1" x14ac:dyDescent="0.25">
      <c r="B179" s="1"/>
      <c r="C179" s="1"/>
      <c r="D179" s="1"/>
      <c r="E179" s="1"/>
      <c r="F179" s="1"/>
      <c r="G179" s="1"/>
      <c r="H179" s="1"/>
      <c r="I179" s="1"/>
    </row>
    <row r="180" spans="2:9" ht="15.75" customHeight="1" x14ac:dyDescent="0.25">
      <c r="B180" s="1"/>
      <c r="C180" s="1"/>
      <c r="D180" s="1"/>
      <c r="E180" s="1"/>
      <c r="F180" s="1"/>
      <c r="G180" s="1"/>
      <c r="H180" s="1"/>
      <c r="I180" s="1"/>
    </row>
    <row r="181" spans="2:9" ht="15.75" customHeight="1" x14ac:dyDescent="0.25">
      <c r="B181" s="1"/>
      <c r="C181" s="1"/>
      <c r="D181" s="1"/>
      <c r="E181" s="1"/>
      <c r="F181" s="1"/>
      <c r="G181" s="1"/>
      <c r="H181" s="1"/>
      <c r="I181" s="1"/>
    </row>
    <row r="182" spans="2:9" ht="15.75" customHeight="1" x14ac:dyDescent="0.25">
      <c r="B182" s="1"/>
      <c r="C182" s="1"/>
      <c r="D182" s="1"/>
      <c r="E182" s="1"/>
      <c r="F182" s="1"/>
      <c r="G182" s="1"/>
      <c r="H182" s="1"/>
      <c r="I182" s="1"/>
    </row>
    <row r="183" spans="2:9" ht="15.75" customHeight="1" x14ac:dyDescent="0.25">
      <c r="B183" s="1"/>
      <c r="C183" s="1"/>
      <c r="D183" s="1"/>
      <c r="E183" s="1"/>
      <c r="F183" s="1"/>
      <c r="G183" s="1"/>
      <c r="H183" s="1"/>
      <c r="I183" s="1"/>
    </row>
    <row r="184" spans="2:9" ht="15.75" customHeight="1" x14ac:dyDescent="0.25">
      <c r="B184" s="1"/>
      <c r="C184" s="1"/>
      <c r="D184" s="1"/>
      <c r="E184" s="1"/>
      <c r="F184" s="1"/>
      <c r="G184" s="1"/>
      <c r="H184" s="1"/>
      <c r="I184" s="1"/>
    </row>
    <row r="185" spans="2:9" ht="15.75" customHeight="1" x14ac:dyDescent="0.25">
      <c r="B185" s="1"/>
      <c r="C185" s="1"/>
      <c r="D185" s="1"/>
      <c r="E185" s="1"/>
      <c r="F185" s="1"/>
      <c r="G185" s="1"/>
      <c r="H185" s="1"/>
      <c r="I185" s="1"/>
    </row>
    <row r="186" spans="2:9" ht="15.75" customHeight="1" x14ac:dyDescent="0.25">
      <c r="B186" s="1"/>
      <c r="C186" s="1"/>
      <c r="D186" s="1"/>
      <c r="E186" s="1"/>
      <c r="F186" s="1"/>
      <c r="G186" s="1"/>
      <c r="H186" s="1"/>
      <c r="I186" s="1"/>
    </row>
    <row r="187" spans="2:9" ht="15.75" customHeight="1" x14ac:dyDescent="0.25">
      <c r="B187" s="1"/>
      <c r="C187" s="1"/>
      <c r="D187" s="1"/>
      <c r="E187" s="1"/>
      <c r="F187" s="1"/>
      <c r="G187" s="1"/>
      <c r="H187" s="1"/>
      <c r="I187" s="1"/>
    </row>
    <row r="188" spans="2:9" ht="15.75" customHeight="1" x14ac:dyDescent="0.25">
      <c r="B188" s="1"/>
      <c r="C188" s="1"/>
      <c r="D188" s="1"/>
      <c r="E188" s="1"/>
      <c r="F188" s="1"/>
      <c r="G188" s="1"/>
      <c r="H188" s="1"/>
      <c r="I188" s="1"/>
    </row>
    <row r="189" spans="2:9" ht="15.75" customHeight="1" x14ac:dyDescent="0.25">
      <c r="B189" s="1"/>
      <c r="C189" s="1"/>
      <c r="D189" s="1"/>
      <c r="E189" s="1"/>
      <c r="F189" s="1"/>
      <c r="G189" s="1"/>
      <c r="H189" s="1"/>
      <c r="I189" s="1"/>
    </row>
    <row r="190" spans="2:9" ht="15.75" customHeight="1" x14ac:dyDescent="0.25">
      <c r="B190" s="1"/>
      <c r="C190" s="1"/>
      <c r="D190" s="1"/>
      <c r="E190" s="1"/>
      <c r="F190" s="1"/>
      <c r="G190" s="1"/>
      <c r="H190" s="1"/>
      <c r="I190" s="1"/>
    </row>
    <row r="191" spans="2:9" ht="15.75" customHeight="1" x14ac:dyDescent="0.25">
      <c r="B191" s="1"/>
      <c r="C191" s="1"/>
      <c r="D191" s="1"/>
      <c r="E191" s="1"/>
      <c r="F191" s="1"/>
      <c r="G191" s="1"/>
      <c r="H191" s="1"/>
      <c r="I191" s="1"/>
    </row>
    <row r="192" spans="2:9" ht="15.75" customHeight="1" x14ac:dyDescent="0.25">
      <c r="B192" s="1"/>
      <c r="C192" s="1"/>
      <c r="D192" s="1"/>
      <c r="E192" s="1"/>
      <c r="F192" s="1"/>
      <c r="G192" s="1"/>
      <c r="H192" s="1"/>
      <c r="I192" s="1"/>
    </row>
    <row r="193" spans="2:9" ht="15.75" customHeight="1" x14ac:dyDescent="0.25">
      <c r="B193" s="1"/>
      <c r="C193" s="1"/>
      <c r="D193" s="1"/>
      <c r="E193" s="1"/>
      <c r="F193" s="1"/>
      <c r="G193" s="1"/>
      <c r="H193" s="1"/>
      <c r="I193" s="1"/>
    </row>
    <row r="194" spans="2:9" ht="15.75" customHeight="1" x14ac:dyDescent="0.25">
      <c r="B194" s="1"/>
      <c r="C194" s="1"/>
      <c r="D194" s="1"/>
      <c r="E194" s="1"/>
      <c r="F194" s="1"/>
      <c r="G194" s="1"/>
      <c r="H194" s="1"/>
      <c r="I194" s="1"/>
    </row>
    <row r="195" spans="2:9" ht="15.75" customHeight="1" x14ac:dyDescent="0.25">
      <c r="B195" s="1"/>
      <c r="C195" s="1"/>
      <c r="D195" s="1"/>
      <c r="E195" s="1"/>
      <c r="F195" s="1"/>
      <c r="G195" s="1"/>
      <c r="H195" s="1"/>
      <c r="I195" s="1"/>
    </row>
    <row r="196" spans="2:9" ht="15.75" customHeight="1" x14ac:dyDescent="0.25">
      <c r="B196" s="1"/>
      <c r="C196" s="1"/>
      <c r="D196" s="1"/>
      <c r="E196" s="1"/>
      <c r="F196" s="1"/>
      <c r="G196" s="1"/>
      <c r="H196" s="1"/>
      <c r="I196" s="1"/>
    </row>
    <row r="197" spans="2:9" ht="15.75" customHeight="1" x14ac:dyDescent="0.25">
      <c r="B197" s="1"/>
      <c r="C197" s="1"/>
      <c r="D197" s="1"/>
      <c r="E197" s="1"/>
      <c r="F197" s="1"/>
      <c r="G197" s="1"/>
      <c r="H197" s="1"/>
      <c r="I197" s="1"/>
    </row>
    <row r="198" spans="2:9" ht="15.75" customHeight="1" x14ac:dyDescent="0.25">
      <c r="B198" s="1"/>
      <c r="C198" s="1"/>
      <c r="D198" s="1"/>
      <c r="E198" s="1"/>
      <c r="F198" s="1"/>
      <c r="G198" s="1"/>
      <c r="H198" s="1"/>
      <c r="I198" s="1"/>
    </row>
    <row r="199" spans="2:9" ht="15.75" customHeight="1" x14ac:dyDescent="0.25">
      <c r="B199" s="1"/>
      <c r="C199" s="1"/>
      <c r="D199" s="1"/>
      <c r="E199" s="1"/>
      <c r="F199" s="1"/>
      <c r="G199" s="1"/>
      <c r="H199" s="1"/>
      <c r="I199" s="1"/>
    </row>
    <row r="200" spans="2:9" ht="15.75" customHeight="1" x14ac:dyDescent="0.25">
      <c r="B200" s="1"/>
      <c r="C200" s="1"/>
      <c r="D200" s="1"/>
      <c r="E200" s="1"/>
      <c r="F200" s="1"/>
      <c r="G200" s="1"/>
      <c r="H200" s="1"/>
      <c r="I200" s="1"/>
    </row>
    <row r="201" spans="2:9" ht="15.75" customHeight="1" x14ac:dyDescent="0.25">
      <c r="B201" s="1"/>
      <c r="C201" s="1"/>
      <c r="D201" s="1"/>
      <c r="E201" s="1"/>
      <c r="F201" s="1"/>
      <c r="G201" s="1"/>
      <c r="H201" s="1"/>
      <c r="I201" s="1"/>
    </row>
    <row r="202" spans="2:9" ht="15.75" customHeight="1" x14ac:dyDescent="0.25">
      <c r="B202" s="1"/>
      <c r="C202" s="1"/>
      <c r="D202" s="1"/>
      <c r="E202" s="1"/>
      <c r="F202" s="1"/>
      <c r="G202" s="1"/>
      <c r="H202" s="1"/>
      <c r="I202" s="1"/>
    </row>
    <row r="203" spans="2:9" ht="15.75" customHeight="1" x14ac:dyDescent="0.25">
      <c r="B203" s="1"/>
      <c r="C203" s="1"/>
      <c r="D203" s="1"/>
      <c r="E203" s="1"/>
      <c r="F203" s="1"/>
      <c r="G203" s="1"/>
      <c r="H203" s="1"/>
      <c r="I203" s="1"/>
    </row>
    <row r="204" spans="2:9" ht="15.75" customHeight="1" x14ac:dyDescent="0.25">
      <c r="B204" s="1"/>
      <c r="C204" s="1"/>
      <c r="D204" s="1"/>
      <c r="E204" s="1"/>
      <c r="F204" s="1"/>
      <c r="G204" s="1"/>
      <c r="H204" s="1"/>
      <c r="I204" s="1"/>
    </row>
    <row r="205" spans="2:9" ht="15.75" customHeight="1" x14ac:dyDescent="0.25">
      <c r="B205" s="1"/>
      <c r="C205" s="1"/>
      <c r="D205" s="1"/>
      <c r="E205" s="1"/>
      <c r="F205" s="1"/>
      <c r="G205" s="1"/>
      <c r="H205" s="1"/>
      <c r="I205" s="1"/>
    </row>
    <row r="206" spans="2:9" ht="15.75" customHeight="1" x14ac:dyDescent="0.25">
      <c r="B206" s="1"/>
      <c r="C206" s="1"/>
      <c r="D206" s="1"/>
      <c r="E206" s="1"/>
      <c r="F206" s="1"/>
      <c r="G206" s="1"/>
      <c r="H206" s="1"/>
      <c r="I206" s="1"/>
    </row>
    <row r="207" spans="2:9" ht="15.75" customHeight="1" x14ac:dyDescent="0.25">
      <c r="B207" s="1"/>
      <c r="C207" s="1"/>
      <c r="D207" s="1"/>
      <c r="E207" s="1"/>
      <c r="F207" s="1"/>
      <c r="G207" s="1"/>
      <c r="H207" s="1"/>
      <c r="I207" s="1"/>
    </row>
    <row r="208" spans="2:9" ht="15.75" customHeight="1" x14ac:dyDescent="0.25">
      <c r="B208" s="1"/>
      <c r="C208" s="1"/>
      <c r="D208" s="1"/>
      <c r="E208" s="1"/>
      <c r="F208" s="1"/>
      <c r="G208" s="1"/>
      <c r="H208" s="1"/>
      <c r="I208" s="1"/>
    </row>
    <row r="209" spans="2:9" ht="15.75" customHeight="1" x14ac:dyDescent="0.25">
      <c r="B209" s="1"/>
      <c r="C209" s="1"/>
      <c r="D209" s="1"/>
      <c r="E209" s="1"/>
      <c r="F209" s="1"/>
      <c r="G209" s="1"/>
      <c r="H209" s="1"/>
      <c r="I209" s="1"/>
    </row>
    <row r="210" spans="2:9" ht="15.75" customHeight="1" x14ac:dyDescent="0.25">
      <c r="B210" s="1"/>
      <c r="C210" s="1"/>
      <c r="D210" s="1"/>
      <c r="E210" s="1"/>
      <c r="F210" s="1"/>
      <c r="G210" s="1"/>
      <c r="H210" s="1"/>
      <c r="I210" s="1"/>
    </row>
    <row r="211" spans="2:9" ht="15.75" customHeight="1" x14ac:dyDescent="0.25">
      <c r="B211" s="1"/>
      <c r="C211" s="1"/>
      <c r="D211" s="1"/>
      <c r="E211" s="1"/>
      <c r="F211" s="1"/>
      <c r="G211" s="1"/>
      <c r="H211" s="1"/>
      <c r="I211" s="1"/>
    </row>
    <row r="212" spans="2:9" ht="15.75" customHeight="1" x14ac:dyDescent="0.25">
      <c r="B212" s="1"/>
      <c r="C212" s="1"/>
      <c r="D212" s="1"/>
      <c r="E212" s="1"/>
      <c r="F212" s="1"/>
      <c r="G212" s="1"/>
      <c r="H212" s="1"/>
      <c r="I212" s="1"/>
    </row>
    <row r="213" spans="2:9" ht="15.75" customHeight="1" x14ac:dyDescent="0.25">
      <c r="B213" s="1"/>
      <c r="C213" s="1"/>
      <c r="D213" s="1"/>
      <c r="E213" s="1"/>
      <c r="F213" s="1"/>
      <c r="G213" s="1"/>
      <c r="H213" s="1"/>
      <c r="I213" s="1"/>
    </row>
    <row r="214" spans="2:9" ht="15.75" customHeight="1" x14ac:dyDescent="0.25">
      <c r="B214" s="1"/>
      <c r="C214" s="1"/>
      <c r="D214" s="1"/>
      <c r="E214" s="1"/>
      <c r="F214" s="1"/>
      <c r="G214" s="1"/>
      <c r="H214" s="1"/>
      <c r="I214" s="1"/>
    </row>
    <row r="215" spans="2:9" ht="15.75" customHeight="1" x14ac:dyDescent="0.25">
      <c r="B215" s="1"/>
      <c r="C215" s="1"/>
      <c r="D215" s="1"/>
      <c r="E215" s="1"/>
      <c r="F215" s="1"/>
      <c r="G215" s="1"/>
      <c r="H215" s="1"/>
      <c r="I215" s="1"/>
    </row>
    <row r="216" spans="2:9" ht="15.75" customHeight="1" x14ac:dyDescent="0.25">
      <c r="B216" s="1"/>
      <c r="C216" s="1"/>
      <c r="D216" s="1"/>
      <c r="E216" s="1"/>
      <c r="F216" s="1"/>
      <c r="G216" s="1"/>
      <c r="H216" s="1"/>
      <c r="I216" s="1"/>
    </row>
    <row r="217" spans="2:9" ht="15.75" customHeight="1" x14ac:dyDescent="0.25">
      <c r="B217" s="1"/>
      <c r="C217" s="1"/>
      <c r="D217" s="1"/>
      <c r="E217" s="1"/>
      <c r="F217" s="1"/>
      <c r="G217" s="1"/>
      <c r="H217" s="1"/>
      <c r="I217" s="1"/>
    </row>
    <row r="218" spans="2:9" ht="15.75" customHeight="1" x14ac:dyDescent="0.25">
      <c r="B218" s="1"/>
      <c r="C218" s="1"/>
      <c r="D218" s="1"/>
      <c r="E218" s="1"/>
      <c r="F218" s="1"/>
      <c r="G218" s="1"/>
      <c r="H218" s="1"/>
      <c r="I218" s="1"/>
    </row>
    <row r="219" spans="2:9" ht="15.75" customHeight="1" x14ac:dyDescent="0.25">
      <c r="B219" s="1"/>
      <c r="C219" s="1"/>
      <c r="D219" s="1"/>
      <c r="E219" s="1"/>
      <c r="F219" s="1"/>
      <c r="G219" s="1"/>
      <c r="H219" s="1"/>
      <c r="I219" s="1"/>
    </row>
    <row r="220" spans="2:9" ht="15.75" customHeight="1" x14ac:dyDescent="0.25">
      <c r="B220" s="1"/>
      <c r="C220" s="1"/>
      <c r="D220" s="1"/>
      <c r="E220" s="1"/>
      <c r="F220" s="1"/>
      <c r="G220" s="1"/>
      <c r="H220" s="1"/>
      <c r="I220" s="1"/>
    </row>
    <row r="221" spans="2:9" ht="15.75" customHeight="1" x14ac:dyDescent="0.25">
      <c r="B221" s="1"/>
      <c r="C221" s="1"/>
      <c r="D221" s="1"/>
      <c r="E221" s="1"/>
      <c r="F221" s="1"/>
      <c r="G221" s="1"/>
      <c r="H221" s="1"/>
      <c r="I221" s="1"/>
    </row>
    <row r="222" spans="2:9" ht="15.75" customHeight="1" x14ac:dyDescent="0.25">
      <c r="B222" s="1"/>
      <c r="C222" s="1"/>
      <c r="D222" s="1"/>
      <c r="E222" s="1"/>
      <c r="F222" s="1"/>
      <c r="G222" s="1"/>
      <c r="H222" s="1"/>
      <c r="I222" s="1"/>
    </row>
    <row r="223" spans="2:9" ht="15.75" customHeight="1" x14ac:dyDescent="0.25">
      <c r="B223" s="1"/>
      <c r="C223" s="1"/>
      <c r="D223" s="1"/>
      <c r="E223" s="1"/>
      <c r="F223" s="1"/>
      <c r="G223" s="1"/>
      <c r="H223" s="1"/>
      <c r="I223" s="1"/>
    </row>
    <row r="224" spans="2:9" ht="15.75" customHeight="1" x14ac:dyDescent="0.25">
      <c r="B224" s="1"/>
      <c r="C224" s="1"/>
      <c r="D224" s="1"/>
      <c r="E224" s="1"/>
      <c r="F224" s="1"/>
      <c r="G224" s="1"/>
      <c r="H224" s="1"/>
      <c r="I224" s="1"/>
    </row>
    <row r="225" spans="2:9" ht="15.75" customHeight="1" x14ac:dyDescent="0.25">
      <c r="B225" s="1"/>
      <c r="C225" s="1"/>
      <c r="D225" s="1"/>
      <c r="E225" s="1"/>
      <c r="F225" s="1"/>
      <c r="G225" s="1"/>
      <c r="H225" s="1"/>
      <c r="I225" s="1"/>
    </row>
    <row r="226" spans="2:9" ht="15.75" customHeight="1" x14ac:dyDescent="0.25">
      <c r="B226" s="1"/>
      <c r="C226" s="1"/>
      <c r="D226" s="1"/>
      <c r="E226" s="1"/>
      <c r="F226" s="1"/>
      <c r="G226" s="1"/>
      <c r="H226" s="1"/>
      <c r="I226" s="1"/>
    </row>
    <row r="227" spans="2:9" ht="15.75" customHeight="1" x14ac:dyDescent="0.25">
      <c r="B227" s="1"/>
      <c r="C227" s="1"/>
      <c r="D227" s="1"/>
      <c r="E227" s="1"/>
      <c r="F227" s="1"/>
      <c r="G227" s="1"/>
      <c r="H227" s="1"/>
      <c r="I227" s="1"/>
    </row>
    <row r="228" spans="2:9" ht="15.75" customHeight="1" x14ac:dyDescent="0.25">
      <c r="B228" s="1"/>
      <c r="C228" s="1"/>
      <c r="D228" s="1"/>
      <c r="E228" s="1"/>
      <c r="F228" s="1"/>
      <c r="G228" s="1"/>
      <c r="H228" s="1"/>
      <c r="I228" s="1"/>
    </row>
    <row r="229" spans="2:9" ht="15.75" customHeight="1" x14ac:dyDescent="0.25">
      <c r="B229" s="1"/>
      <c r="C229" s="1"/>
      <c r="D229" s="1"/>
      <c r="E229" s="1"/>
      <c r="F229" s="1"/>
      <c r="G229" s="1"/>
      <c r="H229" s="1"/>
      <c r="I229" s="1"/>
    </row>
    <row r="230" spans="2:9" ht="15.75" customHeight="1" x14ac:dyDescent="0.25">
      <c r="B230" s="1"/>
      <c r="C230" s="1"/>
      <c r="D230" s="1"/>
      <c r="E230" s="1"/>
      <c r="F230" s="1"/>
      <c r="G230" s="1"/>
      <c r="H230" s="1"/>
      <c r="I230" s="1"/>
    </row>
    <row r="231" spans="2:9" ht="15.75" customHeight="1" x14ac:dyDescent="0.25">
      <c r="B231" s="1"/>
      <c r="C231" s="1"/>
      <c r="D231" s="1"/>
      <c r="E231" s="1"/>
      <c r="F231" s="1"/>
      <c r="G231" s="1"/>
      <c r="H231" s="1"/>
      <c r="I231" s="1"/>
    </row>
    <row r="232" spans="2:9" ht="15.75" customHeight="1" x14ac:dyDescent="0.25">
      <c r="B232" s="1"/>
      <c r="C232" s="1"/>
      <c r="D232" s="1"/>
      <c r="E232" s="1"/>
      <c r="F232" s="1"/>
      <c r="G232" s="1"/>
      <c r="H232" s="1"/>
      <c r="I232" s="1"/>
    </row>
    <row r="233" spans="2:9" ht="15.75" customHeight="1" x14ac:dyDescent="0.25">
      <c r="B233" s="1"/>
      <c r="C233" s="1"/>
      <c r="D233" s="1"/>
      <c r="E233" s="1"/>
      <c r="F233" s="1"/>
      <c r="G233" s="1"/>
      <c r="H233" s="1"/>
      <c r="I233" s="1"/>
    </row>
    <row r="234" spans="2:9" ht="15.75" customHeight="1" x14ac:dyDescent="0.25">
      <c r="B234" s="1"/>
      <c r="C234" s="1"/>
      <c r="D234" s="1"/>
      <c r="E234" s="1"/>
      <c r="F234" s="1"/>
      <c r="G234" s="1"/>
      <c r="H234" s="1"/>
      <c r="I234" s="1"/>
    </row>
    <row r="235" spans="2:9" ht="15.75" customHeight="1" x14ac:dyDescent="0.25">
      <c r="B235" s="1"/>
      <c r="C235" s="1"/>
      <c r="D235" s="1"/>
      <c r="E235" s="1"/>
      <c r="F235" s="1"/>
      <c r="G235" s="1"/>
      <c r="H235" s="1"/>
      <c r="I235" s="1"/>
    </row>
    <row r="236" spans="2:9" ht="15.75" customHeight="1" x14ac:dyDescent="0.25">
      <c r="B236" s="1"/>
      <c r="C236" s="1"/>
      <c r="D236" s="1"/>
      <c r="E236" s="1"/>
      <c r="F236" s="1"/>
      <c r="G236" s="1"/>
      <c r="H236" s="1"/>
      <c r="I236" s="1"/>
    </row>
    <row r="237" spans="2:9" ht="15.75" customHeight="1" x14ac:dyDescent="0.25">
      <c r="B237" s="1"/>
      <c r="C237" s="1"/>
      <c r="D237" s="1"/>
      <c r="E237" s="1"/>
      <c r="F237" s="1"/>
      <c r="G237" s="1"/>
      <c r="H237" s="1"/>
      <c r="I237" s="1"/>
    </row>
    <row r="238" spans="2:9" ht="15.75" customHeight="1" x14ac:dyDescent="0.25">
      <c r="B238" s="1"/>
      <c r="C238" s="1"/>
      <c r="D238" s="1"/>
      <c r="E238" s="1"/>
      <c r="F238" s="1"/>
      <c r="G238" s="1"/>
      <c r="H238" s="1"/>
      <c r="I238" s="1"/>
    </row>
    <row r="239" spans="2:9" ht="15.75" customHeight="1" x14ac:dyDescent="0.25">
      <c r="B239" s="1"/>
      <c r="C239" s="1"/>
      <c r="D239" s="1"/>
      <c r="E239" s="1"/>
      <c r="F239" s="1"/>
      <c r="G239" s="1"/>
      <c r="H239" s="1"/>
      <c r="I239" s="1"/>
    </row>
    <row r="240" spans="2:9" ht="15.75" customHeight="1" x14ac:dyDescent="0.25">
      <c r="B240" s="1"/>
      <c r="C240" s="1"/>
      <c r="D240" s="1"/>
      <c r="E240" s="1"/>
      <c r="F240" s="1"/>
      <c r="G240" s="1"/>
      <c r="H240" s="1"/>
      <c r="I240" s="1"/>
    </row>
    <row r="241" spans="2:9" ht="15.75" customHeight="1" x14ac:dyDescent="0.25">
      <c r="B241" s="1"/>
      <c r="C241" s="1"/>
      <c r="D241" s="1"/>
      <c r="E241" s="1"/>
      <c r="F241" s="1"/>
      <c r="G241" s="1"/>
      <c r="H241" s="1"/>
      <c r="I241" s="1"/>
    </row>
    <row r="242" spans="2:9" ht="15.75" customHeight="1" x14ac:dyDescent="0.25">
      <c r="B242" s="1"/>
      <c r="C242" s="1"/>
      <c r="D242" s="1"/>
      <c r="E242" s="1"/>
      <c r="F242" s="1"/>
      <c r="G242" s="1"/>
      <c r="H242" s="1"/>
      <c r="I242" s="1"/>
    </row>
    <row r="243" spans="2:9" ht="15.75" customHeight="1" x14ac:dyDescent="0.25">
      <c r="B243" s="1"/>
      <c r="C243" s="1"/>
      <c r="D243" s="1"/>
      <c r="E243" s="1"/>
      <c r="F243" s="1"/>
      <c r="G243" s="1"/>
      <c r="H243" s="1"/>
      <c r="I243" s="1"/>
    </row>
    <row r="244" spans="2:9" ht="15.75" customHeight="1" x14ac:dyDescent="0.25">
      <c r="B244" s="1"/>
      <c r="C244" s="1"/>
      <c r="D244" s="1"/>
      <c r="E244" s="1"/>
      <c r="F244" s="1"/>
      <c r="G244" s="1"/>
      <c r="H244" s="1"/>
      <c r="I244" s="1"/>
    </row>
    <row r="245" spans="2:9" ht="15.75" customHeight="1" x14ac:dyDescent="0.25">
      <c r="B245" s="1"/>
      <c r="C245" s="1"/>
      <c r="D245" s="1"/>
      <c r="E245" s="1"/>
      <c r="F245" s="1"/>
      <c r="G245" s="1"/>
      <c r="H245" s="1"/>
      <c r="I245" s="1"/>
    </row>
    <row r="246" spans="2:9" ht="15.75" customHeight="1" x14ac:dyDescent="0.25">
      <c r="B246" s="1"/>
      <c r="C246" s="1"/>
      <c r="D246" s="1"/>
      <c r="E246" s="1"/>
      <c r="F246" s="1"/>
      <c r="G246" s="1"/>
      <c r="H246" s="1"/>
      <c r="I246" s="1"/>
    </row>
    <row r="247" spans="2:9" ht="15.75" customHeight="1" x14ac:dyDescent="0.25">
      <c r="B247" s="1"/>
      <c r="C247" s="1"/>
      <c r="D247" s="1"/>
      <c r="E247" s="1"/>
      <c r="F247" s="1"/>
      <c r="G247" s="1"/>
      <c r="H247" s="1"/>
      <c r="I247" s="1"/>
    </row>
    <row r="248" spans="2:9" ht="15.75" customHeight="1" x14ac:dyDescent="0.25">
      <c r="B248" s="1"/>
      <c r="C248" s="1"/>
      <c r="D248" s="1"/>
      <c r="E248" s="1"/>
      <c r="F248" s="1"/>
      <c r="G248" s="1"/>
      <c r="H248" s="1"/>
      <c r="I248" s="1"/>
    </row>
    <row r="249" spans="2:9" ht="15.75" customHeight="1" x14ac:dyDescent="0.25">
      <c r="B249" s="1"/>
      <c r="C249" s="1"/>
      <c r="D249" s="1"/>
      <c r="E249" s="1"/>
      <c r="F249" s="1"/>
      <c r="G249" s="1"/>
      <c r="H249" s="1"/>
      <c r="I249" s="1"/>
    </row>
    <row r="250" spans="2:9" ht="15.75" customHeight="1" x14ac:dyDescent="0.25">
      <c r="B250" s="1"/>
      <c r="C250" s="1"/>
      <c r="D250" s="1"/>
      <c r="E250" s="1"/>
      <c r="F250" s="1"/>
      <c r="G250" s="1"/>
      <c r="H250" s="1"/>
      <c r="I250" s="1"/>
    </row>
    <row r="251" spans="2:9" ht="15.75" customHeight="1" x14ac:dyDescent="0.25">
      <c r="B251" s="1"/>
      <c r="C251" s="1"/>
      <c r="D251" s="1"/>
      <c r="E251" s="1"/>
      <c r="F251" s="1"/>
      <c r="G251" s="1"/>
      <c r="H251" s="1"/>
      <c r="I251" s="1"/>
    </row>
    <row r="252" spans="2:9" ht="15.75" customHeight="1" x14ac:dyDescent="0.25">
      <c r="B252" s="1"/>
      <c r="C252" s="1"/>
      <c r="D252" s="1"/>
      <c r="E252" s="1"/>
      <c r="F252" s="1"/>
      <c r="G252" s="1"/>
      <c r="H252" s="1"/>
      <c r="I252" s="1"/>
    </row>
    <row r="253" spans="2:9" ht="15.75" customHeight="1" x14ac:dyDescent="0.25">
      <c r="B253" s="1"/>
      <c r="C253" s="1"/>
      <c r="D253" s="1"/>
      <c r="E253" s="1"/>
      <c r="F253" s="1"/>
      <c r="G253" s="1"/>
      <c r="H253" s="1"/>
      <c r="I253" s="1"/>
    </row>
    <row r="254" spans="2:9" ht="15.75" customHeight="1" x14ac:dyDescent="0.25">
      <c r="B254" s="1"/>
      <c r="C254" s="1"/>
      <c r="D254" s="1"/>
      <c r="E254" s="1"/>
      <c r="F254" s="1"/>
      <c r="G254" s="1"/>
      <c r="H254" s="1"/>
      <c r="I254" s="1"/>
    </row>
    <row r="255" spans="2:9" ht="15.75" customHeight="1" x14ac:dyDescent="0.25">
      <c r="B255" s="1"/>
      <c r="C255" s="1"/>
      <c r="D255" s="1"/>
      <c r="E255" s="1"/>
      <c r="F255" s="1"/>
      <c r="G255" s="1"/>
      <c r="H255" s="1"/>
      <c r="I255" s="1"/>
    </row>
    <row r="256" spans="2:9" ht="15.75" customHeight="1" x14ac:dyDescent="0.25">
      <c r="B256" s="1"/>
      <c r="C256" s="1"/>
      <c r="D256" s="1"/>
      <c r="E256" s="1"/>
      <c r="F256" s="1"/>
      <c r="G256" s="1"/>
      <c r="H256" s="1"/>
      <c r="I256" s="1"/>
    </row>
    <row r="257" spans="2:9" ht="15.75" customHeight="1" x14ac:dyDescent="0.25">
      <c r="B257" s="1"/>
      <c r="C257" s="1"/>
      <c r="D257" s="1"/>
      <c r="E257" s="1"/>
      <c r="F257" s="1"/>
      <c r="G257" s="1"/>
      <c r="H257" s="1"/>
      <c r="I257" s="1"/>
    </row>
    <row r="258" spans="2:9" ht="15.75" customHeight="1" x14ac:dyDescent="0.25">
      <c r="B258" s="1"/>
      <c r="C258" s="1"/>
      <c r="D258" s="1"/>
      <c r="E258" s="1"/>
      <c r="F258" s="1"/>
      <c r="G258" s="1"/>
      <c r="H258" s="1"/>
      <c r="I258" s="1"/>
    </row>
    <row r="259" spans="2:9" ht="15.75" customHeight="1" x14ac:dyDescent="0.25">
      <c r="B259" s="1"/>
      <c r="C259" s="1"/>
      <c r="D259" s="1"/>
      <c r="E259" s="1"/>
      <c r="F259" s="1"/>
      <c r="G259" s="1"/>
      <c r="H259" s="1"/>
      <c r="I259" s="1"/>
    </row>
    <row r="260" spans="2:9" ht="15.75" customHeight="1" x14ac:dyDescent="0.25">
      <c r="B260" s="1"/>
      <c r="C260" s="1"/>
      <c r="D260" s="1"/>
      <c r="E260" s="1"/>
      <c r="F260" s="1"/>
      <c r="G260" s="1"/>
      <c r="H260" s="1"/>
      <c r="I260" s="1"/>
    </row>
    <row r="261" spans="2:9" ht="15.75" customHeight="1" x14ac:dyDescent="0.25">
      <c r="B261" s="1"/>
      <c r="C261" s="1"/>
      <c r="D261" s="1"/>
      <c r="E261" s="1"/>
      <c r="F261" s="1"/>
      <c r="G261" s="1"/>
      <c r="H261" s="1"/>
      <c r="I261" s="1"/>
    </row>
    <row r="262" spans="2:9" ht="15.75" customHeight="1" x14ac:dyDescent="0.25">
      <c r="B262" s="1"/>
      <c r="C262" s="1"/>
      <c r="D262" s="1"/>
      <c r="E262" s="1"/>
      <c r="F262" s="1"/>
      <c r="G262" s="1"/>
      <c r="H262" s="1"/>
      <c r="I262" s="1"/>
    </row>
    <row r="263" spans="2:9" ht="15.75" customHeight="1" x14ac:dyDescent="0.25">
      <c r="B263" s="1"/>
      <c r="C263" s="1"/>
      <c r="D263" s="1"/>
      <c r="E263" s="1"/>
      <c r="F263" s="1"/>
      <c r="G263" s="1"/>
      <c r="H263" s="1"/>
      <c r="I263" s="1"/>
    </row>
    <row r="264" spans="2:9" ht="15.75" customHeight="1" x14ac:dyDescent="0.25">
      <c r="B264" s="1"/>
      <c r="C264" s="1"/>
      <c r="D264" s="1"/>
      <c r="E264" s="1"/>
      <c r="F264" s="1"/>
      <c r="G264" s="1"/>
      <c r="H264" s="1"/>
      <c r="I264" s="1"/>
    </row>
    <row r="265" spans="2:9" ht="15.75" customHeight="1" x14ac:dyDescent="0.25">
      <c r="B265" s="1"/>
      <c r="C265" s="1"/>
      <c r="D265" s="1"/>
      <c r="E265" s="1"/>
      <c r="F265" s="1"/>
      <c r="G265" s="1"/>
      <c r="H265" s="1"/>
      <c r="I265" s="1"/>
    </row>
    <row r="266" spans="2:9" ht="15.75" customHeight="1" x14ac:dyDescent="0.25">
      <c r="B266" s="1"/>
      <c r="C266" s="1"/>
      <c r="D266" s="1"/>
      <c r="E266" s="1"/>
      <c r="F266" s="1"/>
      <c r="G266" s="1"/>
      <c r="H266" s="1"/>
      <c r="I266" s="1"/>
    </row>
    <row r="267" spans="2:9" ht="15.75" customHeight="1" x14ac:dyDescent="0.25">
      <c r="B267" s="1"/>
      <c r="C267" s="1"/>
      <c r="D267" s="1"/>
      <c r="E267" s="1"/>
      <c r="F267" s="1"/>
      <c r="G267" s="1"/>
      <c r="H267" s="1"/>
      <c r="I267" s="1"/>
    </row>
    <row r="268" spans="2:9" ht="15.75" customHeight="1" x14ac:dyDescent="0.25">
      <c r="B268" s="1"/>
      <c r="C268" s="1"/>
      <c r="D268" s="1"/>
      <c r="E268" s="1"/>
      <c r="F268" s="1"/>
      <c r="G268" s="1"/>
      <c r="H268" s="1"/>
      <c r="I268" s="1"/>
    </row>
    <row r="269" spans="2:9" ht="15.75" customHeight="1" x14ac:dyDescent="0.25">
      <c r="B269" s="1"/>
      <c r="C269" s="1"/>
      <c r="D269" s="1"/>
      <c r="E269" s="1"/>
      <c r="F269" s="1"/>
      <c r="G269" s="1"/>
      <c r="H269" s="1"/>
      <c r="I269" s="1"/>
    </row>
    <row r="270" spans="2:9" ht="15.75" customHeight="1" x14ac:dyDescent="0.25">
      <c r="B270" s="1"/>
      <c r="C270" s="1"/>
      <c r="D270" s="1"/>
      <c r="E270" s="1"/>
      <c r="F270" s="1"/>
      <c r="G270" s="1"/>
      <c r="H270" s="1"/>
      <c r="I270" s="1"/>
    </row>
    <row r="271" spans="2:9" ht="15.75" customHeight="1" x14ac:dyDescent="0.25">
      <c r="B271" s="1"/>
      <c r="C271" s="1"/>
      <c r="D271" s="1"/>
      <c r="E271" s="1"/>
      <c r="F271" s="1"/>
      <c r="G271" s="1"/>
      <c r="H271" s="1"/>
      <c r="I271" s="1"/>
    </row>
    <row r="272" spans="2:9" ht="15.75" customHeight="1" x14ac:dyDescent="0.25">
      <c r="B272" s="1"/>
      <c r="C272" s="1"/>
      <c r="D272" s="1"/>
      <c r="E272" s="1"/>
      <c r="F272" s="1"/>
      <c r="G272" s="1"/>
      <c r="H272" s="1"/>
      <c r="I272" s="1"/>
    </row>
    <row r="273" spans="2:9" ht="15.75" customHeight="1" x14ac:dyDescent="0.25">
      <c r="B273" s="1"/>
      <c r="C273" s="1"/>
      <c r="D273" s="1"/>
      <c r="E273" s="1"/>
      <c r="F273" s="1"/>
      <c r="G273" s="1"/>
      <c r="H273" s="1"/>
      <c r="I273" s="1"/>
    </row>
    <row r="274" spans="2:9" ht="15.75" customHeight="1" x14ac:dyDescent="0.25">
      <c r="B274" s="1"/>
      <c r="C274" s="1"/>
      <c r="D274" s="1"/>
      <c r="E274" s="1"/>
      <c r="F274" s="1"/>
      <c r="G274" s="1"/>
      <c r="H274" s="1"/>
      <c r="I274" s="1"/>
    </row>
    <row r="275" spans="2:9" ht="15.75" customHeight="1" x14ac:dyDescent="0.25">
      <c r="B275" s="1"/>
      <c r="C275" s="1"/>
      <c r="D275" s="1"/>
      <c r="E275" s="1"/>
      <c r="F275" s="1"/>
      <c r="G275" s="1"/>
      <c r="H275" s="1"/>
      <c r="I275" s="1"/>
    </row>
    <row r="276" spans="2:9" ht="15.75" customHeight="1" x14ac:dyDescent="0.25">
      <c r="B276" s="1"/>
      <c r="C276" s="1"/>
      <c r="D276" s="1"/>
      <c r="E276" s="1"/>
      <c r="F276" s="1"/>
      <c r="G276" s="1"/>
      <c r="H276" s="1"/>
      <c r="I276" s="1"/>
    </row>
    <row r="277" spans="2:9" ht="15.75" customHeight="1" x14ac:dyDescent="0.25">
      <c r="B277" s="1"/>
      <c r="C277" s="1"/>
      <c r="D277" s="1"/>
      <c r="E277" s="1"/>
      <c r="F277" s="1"/>
      <c r="G277" s="1"/>
      <c r="H277" s="1"/>
      <c r="I277" s="1"/>
    </row>
    <row r="278" spans="2:9" ht="15.75" customHeight="1" x14ac:dyDescent="0.25">
      <c r="B278" s="1"/>
      <c r="C278" s="1"/>
      <c r="D278" s="1"/>
      <c r="E278" s="1"/>
      <c r="F278" s="1"/>
      <c r="G278" s="1"/>
      <c r="H278" s="1"/>
      <c r="I278" s="1"/>
    </row>
    <row r="279" spans="2:9" ht="15.75" customHeight="1" x14ac:dyDescent="0.25">
      <c r="B279" s="1"/>
      <c r="C279" s="1"/>
      <c r="D279" s="1"/>
      <c r="E279" s="1"/>
      <c r="F279" s="1"/>
      <c r="G279" s="1"/>
      <c r="H279" s="1"/>
      <c r="I279" s="1"/>
    </row>
    <row r="280" spans="2:9" ht="15.75" customHeight="1" x14ac:dyDescent="0.25">
      <c r="B280" s="1"/>
      <c r="C280" s="1"/>
      <c r="D280" s="1"/>
      <c r="E280" s="1"/>
      <c r="F280" s="1"/>
      <c r="G280" s="1"/>
      <c r="H280" s="1"/>
      <c r="I280" s="1"/>
    </row>
    <row r="281" spans="2:9" ht="15.75" customHeight="1" x14ac:dyDescent="0.25">
      <c r="B281" s="1"/>
      <c r="C281" s="1"/>
      <c r="D281" s="1"/>
      <c r="E281" s="1"/>
      <c r="F281" s="1"/>
      <c r="G281" s="1"/>
      <c r="H281" s="1"/>
      <c r="I281" s="1"/>
    </row>
    <row r="282" spans="2:9" ht="15.75" customHeight="1" x14ac:dyDescent="0.25">
      <c r="B282" s="1"/>
      <c r="C282" s="1"/>
      <c r="D282" s="1"/>
      <c r="E282" s="1"/>
      <c r="F282" s="1"/>
      <c r="G282" s="1"/>
      <c r="H282" s="1"/>
      <c r="I282" s="1"/>
    </row>
    <row r="283" spans="2:9" ht="15.75" customHeight="1" x14ac:dyDescent="0.25">
      <c r="B283" s="1"/>
      <c r="C283" s="1"/>
      <c r="D283" s="1"/>
      <c r="E283" s="1"/>
      <c r="F283" s="1"/>
      <c r="G283" s="1"/>
      <c r="H283" s="1"/>
      <c r="I283" s="1"/>
    </row>
    <row r="284" spans="2:9" ht="15.75" customHeight="1" x14ac:dyDescent="0.25">
      <c r="B284" s="1"/>
      <c r="C284" s="1"/>
      <c r="D284" s="1"/>
      <c r="E284" s="1"/>
      <c r="F284" s="1"/>
      <c r="G284" s="1"/>
      <c r="H284" s="1"/>
      <c r="I284" s="1"/>
    </row>
    <row r="285" spans="2:9" ht="15.75" customHeight="1" x14ac:dyDescent="0.25">
      <c r="B285" s="1"/>
      <c r="C285" s="1"/>
      <c r="D285" s="1"/>
      <c r="E285" s="1"/>
      <c r="F285" s="1"/>
      <c r="G285" s="1"/>
      <c r="H285" s="1"/>
      <c r="I285" s="1"/>
    </row>
    <row r="286" spans="2:9" ht="15.75" customHeight="1" x14ac:dyDescent="0.25">
      <c r="B286" s="1"/>
      <c r="C286" s="1"/>
      <c r="D286" s="1"/>
      <c r="E286" s="1"/>
      <c r="F286" s="1"/>
      <c r="G286" s="1"/>
      <c r="H286" s="1"/>
      <c r="I286" s="1"/>
    </row>
    <row r="287" spans="2:9" ht="15.75" customHeight="1" x14ac:dyDescent="0.25">
      <c r="B287" s="1"/>
      <c r="C287" s="1"/>
      <c r="D287" s="1"/>
      <c r="E287" s="1"/>
      <c r="F287" s="1"/>
      <c r="G287" s="1"/>
      <c r="H287" s="1"/>
      <c r="I287" s="1"/>
    </row>
    <row r="288" spans="2:9" ht="15.75" customHeight="1" x14ac:dyDescent="0.25">
      <c r="B288" s="1"/>
      <c r="C288" s="1"/>
      <c r="D288" s="1"/>
      <c r="E288" s="1"/>
      <c r="F288" s="1"/>
      <c r="G288" s="1"/>
      <c r="H288" s="1"/>
      <c r="I288" s="1"/>
    </row>
    <row r="289" spans="2:9" ht="15.75" customHeight="1" x14ac:dyDescent="0.25">
      <c r="B289" s="1"/>
      <c r="C289" s="1"/>
      <c r="D289" s="1"/>
      <c r="E289" s="1"/>
      <c r="F289" s="1"/>
      <c r="G289" s="1"/>
      <c r="H289" s="1"/>
      <c r="I289" s="1"/>
    </row>
    <row r="290" spans="2:9" ht="15.75" customHeight="1" x14ac:dyDescent="0.25">
      <c r="B290" s="1"/>
      <c r="C290" s="1"/>
      <c r="D290" s="1"/>
      <c r="E290" s="1"/>
      <c r="F290" s="1"/>
      <c r="G290" s="1"/>
      <c r="H290" s="1"/>
      <c r="I290" s="1"/>
    </row>
    <row r="291" spans="2:9" ht="15.75" customHeight="1" x14ac:dyDescent="0.25">
      <c r="B291" s="1"/>
      <c r="C291" s="1"/>
      <c r="D291" s="1"/>
      <c r="E291" s="1"/>
      <c r="F291" s="1"/>
      <c r="G291" s="1"/>
      <c r="H291" s="1"/>
      <c r="I291" s="1"/>
    </row>
    <row r="292" spans="2:9" ht="15.75" customHeight="1" x14ac:dyDescent="0.25">
      <c r="B292" s="1"/>
      <c r="C292" s="1"/>
      <c r="D292" s="1"/>
      <c r="E292" s="1"/>
      <c r="F292" s="1"/>
      <c r="G292" s="1"/>
      <c r="H292" s="1"/>
      <c r="I292" s="1"/>
    </row>
    <row r="293" spans="2:9" ht="15.75" customHeight="1" x14ac:dyDescent="0.25">
      <c r="B293" s="1"/>
      <c r="C293" s="1"/>
      <c r="D293" s="1"/>
      <c r="E293" s="1"/>
      <c r="F293" s="1"/>
      <c r="G293" s="1"/>
      <c r="H293" s="1"/>
      <c r="I293" s="1"/>
    </row>
    <row r="294" spans="2:9" ht="15.75" customHeight="1" x14ac:dyDescent="0.25">
      <c r="B294" s="1"/>
      <c r="C294" s="1"/>
      <c r="D294" s="1"/>
      <c r="E294" s="1"/>
      <c r="F294" s="1"/>
      <c r="G294" s="1"/>
      <c r="H294" s="1"/>
      <c r="I294" s="1"/>
    </row>
    <row r="295" spans="2:9" ht="15.75" customHeight="1" x14ac:dyDescent="0.25">
      <c r="B295" s="1"/>
      <c r="C295" s="1"/>
      <c r="D295" s="1"/>
      <c r="E295" s="1"/>
      <c r="F295" s="1"/>
      <c r="G295" s="1"/>
      <c r="H295" s="1"/>
      <c r="I295" s="1"/>
    </row>
    <row r="296" spans="2:9" ht="15.75" customHeight="1" x14ac:dyDescent="0.25">
      <c r="B296" s="1"/>
      <c r="C296" s="1"/>
      <c r="D296" s="1"/>
      <c r="E296" s="1"/>
      <c r="F296" s="1"/>
      <c r="G296" s="1"/>
      <c r="H296" s="1"/>
      <c r="I296" s="1"/>
    </row>
    <row r="297" spans="2:9" ht="15.75" customHeight="1" x14ac:dyDescent="0.25">
      <c r="B297" s="1"/>
      <c r="C297" s="1"/>
      <c r="D297" s="1"/>
      <c r="E297" s="1"/>
      <c r="F297" s="1"/>
      <c r="G297" s="1"/>
      <c r="H297" s="1"/>
      <c r="I297" s="1"/>
    </row>
    <row r="298" spans="2:9" ht="15.75" customHeight="1" x14ac:dyDescent="0.25">
      <c r="B298" s="1"/>
      <c r="C298" s="1"/>
      <c r="D298" s="1"/>
      <c r="E298" s="1"/>
      <c r="F298" s="1"/>
      <c r="G298" s="1"/>
      <c r="H298" s="1"/>
      <c r="I298" s="1"/>
    </row>
    <row r="299" spans="2:9" ht="15.75" customHeight="1" x14ac:dyDescent="0.25">
      <c r="B299" s="1"/>
      <c r="C299" s="1"/>
      <c r="D299" s="1"/>
      <c r="E299" s="1"/>
      <c r="F299" s="1"/>
      <c r="G299" s="1"/>
      <c r="H299" s="1"/>
      <c r="I299" s="1"/>
    </row>
    <row r="300" spans="2:9" ht="15.75" customHeight="1" x14ac:dyDescent="0.25">
      <c r="B300" s="1"/>
      <c r="C300" s="1"/>
      <c r="D300" s="1"/>
      <c r="E300" s="1"/>
      <c r="F300" s="1"/>
      <c r="G300" s="1"/>
      <c r="H300" s="1"/>
      <c r="I300" s="1"/>
    </row>
    <row r="301" spans="2:9" ht="15.75" customHeight="1" x14ac:dyDescent="0.25">
      <c r="B301" s="1"/>
      <c r="C301" s="1"/>
      <c r="D301" s="1"/>
      <c r="E301" s="1"/>
      <c r="F301" s="1"/>
      <c r="G301" s="1"/>
      <c r="H301" s="1"/>
      <c r="I301" s="1"/>
    </row>
    <row r="302" spans="2:9" ht="15.75" customHeight="1" x14ac:dyDescent="0.25">
      <c r="B302" s="1"/>
      <c r="C302" s="1"/>
      <c r="D302" s="1"/>
      <c r="E302" s="1"/>
      <c r="F302" s="1"/>
      <c r="G302" s="1"/>
      <c r="H302" s="1"/>
      <c r="I302" s="1"/>
    </row>
    <row r="303" spans="2:9" ht="15.75" customHeight="1" x14ac:dyDescent="0.25">
      <c r="B303" s="1"/>
      <c r="C303" s="1"/>
      <c r="D303" s="1"/>
      <c r="E303" s="1"/>
      <c r="F303" s="1"/>
      <c r="G303" s="1"/>
      <c r="H303" s="1"/>
      <c r="I303" s="1"/>
    </row>
    <row r="304" spans="2:9" ht="15.75" customHeight="1" x14ac:dyDescent="0.25">
      <c r="B304" s="1"/>
      <c r="C304" s="1"/>
      <c r="D304" s="1"/>
      <c r="E304" s="1"/>
      <c r="F304" s="1"/>
      <c r="G304" s="1"/>
      <c r="H304" s="1"/>
      <c r="I304" s="1"/>
    </row>
    <row r="305" spans="2:9" ht="15.75" customHeight="1" x14ac:dyDescent="0.25">
      <c r="B305" s="1"/>
      <c r="C305" s="1"/>
      <c r="D305" s="1"/>
      <c r="E305" s="1"/>
      <c r="F305" s="1"/>
      <c r="G305" s="1"/>
      <c r="H305" s="1"/>
      <c r="I305" s="1"/>
    </row>
    <row r="306" spans="2:9" ht="15.75" customHeight="1" x14ac:dyDescent="0.25">
      <c r="B306" s="1"/>
      <c r="C306" s="1"/>
      <c r="D306" s="1"/>
      <c r="E306" s="1"/>
      <c r="F306" s="1"/>
      <c r="G306" s="1"/>
      <c r="H306" s="1"/>
      <c r="I306" s="1"/>
    </row>
    <row r="307" spans="2:9" ht="15.75" customHeight="1" x14ac:dyDescent="0.25">
      <c r="B307" s="1"/>
      <c r="C307" s="1"/>
      <c r="D307" s="1"/>
      <c r="E307" s="1"/>
      <c r="F307" s="1"/>
      <c r="G307" s="1"/>
      <c r="H307" s="1"/>
      <c r="I307" s="1"/>
    </row>
    <row r="308" spans="2:9" ht="15.75" customHeight="1" x14ac:dyDescent="0.25">
      <c r="B308" s="1"/>
      <c r="C308" s="1"/>
      <c r="D308" s="1"/>
      <c r="E308" s="1"/>
      <c r="F308" s="1"/>
      <c r="G308" s="1"/>
      <c r="H308" s="1"/>
      <c r="I308" s="1"/>
    </row>
    <row r="309" spans="2:9" ht="15.75" customHeight="1" x14ac:dyDescent="0.25">
      <c r="B309" s="1"/>
      <c r="C309" s="1"/>
      <c r="D309" s="1"/>
      <c r="E309" s="1"/>
      <c r="F309" s="1"/>
      <c r="G309" s="1"/>
      <c r="H309" s="1"/>
      <c r="I309" s="1"/>
    </row>
    <row r="310" spans="2:9" ht="15.75" customHeight="1" x14ac:dyDescent="0.25">
      <c r="B310" s="1"/>
      <c r="C310" s="1"/>
      <c r="D310" s="1"/>
      <c r="E310" s="1"/>
      <c r="F310" s="1"/>
      <c r="G310" s="1"/>
      <c r="H310" s="1"/>
      <c r="I310" s="1"/>
    </row>
    <row r="311" spans="2:9" ht="15.75" customHeight="1" x14ac:dyDescent="0.25">
      <c r="B311" s="1"/>
      <c r="C311" s="1"/>
      <c r="D311" s="1"/>
      <c r="E311" s="1"/>
      <c r="F311" s="1"/>
      <c r="G311" s="1"/>
      <c r="H311" s="1"/>
      <c r="I311" s="1"/>
    </row>
    <row r="312" spans="2:9" ht="15.75" customHeight="1" x14ac:dyDescent="0.25">
      <c r="B312" s="1"/>
      <c r="C312" s="1"/>
      <c r="D312" s="1"/>
      <c r="E312" s="1"/>
      <c r="F312" s="1"/>
      <c r="G312" s="1"/>
      <c r="H312" s="1"/>
      <c r="I312" s="1"/>
    </row>
    <row r="313" spans="2:9" ht="15.75" customHeight="1" x14ac:dyDescent="0.25">
      <c r="B313" s="1"/>
      <c r="C313" s="1"/>
      <c r="D313" s="1"/>
      <c r="E313" s="1"/>
      <c r="F313" s="1"/>
      <c r="G313" s="1"/>
      <c r="H313" s="1"/>
      <c r="I313" s="1"/>
    </row>
    <row r="314" spans="2:9" ht="15.75" customHeight="1" x14ac:dyDescent="0.25">
      <c r="B314" s="1"/>
      <c r="C314" s="1"/>
      <c r="D314" s="1"/>
      <c r="E314" s="1"/>
      <c r="F314" s="1"/>
      <c r="G314" s="1"/>
      <c r="H314" s="1"/>
      <c r="I314" s="1"/>
    </row>
    <row r="315" spans="2:9" ht="15.75" customHeight="1" x14ac:dyDescent="0.25">
      <c r="B315" s="1"/>
      <c r="C315" s="1"/>
      <c r="D315" s="1"/>
      <c r="E315" s="1"/>
      <c r="F315" s="1"/>
      <c r="G315" s="1"/>
      <c r="H315" s="1"/>
      <c r="I315" s="1"/>
    </row>
    <row r="316" spans="2:9" ht="15.75" customHeight="1" x14ac:dyDescent="0.25">
      <c r="B316" s="1"/>
      <c r="C316" s="1"/>
      <c r="D316" s="1"/>
      <c r="E316" s="1"/>
      <c r="F316" s="1"/>
      <c r="G316" s="1"/>
      <c r="H316" s="1"/>
      <c r="I316" s="1"/>
    </row>
    <row r="317" spans="2:9" ht="15.75" customHeight="1" x14ac:dyDescent="0.25">
      <c r="B317" s="1"/>
      <c r="C317" s="1"/>
      <c r="D317" s="1"/>
      <c r="E317" s="1"/>
      <c r="F317" s="1"/>
      <c r="G317" s="1"/>
      <c r="H317" s="1"/>
      <c r="I317" s="1"/>
    </row>
    <row r="318" spans="2:9" ht="15.75" customHeight="1" x14ac:dyDescent="0.25">
      <c r="B318" s="1"/>
      <c r="C318" s="1"/>
      <c r="D318" s="1"/>
      <c r="E318" s="1"/>
      <c r="F318" s="1"/>
      <c r="G318" s="1"/>
      <c r="H318" s="1"/>
      <c r="I318" s="1"/>
    </row>
    <row r="319" spans="2:9" ht="15.75" customHeight="1" x14ac:dyDescent="0.25">
      <c r="B319" s="1"/>
      <c r="C319" s="1"/>
      <c r="D319" s="1"/>
      <c r="E319" s="1"/>
      <c r="F319" s="1"/>
      <c r="G319" s="1"/>
      <c r="H319" s="1"/>
      <c r="I319" s="1"/>
    </row>
    <row r="320" spans="2:9" ht="15.75" customHeight="1" x14ac:dyDescent="0.25">
      <c r="B320" s="1"/>
      <c r="C320" s="1"/>
      <c r="D320" s="1"/>
      <c r="E320" s="1"/>
      <c r="F320" s="1"/>
      <c r="G320" s="1"/>
      <c r="H320" s="1"/>
      <c r="I320" s="1"/>
    </row>
    <row r="321" spans="2:9" ht="15.75" customHeight="1" x14ac:dyDescent="0.25">
      <c r="B321" s="1"/>
      <c r="C321" s="1"/>
      <c r="D321" s="1"/>
      <c r="E321" s="1"/>
      <c r="F321" s="1"/>
      <c r="G321" s="1"/>
      <c r="H321" s="1"/>
      <c r="I321" s="1"/>
    </row>
    <row r="322" spans="2:9" ht="15.75" customHeight="1" x14ac:dyDescent="0.25">
      <c r="B322" s="1"/>
      <c r="C322" s="1"/>
      <c r="D322" s="1"/>
      <c r="E322" s="1"/>
      <c r="F322" s="1"/>
      <c r="G322" s="1"/>
      <c r="H322" s="1"/>
      <c r="I322" s="1"/>
    </row>
    <row r="323" spans="2:9" ht="15.75" customHeight="1" x14ac:dyDescent="0.25">
      <c r="B323" s="1"/>
      <c r="C323" s="1"/>
      <c r="D323" s="1"/>
      <c r="E323" s="1"/>
      <c r="F323" s="1"/>
      <c r="G323" s="1"/>
      <c r="H323" s="1"/>
      <c r="I323" s="1"/>
    </row>
    <row r="324" spans="2:9" ht="15.75" customHeight="1" x14ac:dyDescent="0.25">
      <c r="B324" s="1"/>
      <c r="C324" s="1"/>
      <c r="D324" s="1"/>
      <c r="E324" s="1"/>
      <c r="F324" s="1"/>
      <c r="G324" s="1"/>
      <c r="H324" s="1"/>
      <c r="I324" s="1"/>
    </row>
    <row r="325" spans="2:9" ht="15.75" customHeight="1" x14ac:dyDescent="0.25">
      <c r="B325" s="1"/>
      <c r="C325" s="1"/>
      <c r="D325" s="1"/>
      <c r="E325" s="1"/>
      <c r="F325" s="1"/>
      <c r="G325" s="1"/>
      <c r="H325" s="1"/>
      <c r="I325" s="1"/>
    </row>
    <row r="326" spans="2:9" ht="15.75" customHeight="1" x14ac:dyDescent="0.25">
      <c r="B326" s="1"/>
      <c r="C326" s="1"/>
      <c r="D326" s="1"/>
      <c r="E326" s="1"/>
      <c r="F326" s="1"/>
      <c r="G326" s="1"/>
      <c r="H326" s="1"/>
      <c r="I326" s="1"/>
    </row>
    <row r="327" spans="2:9" ht="15.75" customHeight="1" x14ac:dyDescent="0.25">
      <c r="B327" s="1"/>
      <c r="C327" s="1"/>
      <c r="D327" s="1"/>
      <c r="E327" s="1"/>
      <c r="F327" s="1"/>
      <c r="G327" s="1"/>
      <c r="H327" s="1"/>
      <c r="I327" s="1"/>
    </row>
    <row r="328" spans="2:9" ht="15.75" customHeight="1" x14ac:dyDescent="0.25">
      <c r="B328" s="1"/>
      <c r="C328" s="1"/>
      <c r="D328" s="1"/>
      <c r="E328" s="1"/>
      <c r="F328" s="1"/>
      <c r="G328" s="1"/>
      <c r="H328" s="1"/>
      <c r="I328" s="1"/>
    </row>
    <row r="329" spans="2:9" ht="15.75" customHeight="1" x14ac:dyDescent="0.25">
      <c r="B329" s="1"/>
      <c r="C329" s="1"/>
      <c r="D329" s="1"/>
      <c r="E329" s="1"/>
      <c r="F329" s="1"/>
      <c r="G329" s="1"/>
      <c r="H329" s="1"/>
      <c r="I329" s="1"/>
    </row>
    <row r="330" spans="2:9" ht="15.75" customHeight="1" x14ac:dyDescent="0.25">
      <c r="B330" s="1"/>
      <c r="C330" s="1"/>
      <c r="D330" s="1"/>
      <c r="E330" s="1"/>
      <c r="F330" s="1"/>
      <c r="G330" s="1"/>
      <c r="H330" s="1"/>
      <c r="I330" s="1"/>
    </row>
    <row r="331" spans="2:9" ht="15.75" customHeight="1" x14ac:dyDescent="0.25">
      <c r="B331" s="1"/>
      <c r="C331" s="1"/>
      <c r="D331" s="1"/>
      <c r="E331" s="1"/>
      <c r="F331" s="1"/>
      <c r="G331" s="1"/>
      <c r="H331" s="1"/>
      <c r="I331" s="1"/>
    </row>
    <row r="332" spans="2:9" ht="15.75" customHeight="1" x14ac:dyDescent="0.25">
      <c r="B332" s="1"/>
      <c r="C332" s="1"/>
      <c r="D332" s="1"/>
      <c r="E332" s="1"/>
      <c r="F332" s="1"/>
      <c r="G332" s="1"/>
      <c r="H332" s="1"/>
      <c r="I332" s="1"/>
    </row>
    <row r="333" spans="2:9" ht="15.75" customHeight="1" x14ac:dyDescent="0.25">
      <c r="B333" s="1"/>
      <c r="C333" s="1"/>
      <c r="D333" s="1"/>
      <c r="E333" s="1"/>
      <c r="F333" s="1"/>
      <c r="G333" s="1"/>
      <c r="H333" s="1"/>
      <c r="I333" s="1"/>
    </row>
    <row r="334" spans="2:9" ht="15.75" customHeight="1" x14ac:dyDescent="0.25">
      <c r="B334" s="1"/>
      <c r="C334" s="1"/>
      <c r="D334" s="1"/>
      <c r="E334" s="1"/>
      <c r="F334" s="1"/>
      <c r="G334" s="1"/>
      <c r="H334" s="1"/>
      <c r="I334" s="1"/>
    </row>
    <row r="335" spans="2:9" ht="15.75" customHeight="1" x14ac:dyDescent="0.25">
      <c r="B335" s="1"/>
      <c r="C335" s="1"/>
      <c r="D335" s="1"/>
      <c r="E335" s="1"/>
      <c r="F335" s="1"/>
      <c r="G335" s="1"/>
      <c r="H335" s="1"/>
      <c r="I335" s="1"/>
    </row>
    <row r="336" spans="2:9" ht="15.75" customHeight="1" x14ac:dyDescent="0.25">
      <c r="B336" s="1"/>
      <c r="C336" s="1"/>
      <c r="D336" s="1"/>
      <c r="E336" s="1"/>
      <c r="F336" s="1"/>
      <c r="G336" s="1"/>
      <c r="H336" s="1"/>
      <c r="I336" s="1"/>
    </row>
    <row r="337" spans="2:9" ht="15.75" customHeight="1" x14ac:dyDescent="0.25">
      <c r="B337" s="1"/>
      <c r="C337" s="1"/>
      <c r="D337" s="1"/>
      <c r="E337" s="1"/>
      <c r="F337" s="1"/>
      <c r="G337" s="1"/>
      <c r="H337" s="1"/>
      <c r="I337" s="1"/>
    </row>
    <row r="338" spans="2:9" ht="15.75" customHeight="1" x14ac:dyDescent="0.25">
      <c r="B338" s="1"/>
      <c r="C338" s="1"/>
      <c r="D338" s="1"/>
      <c r="E338" s="1"/>
      <c r="F338" s="1"/>
      <c r="G338" s="1"/>
      <c r="H338" s="1"/>
      <c r="I338" s="1"/>
    </row>
    <row r="339" spans="2:9" ht="15.75" customHeight="1" x14ac:dyDescent="0.25">
      <c r="B339" s="1"/>
      <c r="C339" s="1"/>
      <c r="D339" s="1"/>
      <c r="E339" s="1"/>
      <c r="F339" s="1"/>
      <c r="G339" s="1"/>
      <c r="H339" s="1"/>
      <c r="I339" s="1"/>
    </row>
    <row r="340" spans="2:9" ht="15.75" customHeight="1" x14ac:dyDescent="0.25">
      <c r="B340" s="1"/>
      <c r="C340" s="1"/>
      <c r="D340" s="1"/>
      <c r="E340" s="1"/>
      <c r="F340" s="1"/>
      <c r="G340" s="1"/>
      <c r="H340" s="1"/>
      <c r="I340" s="1"/>
    </row>
    <row r="341" spans="2:9" ht="15.75" customHeight="1" x14ac:dyDescent="0.25">
      <c r="B341" s="1"/>
      <c r="C341" s="1"/>
      <c r="D341" s="1"/>
      <c r="E341" s="1"/>
      <c r="F341" s="1"/>
      <c r="G341" s="1"/>
      <c r="H341" s="1"/>
      <c r="I341" s="1"/>
    </row>
    <row r="342" spans="2:9" ht="15.75" customHeight="1" x14ac:dyDescent="0.25">
      <c r="B342" s="1"/>
      <c r="C342" s="1"/>
      <c r="D342" s="1"/>
      <c r="E342" s="1"/>
      <c r="F342" s="1"/>
      <c r="G342" s="1"/>
      <c r="H342" s="1"/>
      <c r="I342" s="1"/>
    </row>
    <row r="343" spans="2:9" ht="15.75" customHeight="1" x14ac:dyDescent="0.25">
      <c r="B343" s="1"/>
      <c r="C343" s="1"/>
      <c r="D343" s="1"/>
      <c r="E343" s="1"/>
      <c r="F343" s="1"/>
      <c r="G343" s="1"/>
      <c r="H343" s="1"/>
      <c r="I343" s="1"/>
    </row>
    <row r="344" spans="2:9" ht="15.75" customHeight="1" x14ac:dyDescent="0.25">
      <c r="B344" s="1"/>
      <c r="C344" s="1"/>
      <c r="D344" s="1"/>
      <c r="E344" s="1"/>
      <c r="F344" s="1"/>
      <c r="G344" s="1"/>
      <c r="H344" s="1"/>
      <c r="I344" s="1"/>
    </row>
    <row r="345" spans="2:9" ht="15.75" customHeight="1" x14ac:dyDescent="0.25">
      <c r="B345" s="1"/>
      <c r="C345" s="1"/>
      <c r="D345" s="1"/>
      <c r="E345" s="1"/>
      <c r="F345" s="1"/>
      <c r="G345" s="1"/>
      <c r="H345" s="1"/>
      <c r="I345" s="1"/>
    </row>
    <row r="346" spans="2:9" ht="15.75" customHeight="1" x14ac:dyDescent="0.25">
      <c r="B346" s="1"/>
      <c r="C346" s="1"/>
      <c r="D346" s="1"/>
      <c r="E346" s="1"/>
      <c r="F346" s="1"/>
      <c r="G346" s="1"/>
      <c r="H346" s="1"/>
      <c r="I346" s="1"/>
    </row>
    <row r="347" spans="2:9" ht="15.75" customHeight="1" x14ac:dyDescent="0.25">
      <c r="B347" s="1"/>
      <c r="C347" s="1"/>
      <c r="D347" s="1"/>
      <c r="E347" s="1"/>
      <c r="F347" s="1"/>
      <c r="G347" s="1"/>
      <c r="H347" s="1"/>
      <c r="I347" s="1"/>
    </row>
    <row r="348" spans="2:9" ht="15.75" customHeight="1" x14ac:dyDescent="0.25">
      <c r="B348" s="1"/>
      <c r="C348" s="1"/>
      <c r="D348" s="1"/>
      <c r="E348" s="1"/>
      <c r="F348" s="1"/>
      <c r="G348" s="1"/>
      <c r="H348" s="1"/>
      <c r="I348" s="1"/>
    </row>
    <row r="349" spans="2:9" ht="15.75" customHeight="1" x14ac:dyDescent="0.25">
      <c r="B349" s="1"/>
      <c r="C349" s="1"/>
      <c r="D349" s="1"/>
      <c r="E349" s="1"/>
      <c r="F349" s="1"/>
      <c r="G349" s="1"/>
      <c r="H349" s="1"/>
      <c r="I349" s="1"/>
    </row>
    <row r="350" spans="2:9" ht="15.75" customHeight="1" x14ac:dyDescent="0.25">
      <c r="B350" s="1"/>
      <c r="C350" s="1"/>
      <c r="D350" s="1"/>
      <c r="E350" s="1"/>
      <c r="F350" s="1"/>
      <c r="G350" s="1"/>
      <c r="H350" s="1"/>
      <c r="I350" s="1"/>
    </row>
    <row r="351" spans="2:9" ht="15.75" customHeight="1" x14ac:dyDescent="0.25">
      <c r="B351" s="1"/>
      <c r="C351" s="1"/>
      <c r="D351" s="1"/>
      <c r="E351" s="1"/>
      <c r="F351" s="1"/>
      <c r="G351" s="1"/>
      <c r="H351" s="1"/>
      <c r="I351" s="1"/>
    </row>
    <row r="352" spans="2:9" ht="15.75" customHeight="1" x14ac:dyDescent="0.25">
      <c r="B352" s="1"/>
      <c r="C352" s="1"/>
      <c r="D352" s="1"/>
      <c r="E352" s="1"/>
      <c r="F352" s="1"/>
      <c r="G352" s="1"/>
      <c r="H352" s="1"/>
      <c r="I352" s="1"/>
    </row>
    <row r="353" spans="2:9" ht="15.75" customHeight="1" x14ac:dyDescent="0.25">
      <c r="B353" s="1"/>
      <c r="C353" s="1"/>
      <c r="D353" s="1"/>
      <c r="E353" s="1"/>
      <c r="F353" s="1"/>
      <c r="G353" s="1"/>
      <c r="H353" s="1"/>
      <c r="I353" s="1"/>
    </row>
    <row r="354" spans="2:9" ht="15.75" customHeight="1" x14ac:dyDescent="0.25">
      <c r="B354" s="1"/>
      <c r="C354" s="1"/>
      <c r="D354" s="1"/>
      <c r="E354" s="1"/>
      <c r="F354" s="1"/>
      <c r="G354" s="1"/>
      <c r="H354" s="1"/>
      <c r="I354" s="1"/>
    </row>
    <row r="355" spans="2:9" ht="15.75" customHeight="1" x14ac:dyDescent="0.25">
      <c r="B355" s="1"/>
      <c r="C355" s="1"/>
      <c r="D355" s="1"/>
      <c r="E355" s="1"/>
      <c r="F355" s="1"/>
      <c r="G355" s="1"/>
      <c r="H355" s="1"/>
      <c r="I355" s="1"/>
    </row>
    <row r="356" spans="2:9" ht="15.75" customHeight="1" x14ac:dyDescent="0.25">
      <c r="B356" s="1"/>
      <c r="C356" s="1"/>
      <c r="D356" s="1"/>
      <c r="E356" s="1"/>
      <c r="F356" s="1"/>
      <c r="G356" s="1"/>
      <c r="H356" s="1"/>
      <c r="I356" s="1"/>
    </row>
    <row r="357" spans="2:9" ht="15.75" customHeight="1" x14ac:dyDescent="0.25">
      <c r="B357" s="1"/>
      <c r="C357" s="1"/>
      <c r="D357" s="1"/>
      <c r="E357" s="1"/>
      <c r="F357" s="1"/>
      <c r="G357" s="1"/>
      <c r="H357" s="1"/>
      <c r="I357" s="1"/>
    </row>
    <row r="358" spans="2:9" ht="15.75" customHeight="1" x14ac:dyDescent="0.25">
      <c r="B358" s="1"/>
      <c r="C358" s="1"/>
      <c r="D358" s="1"/>
      <c r="E358" s="1"/>
      <c r="F358" s="1"/>
      <c r="G358" s="1"/>
      <c r="H358" s="1"/>
      <c r="I358" s="1"/>
    </row>
    <row r="359" spans="2:9" ht="15.75" customHeight="1" x14ac:dyDescent="0.25">
      <c r="B359" s="1"/>
      <c r="C359" s="1"/>
      <c r="D359" s="1"/>
      <c r="E359" s="1"/>
      <c r="F359" s="1"/>
      <c r="G359" s="1"/>
      <c r="H359" s="1"/>
      <c r="I359" s="1"/>
    </row>
    <row r="360" spans="2:9" ht="15.75" customHeight="1" x14ac:dyDescent="0.25">
      <c r="B360" s="1"/>
      <c r="C360" s="1"/>
      <c r="D360" s="1"/>
      <c r="E360" s="1"/>
      <c r="F360" s="1"/>
      <c r="G360" s="1"/>
      <c r="H360" s="1"/>
      <c r="I360" s="1"/>
    </row>
    <row r="361" spans="2:9" ht="15.75" customHeight="1" x14ac:dyDescent="0.25">
      <c r="B361" s="1"/>
      <c r="C361" s="1"/>
      <c r="D361" s="1"/>
      <c r="E361" s="1"/>
      <c r="F361" s="1"/>
      <c r="G361" s="1"/>
      <c r="H361" s="1"/>
      <c r="I361" s="1"/>
    </row>
    <row r="362" spans="2:9" ht="15.75" customHeight="1" x14ac:dyDescent="0.25">
      <c r="B362" s="1"/>
      <c r="C362" s="1"/>
      <c r="D362" s="1"/>
      <c r="E362" s="1"/>
      <c r="F362" s="1"/>
      <c r="G362" s="1"/>
      <c r="H362" s="1"/>
      <c r="I362" s="1"/>
    </row>
    <row r="363" spans="2:9" ht="15.75" customHeight="1" x14ac:dyDescent="0.25">
      <c r="B363" s="1"/>
      <c r="C363" s="1"/>
      <c r="D363" s="1"/>
      <c r="E363" s="1"/>
      <c r="F363" s="1"/>
      <c r="G363" s="1"/>
      <c r="H363" s="1"/>
      <c r="I363" s="1"/>
    </row>
    <row r="364" spans="2:9" ht="15.75" customHeight="1" x14ac:dyDescent="0.25">
      <c r="B364" s="1"/>
      <c r="C364" s="1"/>
      <c r="D364" s="1"/>
      <c r="E364" s="1"/>
      <c r="F364" s="1"/>
      <c r="G364" s="1"/>
      <c r="H364" s="1"/>
      <c r="I364" s="1"/>
    </row>
    <row r="365" spans="2:9" ht="15.75" customHeight="1" x14ac:dyDescent="0.25">
      <c r="B365" s="1"/>
      <c r="C365" s="1"/>
      <c r="D365" s="1"/>
      <c r="E365" s="1"/>
      <c r="F365" s="1"/>
      <c r="G365" s="1"/>
      <c r="H365" s="1"/>
      <c r="I365" s="1"/>
    </row>
    <row r="366" spans="2:9" ht="15.75" customHeight="1" x14ac:dyDescent="0.25">
      <c r="B366" s="1"/>
      <c r="C366" s="1"/>
      <c r="D366" s="1"/>
      <c r="E366" s="1"/>
      <c r="F366" s="1"/>
      <c r="G366" s="1"/>
      <c r="H366" s="1"/>
      <c r="I366" s="1"/>
    </row>
    <row r="367" spans="2:9" ht="15.75" customHeight="1" x14ac:dyDescent="0.25">
      <c r="B367" s="1"/>
      <c r="C367" s="1"/>
      <c r="D367" s="1"/>
      <c r="E367" s="1"/>
      <c r="F367" s="1"/>
      <c r="G367" s="1"/>
      <c r="H367" s="1"/>
      <c r="I367" s="1"/>
    </row>
    <row r="368" spans="2:9" ht="15.75" customHeight="1" x14ac:dyDescent="0.25">
      <c r="B368" s="1"/>
      <c r="C368" s="1"/>
      <c r="D368" s="1"/>
      <c r="E368" s="1"/>
      <c r="F368" s="1"/>
      <c r="G368" s="1"/>
      <c r="H368" s="1"/>
      <c r="I368" s="1"/>
    </row>
    <row r="369" spans="2:9" ht="15.75" customHeight="1" x14ac:dyDescent="0.25">
      <c r="B369" s="1"/>
      <c r="C369" s="1"/>
      <c r="D369" s="1"/>
      <c r="E369" s="1"/>
      <c r="F369" s="1"/>
      <c r="G369" s="1"/>
      <c r="H369" s="1"/>
      <c r="I369" s="1"/>
    </row>
    <row r="370" spans="2:9" ht="15.75" customHeight="1" x14ac:dyDescent="0.25">
      <c r="B370" s="1"/>
      <c r="C370" s="1"/>
      <c r="D370" s="1"/>
      <c r="E370" s="1"/>
      <c r="F370" s="1"/>
      <c r="G370" s="1"/>
      <c r="H370" s="1"/>
      <c r="I370" s="1"/>
    </row>
    <row r="371" spans="2:9" ht="15.75" customHeight="1" x14ac:dyDescent="0.25">
      <c r="B371" s="1"/>
      <c r="C371" s="1"/>
      <c r="D371" s="1"/>
      <c r="E371" s="1"/>
      <c r="F371" s="1"/>
      <c r="G371" s="1"/>
      <c r="H371" s="1"/>
      <c r="I371" s="1"/>
    </row>
    <row r="372" spans="2:9" ht="15.75" customHeight="1" x14ac:dyDescent="0.25">
      <c r="B372" s="1"/>
      <c r="C372" s="1"/>
      <c r="D372" s="1"/>
      <c r="E372" s="1"/>
      <c r="F372" s="1"/>
      <c r="G372" s="1"/>
      <c r="H372" s="1"/>
      <c r="I372" s="1"/>
    </row>
    <row r="373" spans="2:9" ht="15.75" customHeight="1" x14ac:dyDescent="0.25">
      <c r="B373" s="1"/>
      <c r="C373" s="1"/>
      <c r="D373" s="1"/>
      <c r="E373" s="1"/>
      <c r="F373" s="1"/>
      <c r="G373" s="1"/>
      <c r="H373" s="1"/>
      <c r="I373" s="1"/>
    </row>
    <row r="374" spans="2:9" ht="15.75" customHeight="1" x14ac:dyDescent="0.25">
      <c r="B374" s="1"/>
      <c r="C374" s="1"/>
      <c r="D374" s="1"/>
      <c r="E374" s="1"/>
      <c r="F374" s="1"/>
      <c r="G374" s="1"/>
      <c r="H374" s="1"/>
      <c r="I374" s="1"/>
    </row>
    <row r="375" spans="2:9" ht="15.75" customHeight="1" x14ac:dyDescent="0.25">
      <c r="B375" s="1"/>
      <c r="C375" s="1"/>
      <c r="D375" s="1"/>
      <c r="E375" s="1"/>
      <c r="F375" s="1"/>
      <c r="G375" s="1"/>
      <c r="H375" s="1"/>
      <c r="I375" s="1"/>
    </row>
    <row r="376" spans="2:9" ht="15.75" customHeight="1" x14ac:dyDescent="0.25">
      <c r="B376" s="1"/>
      <c r="C376" s="1"/>
      <c r="D376" s="1"/>
      <c r="E376" s="1"/>
      <c r="F376" s="1"/>
      <c r="G376" s="1"/>
      <c r="H376" s="1"/>
      <c r="I376" s="1"/>
    </row>
    <row r="377" spans="2:9" ht="15.75" customHeight="1" x14ac:dyDescent="0.25">
      <c r="B377" s="1"/>
      <c r="C377" s="1"/>
      <c r="D377" s="1"/>
      <c r="E377" s="1"/>
      <c r="F377" s="1"/>
      <c r="G377" s="1"/>
      <c r="H377" s="1"/>
      <c r="I377" s="1"/>
    </row>
    <row r="378" spans="2:9" ht="15.75" customHeight="1" x14ac:dyDescent="0.25">
      <c r="B378" s="1"/>
      <c r="C378" s="1"/>
      <c r="D378" s="1"/>
      <c r="E378" s="1"/>
      <c r="F378" s="1"/>
      <c r="G378" s="1"/>
      <c r="H378" s="1"/>
      <c r="I378" s="1"/>
    </row>
    <row r="379" spans="2:9" ht="15.75" customHeight="1" x14ac:dyDescent="0.25">
      <c r="B379" s="1"/>
      <c r="C379" s="1"/>
      <c r="D379" s="1"/>
      <c r="E379" s="1"/>
      <c r="F379" s="1"/>
      <c r="G379" s="1"/>
      <c r="H379" s="1"/>
      <c r="I379" s="1"/>
    </row>
    <row r="380" spans="2:9" ht="15.75" customHeight="1" x14ac:dyDescent="0.25">
      <c r="B380" s="1"/>
      <c r="C380" s="1"/>
      <c r="D380" s="1"/>
      <c r="E380" s="1"/>
      <c r="F380" s="1"/>
      <c r="G380" s="1"/>
      <c r="H380" s="1"/>
      <c r="I380" s="1"/>
    </row>
    <row r="381" spans="2:9" ht="15.75" customHeight="1" x14ac:dyDescent="0.25">
      <c r="B381" s="1"/>
      <c r="C381" s="1"/>
      <c r="D381" s="1"/>
      <c r="E381" s="1"/>
      <c r="F381" s="1"/>
      <c r="G381" s="1"/>
      <c r="H381" s="1"/>
      <c r="I381" s="1"/>
    </row>
    <row r="382" spans="2:9" ht="15.75" customHeight="1" x14ac:dyDescent="0.25">
      <c r="B382" s="1"/>
      <c r="C382" s="1"/>
      <c r="D382" s="1"/>
      <c r="E382" s="1"/>
      <c r="F382" s="1"/>
      <c r="G382" s="1"/>
      <c r="H382" s="1"/>
      <c r="I382" s="1"/>
    </row>
    <row r="383" spans="2:9" ht="15.75" customHeight="1" x14ac:dyDescent="0.25">
      <c r="B383" s="1"/>
      <c r="C383" s="1"/>
      <c r="D383" s="1"/>
      <c r="E383" s="1"/>
      <c r="F383" s="1"/>
      <c r="G383" s="1"/>
      <c r="H383" s="1"/>
      <c r="I383" s="1"/>
    </row>
    <row r="384" spans="2:9" ht="15.75" customHeight="1" x14ac:dyDescent="0.25">
      <c r="B384" s="1"/>
      <c r="C384" s="1"/>
      <c r="D384" s="1"/>
      <c r="E384" s="1"/>
      <c r="F384" s="1"/>
      <c r="G384" s="1"/>
      <c r="H384" s="1"/>
      <c r="I384" s="1"/>
    </row>
    <row r="385" spans="2:9" ht="15.75" customHeight="1" x14ac:dyDescent="0.25">
      <c r="B385" s="1"/>
      <c r="C385" s="1"/>
      <c r="D385" s="1"/>
      <c r="E385" s="1"/>
      <c r="F385" s="1"/>
      <c r="G385" s="1"/>
      <c r="H385" s="1"/>
      <c r="I385" s="1"/>
    </row>
    <row r="386" spans="2:9" ht="15.75" customHeight="1" x14ac:dyDescent="0.25">
      <c r="B386" s="1"/>
      <c r="C386" s="1"/>
      <c r="D386" s="1"/>
      <c r="E386" s="1"/>
      <c r="F386" s="1"/>
      <c r="G386" s="1"/>
      <c r="H386" s="1"/>
      <c r="I386" s="1"/>
    </row>
    <row r="387" spans="2:9" ht="15.75" customHeight="1" x14ac:dyDescent="0.25">
      <c r="B387" s="1"/>
      <c r="C387" s="1"/>
      <c r="D387" s="1"/>
      <c r="E387" s="1"/>
      <c r="F387" s="1"/>
      <c r="G387" s="1"/>
      <c r="H387" s="1"/>
      <c r="I387" s="1"/>
    </row>
    <row r="388" spans="2:9" ht="15.75" customHeight="1" x14ac:dyDescent="0.25">
      <c r="B388" s="1"/>
      <c r="C388" s="1"/>
      <c r="D388" s="1"/>
      <c r="E388" s="1"/>
      <c r="F388" s="1"/>
      <c r="G388" s="1"/>
      <c r="H388" s="1"/>
      <c r="I388" s="1"/>
    </row>
    <row r="389" spans="2:9" ht="15.75" customHeight="1" x14ac:dyDescent="0.25">
      <c r="B389" s="1"/>
      <c r="C389" s="1"/>
      <c r="D389" s="1"/>
      <c r="E389" s="1"/>
      <c r="F389" s="1"/>
      <c r="G389" s="1"/>
      <c r="H389" s="1"/>
      <c r="I389" s="1"/>
    </row>
    <row r="390" spans="2:9" ht="15.75" customHeight="1" x14ac:dyDescent="0.25">
      <c r="B390" s="1"/>
      <c r="C390" s="1"/>
      <c r="D390" s="1"/>
      <c r="E390" s="1"/>
      <c r="F390" s="1"/>
      <c r="G390" s="1"/>
      <c r="H390" s="1"/>
      <c r="I390" s="1"/>
    </row>
    <row r="391" spans="2:9" ht="15.75" customHeight="1" x14ac:dyDescent="0.25">
      <c r="B391" s="1"/>
      <c r="C391" s="1"/>
      <c r="D391" s="1"/>
      <c r="E391" s="1"/>
      <c r="F391" s="1"/>
      <c r="G391" s="1"/>
      <c r="H391" s="1"/>
      <c r="I391" s="1"/>
    </row>
    <row r="392" spans="2:9" ht="15.75" customHeight="1" x14ac:dyDescent="0.25">
      <c r="B392" s="1"/>
      <c r="C392" s="1"/>
      <c r="D392" s="1"/>
      <c r="E392" s="1"/>
      <c r="F392" s="1"/>
      <c r="G392" s="1"/>
      <c r="H392" s="1"/>
      <c r="I392" s="1"/>
    </row>
    <row r="393" spans="2:9" ht="15.75" customHeight="1" x14ac:dyDescent="0.25">
      <c r="B393" s="1"/>
      <c r="C393" s="1"/>
      <c r="D393" s="1"/>
      <c r="E393" s="1"/>
      <c r="F393" s="1"/>
      <c r="G393" s="1"/>
      <c r="H393" s="1"/>
      <c r="I393" s="1"/>
    </row>
    <row r="394" spans="2:9" ht="15.75" customHeight="1" x14ac:dyDescent="0.25">
      <c r="B394" s="1"/>
      <c r="C394" s="1"/>
      <c r="D394" s="1"/>
      <c r="E394" s="1"/>
      <c r="F394" s="1"/>
      <c r="G394" s="1"/>
      <c r="H394" s="1"/>
      <c r="I394" s="1"/>
    </row>
    <row r="395" spans="2:9" ht="15.75" customHeight="1" x14ac:dyDescent="0.25">
      <c r="B395" s="1"/>
      <c r="C395" s="1"/>
      <c r="D395" s="1"/>
      <c r="E395" s="1"/>
      <c r="F395" s="1"/>
      <c r="G395" s="1"/>
      <c r="H395" s="1"/>
      <c r="I395" s="1"/>
    </row>
    <row r="396" spans="2:9" ht="15.75" customHeight="1" x14ac:dyDescent="0.25">
      <c r="B396" s="1"/>
      <c r="C396" s="1"/>
      <c r="D396" s="1"/>
      <c r="E396" s="1"/>
      <c r="F396" s="1"/>
      <c r="G396" s="1"/>
      <c r="H396" s="1"/>
      <c r="I396" s="1"/>
    </row>
    <row r="397" spans="2:9" ht="15.75" customHeight="1" x14ac:dyDescent="0.25">
      <c r="B397" s="1"/>
      <c r="C397" s="1"/>
      <c r="D397" s="1"/>
      <c r="E397" s="1"/>
      <c r="F397" s="1"/>
      <c r="G397" s="1"/>
      <c r="H397" s="1"/>
      <c r="I397" s="1"/>
    </row>
    <row r="398" spans="2:9" ht="15.75" customHeight="1" x14ac:dyDescent="0.25">
      <c r="B398" s="1"/>
      <c r="C398" s="1"/>
      <c r="D398" s="1"/>
      <c r="E398" s="1"/>
      <c r="F398" s="1"/>
      <c r="G398" s="1"/>
      <c r="H398" s="1"/>
      <c r="I398" s="1"/>
    </row>
    <row r="399" spans="2:9" ht="15.75" customHeight="1" x14ac:dyDescent="0.25">
      <c r="B399" s="1"/>
      <c r="C399" s="1"/>
      <c r="D399" s="1"/>
      <c r="E399" s="1"/>
      <c r="F399" s="1"/>
      <c r="G399" s="1"/>
      <c r="H399" s="1"/>
      <c r="I399" s="1"/>
    </row>
    <row r="400" spans="2:9" ht="15.75" customHeight="1" x14ac:dyDescent="0.25">
      <c r="B400" s="1"/>
      <c r="C400" s="1"/>
      <c r="D400" s="1"/>
      <c r="E400" s="1"/>
      <c r="F400" s="1"/>
      <c r="G400" s="1"/>
      <c r="H400" s="1"/>
      <c r="I400" s="1"/>
    </row>
    <row r="401" spans="2:9" ht="15.75" customHeight="1" x14ac:dyDescent="0.25">
      <c r="B401" s="1"/>
      <c r="C401" s="1"/>
      <c r="D401" s="1"/>
      <c r="E401" s="1"/>
      <c r="F401" s="1"/>
      <c r="G401" s="1"/>
      <c r="H401" s="1"/>
      <c r="I401" s="1"/>
    </row>
    <row r="402" spans="2:9" ht="15.75" customHeight="1" x14ac:dyDescent="0.25">
      <c r="B402" s="1"/>
      <c r="C402" s="1"/>
      <c r="D402" s="1"/>
      <c r="E402" s="1"/>
      <c r="F402" s="1"/>
      <c r="G402" s="1"/>
      <c r="H402" s="1"/>
      <c r="I402" s="1"/>
    </row>
    <row r="403" spans="2:9" ht="15.75" customHeight="1" x14ac:dyDescent="0.25">
      <c r="B403" s="1"/>
      <c r="C403" s="1"/>
      <c r="D403" s="1"/>
      <c r="E403" s="1"/>
      <c r="F403" s="1"/>
      <c r="G403" s="1"/>
      <c r="H403" s="1"/>
      <c r="I403" s="1"/>
    </row>
    <row r="404" spans="2:9" ht="15.75" customHeight="1" x14ac:dyDescent="0.25">
      <c r="B404" s="1"/>
      <c r="C404" s="1"/>
      <c r="D404" s="1"/>
      <c r="E404" s="1"/>
      <c r="F404" s="1"/>
      <c r="G404" s="1"/>
      <c r="H404" s="1"/>
      <c r="I404" s="1"/>
    </row>
    <row r="405" spans="2:9" ht="15.75" customHeight="1" x14ac:dyDescent="0.25">
      <c r="B405" s="1"/>
      <c r="C405" s="1"/>
      <c r="D405" s="1"/>
      <c r="E405" s="1"/>
      <c r="F405" s="1"/>
      <c r="G405" s="1"/>
      <c r="H405" s="1"/>
      <c r="I405" s="1"/>
    </row>
    <row r="406" spans="2:9" ht="15.75" customHeight="1" x14ac:dyDescent="0.25">
      <c r="B406" s="1"/>
      <c r="C406" s="1"/>
      <c r="D406" s="1"/>
      <c r="E406" s="1"/>
      <c r="F406" s="1"/>
      <c r="G406" s="1"/>
      <c r="H406" s="1"/>
      <c r="I406" s="1"/>
    </row>
    <row r="407" spans="2:9" ht="15.75" customHeight="1" x14ac:dyDescent="0.25">
      <c r="B407" s="1"/>
      <c r="C407" s="1"/>
      <c r="D407" s="1"/>
      <c r="E407" s="1"/>
      <c r="F407" s="1"/>
      <c r="G407" s="1"/>
      <c r="H407" s="1"/>
      <c r="I407" s="1"/>
    </row>
    <row r="408" spans="2:9" ht="15.75" customHeight="1" x14ac:dyDescent="0.25">
      <c r="B408" s="1"/>
      <c r="C408" s="1"/>
      <c r="D408" s="1"/>
      <c r="E408" s="1"/>
      <c r="F408" s="1"/>
      <c r="G408" s="1"/>
      <c r="H408" s="1"/>
      <c r="I408" s="1"/>
    </row>
    <row r="409" spans="2:9" ht="15.75" customHeight="1" x14ac:dyDescent="0.25">
      <c r="B409" s="1"/>
      <c r="C409" s="1"/>
      <c r="D409" s="1"/>
      <c r="E409" s="1"/>
      <c r="F409" s="1"/>
      <c r="G409" s="1"/>
      <c r="H409" s="1"/>
      <c r="I409" s="1"/>
    </row>
    <row r="410" spans="2:9" ht="15.75" customHeight="1" x14ac:dyDescent="0.25">
      <c r="B410" s="1"/>
      <c r="C410" s="1"/>
      <c r="D410" s="1"/>
      <c r="E410" s="1"/>
      <c r="F410" s="1"/>
      <c r="G410" s="1"/>
      <c r="H410" s="1"/>
      <c r="I410" s="1"/>
    </row>
    <row r="411" spans="2:9" ht="15.75" customHeight="1" x14ac:dyDescent="0.25">
      <c r="B411" s="1"/>
      <c r="C411" s="1"/>
      <c r="D411" s="1"/>
      <c r="E411" s="1"/>
      <c r="F411" s="1"/>
      <c r="G411" s="1"/>
      <c r="H411" s="1"/>
      <c r="I411" s="1"/>
    </row>
    <row r="412" spans="2:9" ht="15.75" customHeight="1" x14ac:dyDescent="0.25">
      <c r="B412" s="1"/>
      <c r="C412" s="1"/>
      <c r="D412" s="1"/>
      <c r="E412" s="1"/>
      <c r="F412" s="1"/>
      <c r="G412" s="1"/>
      <c r="H412" s="1"/>
      <c r="I412" s="1"/>
    </row>
    <row r="413" spans="2:9" ht="15.75" customHeight="1" x14ac:dyDescent="0.25">
      <c r="B413" s="1"/>
      <c r="C413" s="1"/>
      <c r="D413" s="1"/>
      <c r="E413" s="1"/>
      <c r="F413" s="1"/>
      <c r="G413" s="1"/>
      <c r="H413" s="1"/>
      <c r="I413" s="1"/>
    </row>
    <row r="414" spans="2:9" ht="15.75" customHeight="1" x14ac:dyDescent="0.25">
      <c r="B414" s="1"/>
      <c r="C414" s="1"/>
      <c r="D414" s="1"/>
      <c r="E414" s="1"/>
      <c r="F414" s="1"/>
      <c r="G414" s="1"/>
      <c r="H414" s="1"/>
      <c r="I414" s="1"/>
    </row>
    <row r="415" spans="2:9" ht="15.75" customHeight="1" x14ac:dyDescent="0.25">
      <c r="B415" s="1"/>
      <c r="C415" s="1"/>
      <c r="D415" s="1"/>
      <c r="E415" s="1"/>
      <c r="F415" s="1"/>
      <c r="G415" s="1"/>
      <c r="H415" s="1"/>
      <c r="I415" s="1"/>
    </row>
    <row r="416" spans="2:9" ht="15.75" customHeight="1" x14ac:dyDescent="0.25">
      <c r="B416" s="1"/>
      <c r="C416" s="1"/>
      <c r="D416" s="1"/>
      <c r="E416" s="1"/>
      <c r="F416" s="1"/>
      <c r="G416" s="1"/>
      <c r="H416" s="1"/>
      <c r="I416" s="1"/>
    </row>
    <row r="417" spans="2:9" ht="15.75" customHeight="1" x14ac:dyDescent="0.25">
      <c r="B417" s="1"/>
      <c r="C417" s="1"/>
      <c r="D417" s="1"/>
      <c r="E417" s="1"/>
      <c r="F417" s="1"/>
      <c r="G417" s="1"/>
      <c r="H417" s="1"/>
      <c r="I417" s="1"/>
    </row>
    <row r="418" spans="2:9" ht="15.75" customHeight="1" x14ac:dyDescent="0.25">
      <c r="B418" s="1"/>
      <c r="C418" s="1"/>
      <c r="D418" s="1"/>
      <c r="E418" s="1"/>
      <c r="F418" s="1"/>
      <c r="G418" s="1"/>
      <c r="H418" s="1"/>
      <c r="I418" s="1"/>
    </row>
    <row r="419" spans="2:9" ht="15.75" customHeight="1" x14ac:dyDescent="0.25">
      <c r="B419" s="1"/>
      <c r="C419" s="1"/>
      <c r="D419" s="1"/>
      <c r="E419" s="1"/>
      <c r="F419" s="1"/>
      <c r="G419" s="1"/>
      <c r="H419" s="1"/>
      <c r="I419" s="1"/>
    </row>
    <row r="420" spans="2:9" ht="15.75" customHeight="1" x14ac:dyDescent="0.25">
      <c r="B420" s="1"/>
      <c r="C420" s="1"/>
      <c r="D420" s="1"/>
      <c r="E420" s="1"/>
      <c r="F420" s="1"/>
      <c r="G420" s="1"/>
      <c r="H420" s="1"/>
      <c r="I420" s="1"/>
    </row>
    <row r="421" spans="2:9" ht="15.75" customHeight="1" x14ac:dyDescent="0.25">
      <c r="B421" s="1"/>
      <c r="C421" s="1"/>
      <c r="D421" s="1"/>
      <c r="E421" s="1"/>
      <c r="F421" s="1"/>
      <c r="G421" s="1"/>
      <c r="H421" s="1"/>
      <c r="I421" s="1"/>
    </row>
    <row r="422" spans="2:9" ht="15.75" customHeight="1" x14ac:dyDescent="0.25">
      <c r="B422" s="1"/>
      <c r="C422" s="1"/>
      <c r="D422" s="1"/>
      <c r="E422" s="1"/>
      <c r="F422" s="1"/>
      <c r="G422" s="1"/>
      <c r="H422" s="1"/>
      <c r="I422" s="1"/>
    </row>
    <row r="423" spans="2:9" ht="15.75" customHeight="1" x14ac:dyDescent="0.25">
      <c r="B423" s="1"/>
      <c r="C423" s="1"/>
      <c r="D423" s="1"/>
      <c r="E423" s="1"/>
      <c r="F423" s="1"/>
      <c r="G423" s="1"/>
      <c r="H423" s="1"/>
      <c r="I423" s="1"/>
    </row>
    <row r="424" spans="2:9" ht="15.75" customHeight="1" x14ac:dyDescent="0.25">
      <c r="B424" s="1"/>
      <c r="C424" s="1"/>
      <c r="D424" s="1"/>
      <c r="E424" s="1"/>
      <c r="F424" s="1"/>
      <c r="G424" s="1"/>
      <c r="H424" s="1"/>
      <c r="I424" s="1"/>
    </row>
    <row r="425" spans="2:9" ht="15.75" customHeight="1" x14ac:dyDescent="0.25">
      <c r="B425" s="1"/>
      <c r="C425" s="1"/>
      <c r="D425" s="1"/>
      <c r="E425" s="1"/>
      <c r="F425" s="1"/>
      <c r="G425" s="1"/>
      <c r="H425" s="1"/>
      <c r="I425" s="1"/>
    </row>
    <row r="426" spans="2:9" ht="15.75" customHeight="1" x14ac:dyDescent="0.25">
      <c r="B426" s="1"/>
      <c r="C426" s="1"/>
      <c r="D426" s="1"/>
      <c r="E426" s="1"/>
      <c r="F426" s="1"/>
      <c r="G426" s="1"/>
      <c r="H426" s="1"/>
      <c r="I426" s="1"/>
    </row>
    <row r="427" spans="2:9" ht="15.75" customHeight="1" x14ac:dyDescent="0.25">
      <c r="B427" s="1"/>
      <c r="C427" s="1"/>
      <c r="D427" s="1"/>
      <c r="E427" s="1"/>
      <c r="F427" s="1"/>
      <c r="G427" s="1"/>
      <c r="H427" s="1"/>
      <c r="I427" s="1"/>
    </row>
    <row r="428" spans="2:9" ht="15.75" customHeight="1" x14ac:dyDescent="0.25">
      <c r="B428" s="1"/>
      <c r="C428" s="1"/>
      <c r="D428" s="1"/>
      <c r="E428" s="1"/>
      <c r="F428" s="1"/>
      <c r="G428" s="1"/>
      <c r="H428" s="1"/>
      <c r="I428" s="1"/>
    </row>
    <row r="429" spans="2:9" ht="15.75" customHeight="1" x14ac:dyDescent="0.25">
      <c r="B429" s="1"/>
      <c r="C429" s="1"/>
      <c r="D429" s="1"/>
      <c r="E429" s="1"/>
      <c r="F429" s="1"/>
      <c r="G429" s="1"/>
      <c r="H429" s="1"/>
      <c r="I429" s="1"/>
    </row>
    <row r="430" spans="2:9" ht="15.75" customHeight="1" x14ac:dyDescent="0.25">
      <c r="B430" s="1"/>
      <c r="C430" s="1"/>
      <c r="D430" s="1"/>
      <c r="E430" s="1"/>
      <c r="F430" s="1"/>
      <c r="G430" s="1"/>
      <c r="H430" s="1"/>
      <c r="I430" s="1"/>
    </row>
    <row r="431" spans="2:9" ht="15.75" customHeight="1" x14ac:dyDescent="0.25">
      <c r="B431" s="1"/>
      <c r="C431" s="1"/>
      <c r="D431" s="1"/>
      <c r="E431" s="1"/>
      <c r="F431" s="1"/>
      <c r="G431" s="1"/>
      <c r="H431" s="1"/>
      <c r="I431" s="1"/>
    </row>
    <row r="432" spans="2:9" ht="15.75" customHeight="1" x14ac:dyDescent="0.25">
      <c r="B432" s="1"/>
      <c r="C432" s="1"/>
      <c r="D432" s="1"/>
      <c r="E432" s="1"/>
      <c r="F432" s="1"/>
      <c r="G432" s="1"/>
      <c r="H432" s="1"/>
      <c r="I432" s="1"/>
    </row>
    <row r="433" spans="2:9" ht="15.75" customHeight="1" x14ac:dyDescent="0.25">
      <c r="B433" s="1"/>
      <c r="C433" s="1"/>
      <c r="D433" s="1"/>
      <c r="E433" s="1"/>
      <c r="F433" s="1"/>
      <c r="G433" s="1"/>
      <c r="H433" s="1"/>
      <c r="I433" s="1"/>
    </row>
    <row r="434" spans="2:9" ht="15.75" customHeight="1" x14ac:dyDescent="0.25">
      <c r="B434" s="1"/>
      <c r="C434" s="1"/>
      <c r="D434" s="1"/>
      <c r="E434" s="1"/>
      <c r="F434" s="1"/>
      <c r="G434" s="1"/>
      <c r="H434" s="1"/>
      <c r="I434" s="1"/>
    </row>
    <row r="435" spans="2:9" ht="15.75" customHeight="1" x14ac:dyDescent="0.25">
      <c r="B435" s="1"/>
      <c r="C435" s="1"/>
      <c r="D435" s="1"/>
      <c r="E435" s="1"/>
      <c r="F435" s="1"/>
      <c r="G435" s="1"/>
      <c r="H435" s="1"/>
      <c r="I435" s="1"/>
    </row>
    <row r="436" spans="2:9" ht="15.75" customHeight="1" x14ac:dyDescent="0.25">
      <c r="B436" s="1"/>
      <c r="C436" s="1"/>
      <c r="D436" s="1"/>
      <c r="E436" s="1"/>
      <c r="F436" s="1"/>
      <c r="G436" s="1"/>
      <c r="H436" s="1"/>
      <c r="I436" s="1"/>
    </row>
    <row r="437" spans="2:9" ht="15.75" customHeight="1" x14ac:dyDescent="0.25">
      <c r="B437" s="1"/>
      <c r="C437" s="1"/>
      <c r="D437" s="1"/>
      <c r="E437" s="1"/>
      <c r="F437" s="1"/>
      <c r="G437" s="1"/>
      <c r="H437" s="1"/>
      <c r="I437" s="1"/>
    </row>
    <row r="438" spans="2:9" ht="15.75" customHeight="1" x14ac:dyDescent="0.25">
      <c r="B438" s="1"/>
      <c r="C438" s="1"/>
      <c r="D438" s="1"/>
      <c r="E438" s="1"/>
      <c r="F438" s="1"/>
      <c r="G438" s="1"/>
      <c r="H438" s="1"/>
      <c r="I438" s="1"/>
    </row>
    <row r="439" spans="2:9" ht="15.75" customHeight="1" x14ac:dyDescent="0.25">
      <c r="B439" s="1"/>
      <c r="C439" s="1"/>
      <c r="D439" s="1"/>
      <c r="E439" s="1"/>
      <c r="F439" s="1"/>
      <c r="G439" s="1"/>
      <c r="H439" s="1"/>
      <c r="I439" s="1"/>
    </row>
    <row r="440" spans="2:9" ht="15.75" customHeight="1" x14ac:dyDescent="0.25">
      <c r="B440" s="1"/>
      <c r="C440" s="1"/>
      <c r="D440" s="1"/>
      <c r="E440" s="1"/>
      <c r="F440" s="1"/>
      <c r="G440" s="1"/>
      <c r="H440" s="1"/>
      <c r="I440" s="1"/>
    </row>
    <row r="441" spans="2:9" ht="15.75" customHeight="1" x14ac:dyDescent="0.25">
      <c r="B441" s="1"/>
      <c r="C441" s="1"/>
      <c r="D441" s="1"/>
      <c r="E441" s="1"/>
      <c r="F441" s="1"/>
      <c r="G441" s="1"/>
      <c r="H441" s="1"/>
      <c r="I441" s="1"/>
    </row>
    <row r="442" spans="2:9" ht="15.75" customHeight="1" x14ac:dyDescent="0.25">
      <c r="B442" s="1"/>
      <c r="C442" s="1"/>
      <c r="D442" s="1"/>
      <c r="E442" s="1"/>
      <c r="F442" s="1"/>
      <c r="G442" s="1"/>
      <c r="H442" s="1"/>
      <c r="I442" s="1"/>
    </row>
    <row r="443" spans="2:9" ht="15.75" customHeight="1" x14ac:dyDescent="0.25">
      <c r="B443" s="1"/>
      <c r="C443" s="1"/>
      <c r="D443" s="1"/>
      <c r="E443" s="1"/>
      <c r="F443" s="1"/>
      <c r="G443" s="1"/>
      <c r="H443" s="1"/>
      <c r="I443" s="1"/>
    </row>
    <row r="444" spans="2:9" ht="15.75" customHeight="1" x14ac:dyDescent="0.25">
      <c r="B444" s="1"/>
      <c r="C444" s="1"/>
      <c r="D444" s="1"/>
      <c r="E444" s="1"/>
      <c r="F444" s="1"/>
      <c r="G444" s="1"/>
      <c r="H444" s="1"/>
      <c r="I444" s="1"/>
    </row>
    <row r="445" spans="2:9" ht="15.75" customHeight="1" x14ac:dyDescent="0.25">
      <c r="B445" s="1"/>
      <c r="C445" s="1"/>
      <c r="D445" s="1"/>
      <c r="E445" s="1"/>
      <c r="F445" s="1"/>
      <c r="G445" s="1"/>
      <c r="H445" s="1"/>
      <c r="I445" s="1"/>
    </row>
    <row r="446" spans="2:9" ht="15.75" customHeight="1" x14ac:dyDescent="0.25">
      <c r="B446" s="1"/>
      <c r="C446" s="1"/>
      <c r="D446" s="1"/>
      <c r="E446" s="1"/>
      <c r="F446" s="1"/>
      <c r="G446" s="1"/>
      <c r="H446" s="1"/>
      <c r="I446" s="1"/>
    </row>
    <row r="447" spans="2:9" ht="15.75" customHeight="1" x14ac:dyDescent="0.25">
      <c r="B447" s="1"/>
      <c r="C447" s="1"/>
      <c r="D447" s="1"/>
      <c r="E447" s="1"/>
      <c r="F447" s="1"/>
      <c r="G447" s="1"/>
      <c r="H447" s="1"/>
      <c r="I447" s="1"/>
    </row>
    <row r="448" spans="2:9" ht="15.75" customHeight="1" x14ac:dyDescent="0.25">
      <c r="B448" s="1"/>
      <c r="C448" s="1"/>
      <c r="D448" s="1"/>
      <c r="E448" s="1"/>
      <c r="F448" s="1"/>
      <c r="G448" s="1"/>
      <c r="H448" s="1"/>
      <c r="I448" s="1"/>
    </row>
    <row r="449" spans="2:9" ht="15.75" customHeight="1" x14ac:dyDescent="0.25">
      <c r="B449" s="1"/>
      <c r="C449" s="1"/>
      <c r="D449" s="1"/>
      <c r="E449" s="1"/>
      <c r="F449" s="1"/>
      <c r="G449" s="1"/>
      <c r="H449" s="1"/>
      <c r="I449" s="1"/>
    </row>
    <row r="450" spans="2:9" ht="15.75" customHeight="1" x14ac:dyDescent="0.25">
      <c r="B450" s="1"/>
      <c r="C450" s="1"/>
      <c r="D450" s="1"/>
      <c r="E450" s="1"/>
      <c r="F450" s="1"/>
      <c r="G450" s="1"/>
      <c r="H450" s="1"/>
      <c r="I450" s="1"/>
    </row>
    <row r="451" spans="2:9" ht="15.75" customHeight="1" x14ac:dyDescent="0.25">
      <c r="B451" s="1"/>
      <c r="C451" s="1"/>
      <c r="D451" s="1"/>
      <c r="E451" s="1"/>
      <c r="F451" s="1"/>
      <c r="G451" s="1"/>
      <c r="H451" s="1"/>
      <c r="I451" s="1"/>
    </row>
    <row r="452" spans="2:9" ht="15.75" customHeight="1" x14ac:dyDescent="0.25">
      <c r="B452" s="1"/>
      <c r="C452" s="1"/>
      <c r="D452" s="1"/>
      <c r="E452" s="1"/>
      <c r="F452" s="1"/>
      <c r="G452" s="1"/>
      <c r="H452" s="1"/>
      <c r="I452" s="1"/>
    </row>
    <row r="453" spans="2:9" ht="15.75" customHeight="1" x14ac:dyDescent="0.25">
      <c r="B453" s="1"/>
      <c r="C453" s="1"/>
      <c r="D453" s="1"/>
      <c r="E453" s="1"/>
      <c r="F453" s="1"/>
      <c r="G453" s="1"/>
      <c r="H453" s="1"/>
      <c r="I453" s="1"/>
    </row>
    <row r="454" spans="2:9" ht="15.75" customHeight="1" x14ac:dyDescent="0.25">
      <c r="B454" s="1"/>
      <c r="C454" s="1"/>
      <c r="D454" s="1"/>
      <c r="E454" s="1"/>
      <c r="F454" s="1"/>
      <c r="G454" s="1"/>
      <c r="H454" s="1"/>
      <c r="I454" s="1"/>
    </row>
    <row r="455" spans="2:9" ht="15.75" customHeight="1" x14ac:dyDescent="0.25">
      <c r="B455" s="1"/>
      <c r="C455" s="1"/>
      <c r="D455" s="1"/>
      <c r="E455" s="1"/>
      <c r="F455" s="1"/>
      <c r="G455" s="1"/>
      <c r="H455" s="1"/>
      <c r="I455" s="1"/>
    </row>
    <row r="456" spans="2:9" ht="15.75" customHeight="1" x14ac:dyDescent="0.25">
      <c r="B456" s="1"/>
      <c r="C456" s="1"/>
      <c r="D456" s="1"/>
      <c r="E456" s="1"/>
      <c r="F456" s="1"/>
      <c r="G456" s="1"/>
      <c r="H456" s="1"/>
      <c r="I456" s="1"/>
    </row>
    <row r="457" spans="2:9" ht="15.75" customHeight="1" x14ac:dyDescent="0.25">
      <c r="B457" s="1"/>
      <c r="C457" s="1"/>
      <c r="D457" s="1"/>
      <c r="E457" s="1"/>
      <c r="F457" s="1"/>
      <c r="G457" s="1"/>
      <c r="H457" s="1"/>
      <c r="I457" s="1"/>
    </row>
    <row r="458" spans="2:9" ht="15.75" customHeight="1" x14ac:dyDescent="0.25">
      <c r="B458" s="1"/>
      <c r="C458" s="1"/>
      <c r="D458" s="1"/>
      <c r="E458" s="1"/>
      <c r="F458" s="1"/>
      <c r="G458" s="1"/>
      <c r="H458" s="1"/>
      <c r="I458" s="1"/>
    </row>
    <row r="459" spans="2:9" ht="15.75" customHeight="1" x14ac:dyDescent="0.25">
      <c r="B459" s="1"/>
      <c r="C459" s="1"/>
      <c r="D459" s="1"/>
      <c r="E459" s="1"/>
      <c r="F459" s="1"/>
      <c r="G459" s="1"/>
      <c r="H459" s="1"/>
      <c r="I459" s="1"/>
    </row>
    <row r="460" spans="2:9" ht="15.75" customHeight="1" x14ac:dyDescent="0.25">
      <c r="B460" s="1"/>
      <c r="C460" s="1"/>
      <c r="D460" s="1"/>
      <c r="E460" s="1"/>
      <c r="F460" s="1"/>
      <c r="G460" s="1"/>
      <c r="H460" s="1"/>
      <c r="I460" s="1"/>
    </row>
    <row r="461" spans="2:9" ht="15.75" customHeight="1" x14ac:dyDescent="0.25">
      <c r="B461" s="1"/>
      <c r="C461" s="1"/>
      <c r="D461" s="1"/>
      <c r="E461" s="1"/>
      <c r="F461" s="1"/>
      <c r="G461" s="1"/>
      <c r="H461" s="1"/>
      <c r="I461" s="1"/>
    </row>
    <row r="462" spans="2:9" ht="15.75" customHeight="1" x14ac:dyDescent="0.25">
      <c r="B462" s="1"/>
      <c r="C462" s="1"/>
      <c r="D462" s="1"/>
      <c r="E462" s="1"/>
      <c r="F462" s="1"/>
      <c r="G462" s="1"/>
      <c r="H462" s="1"/>
      <c r="I462" s="1"/>
    </row>
    <row r="463" spans="2:9" ht="15.75" customHeight="1" x14ac:dyDescent="0.25">
      <c r="B463" s="1"/>
      <c r="C463" s="1"/>
      <c r="D463" s="1"/>
      <c r="E463" s="1"/>
      <c r="F463" s="1"/>
      <c r="G463" s="1"/>
      <c r="H463" s="1"/>
      <c r="I463" s="1"/>
    </row>
    <row r="464" spans="2:9" ht="15.75" customHeight="1" x14ac:dyDescent="0.25">
      <c r="B464" s="1"/>
      <c r="C464" s="1"/>
      <c r="D464" s="1"/>
      <c r="E464" s="1"/>
      <c r="F464" s="1"/>
      <c r="G464" s="1"/>
      <c r="H464" s="1"/>
      <c r="I464" s="1"/>
    </row>
    <row r="465" spans="2:9" ht="15.75" customHeight="1" x14ac:dyDescent="0.25">
      <c r="B465" s="1"/>
      <c r="C465" s="1"/>
      <c r="D465" s="1"/>
      <c r="E465" s="1"/>
      <c r="F465" s="1"/>
      <c r="G465" s="1"/>
      <c r="H465" s="1"/>
      <c r="I465" s="1"/>
    </row>
    <row r="466" spans="2:9" ht="15.75" customHeight="1" x14ac:dyDescent="0.25">
      <c r="B466" s="1"/>
      <c r="C466" s="1"/>
      <c r="D466" s="1"/>
      <c r="E466" s="1"/>
      <c r="F466" s="1"/>
      <c r="G466" s="1"/>
      <c r="H466" s="1"/>
      <c r="I466" s="1"/>
    </row>
    <row r="467" spans="2:9" ht="15.75" customHeight="1" x14ac:dyDescent="0.25">
      <c r="B467" s="1"/>
      <c r="C467" s="1"/>
      <c r="D467" s="1"/>
      <c r="E467" s="1"/>
      <c r="F467" s="1"/>
      <c r="G467" s="1"/>
      <c r="H467" s="1"/>
      <c r="I467" s="1"/>
    </row>
    <row r="468" spans="2:9" ht="15.75" customHeight="1" x14ac:dyDescent="0.25">
      <c r="B468" s="1"/>
      <c r="C468" s="1"/>
      <c r="D468" s="1"/>
      <c r="E468" s="1"/>
      <c r="F468" s="1"/>
      <c r="G468" s="1"/>
      <c r="H468" s="1"/>
      <c r="I468" s="1"/>
    </row>
    <row r="469" spans="2:9" ht="15.75" customHeight="1" x14ac:dyDescent="0.25">
      <c r="B469" s="1"/>
      <c r="C469" s="1"/>
      <c r="D469" s="1"/>
      <c r="E469" s="1"/>
      <c r="F469" s="1"/>
      <c r="G469" s="1"/>
      <c r="H469" s="1"/>
      <c r="I469" s="1"/>
    </row>
    <row r="470" spans="2:9" ht="15.75" customHeight="1" x14ac:dyDescent="0.25">
      <c r="B470" s="1"/>
      <c r="C470" s="1"/>
      <c r="D470" s="1"/>
      <c r="E470" s="1"/>
      <c r="F470" s="1"/>
      <c r="G470" s="1"/>
      <c r="H470" s="1"/>
      <c r="I470" s="1"/>
    </row>
    <row r="471" spans="2:9" ht="15.75" customHeight="1" x14ac:dyDescent="0.25">
      <c r="B471" s="1"/>
      <c r="C471" s="1"/>
      <c r="D471" s="1"/>
      <c r="E471" s="1"/>
      <c r="F471" s="1"/>
      <c r="G471" s="1"/>
      <c r="H471" s="1"/>
      <c r="I471" s="1"/>
    </row>
    <row r="472" spans="2:9" ht="15.75" customHeight="1" x14ac:dyDescent="0.25">
      <c r="B472" s="1"/>
      <c r="C472" s="1"/>
      <c r="D472" s="1"/>
      <c r="E472" s="1"/>
      <c r="F472" s="1"/>
      <c r="G472" s="1"/>
      <c r="H472" s="1"/>
      <c r="I472" s="1"/>
    </row>
    <row r="473" spans="2:9" ht="15.75" customHeight="1" x14ac:dyDescent="0.25">
      <c r="B473" s="1"/>
      <c r="C473" s="1"/>
      <c r="D473" s="1"/>
      <c r="E473" s="1"/>
      <c r="F473" s="1"/>
      <c r="G473" s="1"/>
      <c r="H473" s="1"/>
      <c r="I473" s="1"/>
    </row>
    <row r="474" spans="2:9" ht="15.75" customHeight="1" x14ac:dyDescent="0.25">
      <c r="B474" s="1"/>
      <c r="C474" s="1"/>
      <c r="D474" s="1"/>
      <c r="E474" s="1"/>
      <c r="F474" s="1"/>
      <c r="G474" s="1"/>
      <c r="H474" s="1"/>
      <c r="I474" s="1"/>
    </row>
    <row r="475" spans="2:9" ht="15.75" customHeight="1" x14ac:dyDescent="0.25">
      <c r="B475" s="1"/>
      <c r="C475" s="1"/>
      <c r="D475" s="1"/>
      <c r="E475" s="1"/>
      <c r="F475" s="1"/>
      <c r="G475" s="1"/>
      <c r="H475" s="1"/>
      <c r="I475" s="1"/>
    </row>
    <row r="476" spans="2:9" ht="15.75" customHeight="1" x14ac:dyDescent="0.25">
      <c r="B476" s="1"/>
      <c r="C476" s="1"/>
      <c r="D476" s="1"/>
      <c r="E476" s="1"/>
      <c r="F476" s="1"/>
      <c r="G476" s="1"/>
      <c r="H476" s="1"/>
      <c r="I476" s="1"/>
    </row>
    <row r="477" spans="2:9" ht="15.75" customHeight="1" x14ac:dyDescent="0.25">
      <c r="B477" s="1"/>
      <c r="C477" s="1"/>
      <c r="D477" s="1"/>
      <c r="E477" s="1"/>
      <c r="F477" s="1"/>
      <c r="G477" s="1"/>
      <c r="H477" s="1"/>
      <c r="I477" s="1"/>
    </row>
    <row r="478" spans="2:9" ht="15.75" customHeight="1" x14ac:dyDescent="0.25">
      <c r="B478" s="1"/>
      <c r="C478" s="1"/>
      <c r="D478" s="1"/>
      <c r="E478" s="1"/>
      <c r="F478" s="1"/>
      <c r="G478" s="1"/>
      <c r="H478" s="1"/>
      <c r="I478" s="1"/>
    </row>
    <row r="479" spans="2:9" ht="15.75" customHeight="1" x14ac:dyDescent="0.25">
      <c r="B479" s="1"/>
      <c r="C479" s="1"/>
      <c r="D479" s="1"/>
      <c r="E479" s="1"/>
      <c r="F479" s="1"/>
      <c r="G479" s="1"/>
      <c r="H479" s="1"/>
      <c r="I479" s="1"/>
    </row>
    <row r="480" spans="2:9" ht="15.75" customHeight="1" x14ac:dyDescent="0.25">
      <c r="B480" s="1"/>
      <c r="C480" s="1"/>
      <c r="D480" s="1"/>
      <c r="E480" s="1"/>
      <c r="F480" s="1"/>
      <c r="G480" s="1"/>
      <c r="H480" s="1"/>
      <c r="I480" s="1"/>
    </row>
    <row r="481" spans="2:9" ht="15.75" customHeight="1" x14ac:dyDescent="0.25">
      <c r="B481" s="1"/>
      <c r="C481" s="1"/>
      <c r="D481" s="1"/>
      <c r="E481" s="1"/>
      <c r="F481" s="1"/>
      <c r="G481" s="1"/>
      <c r="H481" s="1"/>
      <c r="I481" s="1"/>
    </row>
    <row r="482" spans="2:9" ht="15.75" customHeight="1" x14ac:dyDescent="0.25">
      <c r="B482" s="1"/>
      <c r="C482" s="1"/>
      <c r="D482" s="1"/>
      <c r="E482" s="1"/>
      <c r="F482" s="1"/>
      <c r="G482" s="1"/>
      <c r="H482" s="1"/>
      <c r="I482" s="1"/>
    </row>
    <row r="483" spans="2:9" ht="15.75" customHeight="1" x14ac:dyDescent="0.25">
      <c r="B483" s="1"/>
      <c r="C483" s="1"/>
      <c r="D483" s="1"/>
      <c r="E483" s="1"/>
      <c r="F483" s="1"/>
      <c r="G483" s="1"/>
      <c r="H483" s="1"/>
      <c r="I483" s="1"/>
    </row>
    <row r="484" spans="2:9" ht="15.75" customHeight="1" x14ac:dyDescent="0.25">
      <c r="B484" s="1"/>
      <c r="C484" s="1"/>
      <c r="D484" s="1"/>
      <c r="E484" s="1"/>
      <c r="F484" s="1"/>
      <c r="G484" s="1"/>
      <c r="H484" s="1"/>
      <c r="I484" s="1"/>
    </row>
    <row r="485" spans="2:9" ht="15.75" customHeight="1" x14ac:dyDescent="0.25">
      <c r="B485" s="1"/>
      <c r="C485" s="1"/>
      <c r="D485" s="1"/>
      <c r="E485" s="1"/>
      <c r="F485" s="1"/>
      <c r="G485" s="1"/>
      <c r="H485" s="1"/>
      <c r="I485" s="1"/>
    </row>
    <row r="486" spans="2:9" ht="15.75" customHeight="1" x14ac:dyDescent="0.25">
      <c r="B486" s="1"/>
      <c r="C486" s="1"/>
      <c r="D486" s="1"/>
      <c r="E486" s="1"/>
      <c r="F486" s="1"/>
      <c r="G486" s="1"/>
      <c r="H486" s="1"/>
      <c r="I486" s="1"/>
    </row>
    <row r="487" spans="2:9" ht="15.75" customHeight="1" x14ac:dyDescent="0.25">
      <c r="B487" s="1"/>
      <c r="C487" s="1"/>
      <c r="D487" s="1"/>
      <c r="E487" s="1"/>
      <c r="F487" s="1"/>
      <c r="G487" s="1"/>
      <c r="H487" s="1"/>
      <c r="I487" s="1"/>
    </row>
    <row r="488" spans="2:9" ht="15.75" customHeight="1" x14ac:dyDescent="0.25">
      <c r="B488" s="1"/>
      <c r="C488" s="1"/>
      <c r="D488" s="1"/>
      <c r="E488" s="1"/>
      <c r="F488" s="1"/>
      <c r="G488" s="1"/>
      <c r="H488" s="1"/>
      <c r="I488" s="1"/>
    </row>
    <row r="489" spans="2:9" ht="15.75" customHeight="1" x14ac:dyDescent="0.25">
      <c r="B489" s="1"/>
      <c r="C489" s="1"/>
      <c r="D489" s="1"/>
      <c r="E489" s="1"/>
      <c r="F489" s="1"/>
      <c r="G489" s="1"/>
      <c r="H489" s="1"/>
      <c r="I489" s="1"/>
    </row>
    <row r="490" spans="2:9" ht="15.75" customHeight="1" x14ac:dyDescent="0.25">
      <c r="B490" s="1"/>
      <c r="C490" s="1"/>
      <c r="D490" s="1"/>
      <c r="E490" s="1"/>
      <c r="F490" s="1"/>
      <c r="G490" s="1"/>
      <c r="H490" s="1"/>
      <c r="I490" s="1"/>
    </row>
    <row r="491" spans="2:9" ht="15.75" customHeight="1" x14ac:dyDescent="0.25">
      <c r="B491" s="1"/>
      <c r="C491" s="1"/>
      <c r="D491" s="1"/>
      <c r="E491" s="1"/>
      <c r="F491" s="1"/>
      <c r="G491" s="1"/>
      <c r="H491" s="1"/>
      <c r="I491" s="1"/>
    </row>
    <row r="492" spans="2:9" ht="15.75" customHeight="1" x14ac:dyDescent="0.25">
      <c r="B492" s="1"/>
      <c r="C492" s="1"/>
      <c r="D492" s="1"/>
      <c r="E492" s="1"/>
      <c r="F492" s="1"/>
      <c r="G492" s="1"/>
      <c r="H492" s="1"/>
      <c r="I492" s="1"/>
    </row>
    <row r="493" spans="2:9" ht="15.75" customHeight="1" x14ac:dyDescent="0.25">
      <c r="B493" s="1"/>
      <c r="C493" s="1"/>
      <c r="D493" s="1"/>
      <c r="E493" s="1"/>
      <c r="F493" s="1"/>
      <c r="G493" s="1"/>
      <c r="H493" s="1"/>
      <c r="I493" s="1"/>
    </row>
    <row r="494" spans="2:9" ht="15.75" customHeight="1" x14ac:dyDescent="0.25">
      <c r="B494" s="1"/>
      <c r="C494" s="1"/>
      <c r="D494" s="1"/>
      <c r="E494" s="1"/>
      <c r="F494" s="1"/>
      <c r="G494" s="1"/>
      <c r="H494" s="1"/>
      <c r="I494" s="1"/>
    </row>
    <row r="495" spans="2:9" ht="15.75" customHeight="1" x14ac:dyDescent="0.25">
      <c r="B495" s="1"/>
      <c r="C495" s="1"/>
      <c r="D495" s="1"/>
      <c r="E495" s="1"/>
      <c r="F495" s="1"/>
      <c r="G495" s="1"/>
      <c r="H495" s="1"/>
      <c r="I495" s="1"/>
    </row>
    <row r="496" spans="2:9" ht="15.75" customHeight="1" x14ac:dyDescent="0.25">
      <c r="B496" s="1"/>
      <c r="C496" s="1"/>
      <c r="D496" s="1"/>
      <c r="E496" s="1"/>
      <c r="F496" s="1"/>
      <c r="G496" s="1"/>
      <c r="H496" s="1"/>
      <c r="I496" s="1"/>
    </row>
    <row r="497" spans="2:9" ht="15.75" customHeight="1" x14ac:dyDescent="0.25">
      <c r="B497" s="1"/>
      <c r="C497" s="1"/>
      <c r="D497" s="1"/>
      <c r="E497" s="1"/>
      <c r="F497" s="1"/>
      <c r="G497" s="1"/>
      <c r="H497" s="1"/>
      <c r="I497" s="1"/>
    </row>
    <row r="498" spans="2:9" ht="15.75" customHeight="1" x14ac:dyDescent="0.25">
      <c r="B498" s="1"/>
      <c r="C498" s="1"/>
      <c r="D498" s="1"/>
      <c r="E498" s="1"/>
      <c r="F498" s="1"/>
      <c r="G498" s="1"/>
      <c r="H498" s="1"/>
      <c r="I498" s="1"/>
    </row>
    <row r="499" spans="2:9" ht="15.75" customHeight="1" x14ac:dyDescent="0.25">
      <c r="B499" s="1"/>
      <c r="C499" s="1"/>
      <c r="D499" s="1"/>
      <c r="E499" s="1"/>
      <c r="F499" s="1"/>
      <c r="G499" s="1"/>
      <c r="H499" s="1"/>
      <c r="I499" s="1"/>
    </row>
    <row r="500" spans="2:9" ht="15.75" customHeight="1" x14ac:dyDescent="0.25">
      <c r="B500" s="1"/>
      <c r="C500" s="1"/>
      <c r="D500" s="1"/>
      <c r="E500" s="1"/>
      <c r="F500" s="1"/>
      <c r="G500" s="1"/>
      <c r="H500" s="1"/>
      <c r="I500" s="1"/>
    </row>
    <row r="501" spans="2:9" ht="15.75" customHeight="1" x14ac:dyDescent="0.25">
      <c r="B501" s="1"/>
      <c r="C501" s="1"/>
      <c r="D501" s="1"/>
      <c r="E501" s="1"/>
      <c r="F501" s="1"/>
      <c r="G501" s="1"/>
      <c r="H501" s="1"/>
      <c r="I501" s="1"/>
    </row>
    <row r="502" spans="2:9" ht="15.75" customHeight="1" x14ac:dyDescent="0.25">
      <c r="B502" s="1"/>
      <c r="C502" s="1"/>
      <c r="D502" s="1"/>
      <c r="E502" s="1"/>
      <c r="F502" s="1"/>
      <c r="G502" s="1"/>
      <c r="H502" s="1"/>
      <c r="I502" s="1"/>
    </row>
    <row r="503" spans="2:9" ht="15.75" customHeight="1" x14ac:dyDescent="0.25">
      <c r="B503" s="1"/>
      <c r="C503" s="1"/>
      <c r="D503" s="1"/>
      <c r="E503" s="1"/>
      <c r="F503" s="1"/>
      <c r="G503" s="1"/>
      <c r="H503" s="1"/>
      <c r="I503" s="1"/>
    </row>
    <row r="504" spans="2:9" ht="15.75" customHeight="1" x14ac:dyDescent="0.25">
      <c r="B504" s="1"/>
      <c r="C504" s="1"/>
      <c r="D504" s="1"/>
      <c r="E504" s="1"/>
      <c r="F504" s="1"/>
      <c r="G504" s="1"/>
      <c r="H504" s="1"/>
      <c r="I504" s="1"/>
    </row>
    <row r="505" spans="2:9" ht="15.75" customHeight="1" x14ac:dyDescent="0.25">
      <c r="B505" s="1"/>
      <c r="C505" s="1"/>
      <c r="D505" s="1"/>
      <c r="E505" s="1"/>
      <c r="F505" s="1"/>
      <c r="G505" s="1"/>
      <c r="H505" s="1"/>
      <c r="I505" s="1"/>
    </row>
    <row r="506" spans="2:9" ht="15.75" customHeight="1" x14ac:dyDescent="0.25">
      <c r="B506" s="1"/>
      <c r="C506" s="1"/>
      <c r="D506" s="1"/>
      <c r="E506" s="1"/>
      <c r="F506" s="1"/>
      <c r="G506" s="1"/>
      <c r="H506" s="1"/>
      <c r="I506" s="1"/>
    </row>
    <row r="507" spans="2:9" ht="15.75" customHeight="1" x14ac:dyDescent="0.25">
      <c r="B507" s="1"/>
      <c r="C507" s="1"/>
      <c r="D507" s="1"/>
      <c r="E507" s="1"/>
      <c r="F507" s="1"/>
      <c r="G507" s="1"/>
      <c r="H507" s="1"/>
      <c r="I507" s="1"/>
    </row>
    <row r="508" spans="2:9" ht="15.75" customHeight="1" x14ac:dyDescent="0.25">
      <c r="B508" s="1"/>
      <c r="C508" s="1"/>
      <c r="D508" s="1"/>
      <c r="E508" s="1"/>
      <c r="F508" s="1"/>
      <c r="G508" s="1"/>
      <c r="H508" s="1"/>
      <c r="I508" s="1"/>
    </row>
    <row r="509" spans="2:9" ht="15.75" customHeight="1" x14ac:dyDescent="0.25">
      <c r="B509" s="1"/>
      <c r="C509" s="1"/>
      <c r="D509" s="1"/>
      <c r="E509" s="1"/>
      <c r="F509" s="1"/>
      <c r="G509" s="1"/>
      <c r="H509" s="1"/>
      <c r="I509" s="1"/>
    </row>
    <row r="510" spans="2:9" ht="15.75" customHeight="1" x14ac:dyDescent="0.25">
      <c r="B510" s="1"/>
      <c r="C510" s="1"/>
      <c r="D510" s="1"/>
      <c r="E510" s="1"/>
      <c r="F510" s="1"/>
      <c r="G510" s="1"/>
      <c r="H510" s="1"/>
      <c r="I510" s="1"/>
    </row>
    <row r="511" spans="2:9" ht="15.75" customHeight="1" x14ac:dyDescent="0.25">
      <c r="B511" s="1"/>
      <c r="C511" s="1"/>
      <c r="D511" s="1"/>
      <c r="E511" s="1"/>
      <c r="F511" s="1"/>
      <c r="G511" s="1"/>
      <c r="H511" s="1"/>
      <c r="I511" s="1"/>
    </row>
    <row r="512" spans="2:9" ht="15.75" customHeight="1" x14ac:dyDescent="0.25">
      <c r="B512" s="1"/>
      <c r="C512" s="1"/>
      <c r="D512" s="1"/>
      <c r="E512" s="1"/>
      <c r="F512" s="1"/>
      <c r="G512" s="1"/>
      <c r="H512" s="1"/>
      <c r="I512" s="1"/>
    </row>
    <row r="513" spans="2:9" ht="15.75" customHeight="1" x14ac:dyDescent="0.25">
      <c r="B513" s="1"/>
      <c r="C513" s="1"/>
      <c r="D513" s="1"/>
      <c r="E513" s="1"/>
      <c r="F513" s="1"/>
      <c r="G513" s="1"/>
      <c r="H513" s="1"/>
      <c r="I513" s="1"/>
    </row>
    <row r="514" spans="2:9" ht="15.75" customHeight="1" x14ac:dyDescent="0.25">
      <c r="B514" s="1"/>
      <c r="C514" s="1"/>
      <c r="D514" s="1"/>
      <c r="E514" s="1"/>
      <c r="F514" s="1"/>
      <c r="G514" s="1"/>
      <c r="H514" s="1"/>
      <c r="I514" s="1"/>
    </row>
    <row r="515" spans="2:9" ht="15.75" customHeight="1" x14ac:dyDescent="0.25">
      <c r="B515" s="1"/>
      <c r="C515" s="1"/>
      <c r="D515" s="1"/>
      <c r="E515" s="1"/>
      <c r="F515" s="1"/>
      <c r="G515" s="1"/>
      <c r="H515" s="1"/>
      <c r="I515" s="1"/>
    </row>
    <row r="516" spans="2:9" ht="15.75" customHeight="1" x14ac:dyDescent="0.25">
      <c r="B516" s="1"/>
      <c r="C516" s="1"/>
      <c r="D516" s="1"/>
      <c r="E516" s="1"/>
      <c r="F516" s="1"/>
      <c r="G516" s="1"/>
      <c r="H516" s="1"/>
      <c r="I516" s="1"/>
    </row>
    <row r="517" spans="2:9" ht="15.75" customHeight="1" x14ac:dyDescent="0.25">
      <c r="B517" s="1"/>
      <c r="C517" s="1"/>
      <c r="D517" s="1"/>
      <c r="E517" s="1"/>
      <c r="F517" s="1"/>
      <c r="G517" s="1"/>
      <c r="H517" s="1"/>
      <c r="I517" s="1"/>
    </row>
    <row r="518" spans="2:9" ht="15.75" customHeight="1" x14ac:dyDescent="0.25">
      <c r="B518" s="1"/>
      <c r="C518" s="1"/>
      <c r="D518" s="1"/>
      <c r="E518" s="1"/>
      <c r="F518" s="1"/>
      <c r="G518" s="1"/>
      <c r="H518" s="1"/>
      <c r="I518" s="1"/>
    </row>
    <row r="519" spans="2:9" ht="15.75" customHeight="1" x14ac:dyDescent="0.25">
      <c r="B519" s="1"/>
      <c r="C519" s="1"/>
      <c r="D519" s="1"/>
      <c r="E519" s="1"/>
      <c r="F519" s="1"/>
      <c r="G519" s="1"/>
      <c r="H519" s="1"/>
      <c r="I519" s="1"/>
    </row>
    <row r="520" spans="2:9" ht="15.75" customHeight="1" x14ac:dyDescent="0.25">
      <c r="B520" s="1"/>
      <c r="C520" s="1"/>
      <c r="D520" s="1"/>
      <c r="E520" s="1"/>
      <c r="F520" s="1"/>
      <c r="G520" s="1"/>
      <c r="H520" s="1"/>
      <c r="I520" s="1"/>
    </row>
    <row r="521" spans="2:9" ht="15.75" customHeight="1" x14ac:dyDescent="0.25">
      <c r="B521" s="1"/>
      <c r="C521" s="1"/>
      <c r="D521" s="1"/>
      <c r="E521" s="1"/>
      <c r="F521" s="1"/>
      <c r="G521" s="1"/>
      <c r="H521" s="1"/>
      <c r="I521" s="1"/>
    </row>
    <row r="522" spans="2:9" ht="15.75" customHeight="1" x14ac:dyDescent="0.25">
      <c r="B522" s="1"/>
      <c r="C522" s="1"/>
      <c r="D522" s="1"/>
      <c r="E522" s="1"/>
      <c r="F522" s="1"/>
      <c r="G522" s="1"/>
      <c r="H522" s="1"/>
      <c r="I522" s="1"/>
    </row>
    <row r="523" spans="2:9" ht="15.75" customHeight="1" x14ac:dyDescent="0.25">
      <c r="B523" s="1"/>
      <c r="C523" s="1"/>
      <c r="D523" s="1"/>
      <c r="E523" s="1"/>
      <c r="F523" s="1"/>
      <c r="G523" s="1"/>
      <c r="H523" s="1"/>
      <c r="I523" s="1"/>
    </row>
    <row r="524" spans="2:9" ht="15.75" customHeight="1" x14ac:dyDescent="0.25">
      <c r="B524" s="1"/>
      <c r="C524" s="1"/>
      <c r="D524" s="1"/>
      <c r="E524" s="1"/>
      <c r="F524" s="1"/>
      <c r="G524" s="1"/>
      <c r="H524" s="1"/>
      <c r="I524" s="1"/>
    </row>
    <row r="525" spans="2:9" ht="15.75" customHeight="1" x14ac:dyDescent="0.25">
      <c r="B525" s="1"/>
      <c r="C525" s="1"/>
      <c r="D525" s="1"/>
      <c r="E525" s="1"/>
      <c r="F525" s="1"/>
      <c r="G525" s="1"/>
      <c r="H525" s="1"/>
      <c r="I525" s="1"/>
    </row>
    <row r="526" spans="2:9" ht="15.75" customHeight="1" x14ac:dyDescent="0.25">
      <c r="B526" s="1"/>
      <c r="C526" s="1"/>
      <c r="D526" s="1"/>
      <c r="E526" s="1"/>
      <c r="F526" s="1"/>
      <c r="G526" s="1"/>
      <c r="H526" s="1"/>
      <c r="I526" s="1"/>
    </row>
    <row r="527" spans="2:9" ht="15.75" customHeight="1" x14ac:dyDescent="0.25">
      <c r="B527" s="1"/>
      <c r="C527" s="1"/>
      <c r="D527" s="1"/>
      <c r="E527" s="1"/>
      <c r="F527" s="1"/>
      <c r="G527" s="1"/>
      <c r="H527" s="1"/>
      <c r="I527" s="1"/>
    </row>
    <row r="528" spans="2:9" ht="15.75" customHeight="1" x14ac:dyDescent="0.25">
      <c r="B528" s="1"/>
      <c r="C528" s="1"/>
      <c r="D528" s="1"/>
      <c r="E528" s="1"/>
      <c r="F528" s="1"/>
      <c r="G528" s="1"/>
      <c r="H528" s="1"/>
      <c r="I528" s="1"/>
    </row>
    <row r="529" spans="2:9" ht="15.75" customHeight="1" x14ac:dyDescent="0.25">
      <c r="B529" s="1"/>
      <c r="C529" s="1"/>
      <c r="D529" s="1"/>
      <c r="E529" s="1"/>
      <c r="F529" s="1"/>
      <c r="G529" s="1"/>
      <c r="H529" s="1"/>
      <c r="I529" s="1"/>
    </row>
    <row r="530" spans="2:9" ht="15.75" customHeight="1" x14ac:dyDescent="0.25">
      <c r="B530" s="1"/>
      <c r="C530" s="1"/>
      <c r="D530" s="1"/>
      <c r="E530" s="1"/>
      <c r="F530" s="1"/>
      <c r="G530" s="1"/>
      <c r="H530" s="1"/>
      <c r="I530" s="1"/>
    </row>
    <row r="531" spans="2:9" ht="15.75" customHeight="1" x14ac:dyDescent="0.25">
      <c r="B531" s="1"/>
      <c r="C531" s="1"/>
      <c r="D531" s="1"/>
      <c r="E531" s="1"/>
      <c r="F531" s="1"/>
      <c r="G531" s="1"/>
      <c r="H531" s="1"/>
      <c r="I531" s="1"/>
    </row>
    <row r="532" spans="2:9" ht="15.75" customHeight="1" x14ac:dyDescent="0.25">
      <c r="B532" s="1"/>
      <c r="C532" s="1"/>
      <c r="D532" s="1"/>
      <c r="E532" s="1"/>
      <c r="F532" s="1"/>
      <c r="G532" s="1"/>
      <c r="H532" s="1"/>
      <c r="I532" s="1"/>
    </row>
    <row r="533" spans="2:9" ht="15.75" customHeight="1" x14ac:dyDescent="0.25">
      <c r="B533" s="1"/>
      <c r="C533" s="1"/>
      <c r="D533" s="1"/>
      <c r="E533" s="1"/>
      <c r="F533" s="1"/>
      <c r="G533" s="1"/>
      <c r="H533" s="1"/>
      <c r="I533" s="1"/>
    </row>
    <row r="534" spans="2:9" ht="15.75" customHeight="1" x14ac:dyDescent="0.25">
      <c r="B534" s="1"/>
      <c r="C534" s="1"/>
      <c r="D534" s="1"/>
      <c r="E534" s="1"/>
      <c r="F534" s="1"/>
      <c r="G534" s="1"/>
      <c r="H534" s="1"/>
      <c r="I534" s="1"/>
    </row>
    <row r="535" spans="2:9" ht="15.75" customHeight="1" x14ac:dyDescent="0.25">
      <c r="B535" s="1"/>
      <c r="C535" s="1"/>
      <c r="D535" s="1"/>
      <c r="E535" s="1"/>
      <c r="F535" s="1"/>
      <c r="G535" s="1"/>
      <c r="H535" s="1"/>
      <c r="I535" s="1"/>
    </row>
    <row r="536" spans="2:9" ht="15.75" customHeight="1" x14ac:dyDescent="0.25">
      <c r="B536" s="1"/>
      <c r="C536" s="1"/>
      <c r="D536" s="1"/>
      <c r="E536" s="1"/>
      <c r="F536" s="1"/>
      <c r="G536" s="1"/>
      <c r="H536" s="1"/>
      <c r="I536" s="1"/>
    </row>
    <row r="537" spans="2:9" ht="15.75" customHeight="1" x14ac:dyDescent="0.25">
      <c r="B537" s="1"/>
      <c r="C537" s="1"/>
      <c r="D537" s="1"/>
      <c r="E537" s="1"/>
      <c r="F537" s="1"/>
      <c r="G537" s="1"/>
      <c r="H537" s="1"/>
      <c r="I537" s="1"/>
    </row>
    <row r="538" spans="2:9" ht="15.75" customHeight="1" x14ac:dyDescent="0.25">
      <c r="B538" s="1"/>
      <c r="C538" s="1"/>
      <c r="D538" s="1"/>
      <c r="E538" s="1"/>
      <c r="F538" s="1"/>
      <c r="G538" s="1"/>
      <c r="H538" s="1"/>
      <c r="I538" s="1"/>
    </row>
    <row r="539" spans="2:9" ht="15.75" customHeight="1" x14ac:dyDescent="0.25">
      <c r="B539" s="1"/>
      <c r="C539" s="1"/>
      <c r="D539" s="1"/>
      <c r="E539" s="1"/>
      <c r="F539" s="1"/>
      <c r="G539" s="1"/>
      <c r="H539" s="1"/>
      <c r="I539" s="1"/>
    </row>
    <row r="540" spans="2:9" ht="15.75" customHeight="1" x14ac:dyDescent="0.25">
      <c r="B540" s="1"/>
      <c r="C540" s="1"/>
      <c r="D540" s="1"/>
      <c r="E540" s="1"/>
      <c r="F540" s="1"/>
      <c r="G540" s="1"/>
      <c r="H540" s="1"/>
      <c r="I540" s="1"/>
    </row>
    <row r="541" spans="2:9" ht="15.75" customHeight="1" x14ac:dyDescent="0.25">
      <c r="B541" s="1"/>
      <c r="C541" s="1"/>
      <c r="D541" s="1"/>
      <c r="E541" s="1"/>
      <c r="F541" s="1"/>
      <c r="G541" s="1"/>
      <c r="H541" s="1"/>
      <c r="I541" s="1"/>
    </row>
    <row r="542" spans="2:9" ht="15.75" customHeight="1" x14ac:dyDescent="0.25">
      <c r="B542" s="1"/>
      <c r="C542" s="1"/>
      <c r="D542" s="1"/>
      <c r="E542" s="1"/>
      <c r="F542" s="1"/>
      <c r="G542" s="1"/>
      <c r="H542" s="1"/>
      <c r="I542" s="1"/>
    </row>
    <row r="543" spans="2:9" ht="15.75" customHeight="1" x14ac:dyDescent="0.25">
      <c r="B543" s="1"/>
      <c r="C543" s="1"/>
      <c r="D543" s="1"/>
      <c r="E543" s="1"/>
      <c r="F543" s="1"/>
      <c r="G543" s="1"/>
      <c r="H543" s="1"/>
      <c r="I543" s="1"/>
    </row>
    <row r="544" spans="2:9" ht="15.75" customHeight="1" x14ac:dyDescent="0.25">
      <c r="B544" s="1"/>
      <c r="C544" s="1"/>
      <c r="D544" s="1"/>
      <c r="E544" s="1"/>
      <c r="F544" s="1"/>
      <c r="G544" s="1"/>
      <c r="H544" s="1"/>
      <c r="I544" s="1"/>
    </row>
    <row r="545" spans="2:9" ht="15.75" customHeight="1" x14ac:dyDescent="0.25">
      <c r="B545" s="1"/>
      <c r="C545" s="1"/>
      <c r="D545" s="1"/>
      <c r="E545" s="1"/>
      <c r="F545" s="1"/>
      <c r="G545" s="1"/>
      <c r="H545" s="1"/>
      <c r="I545" s="1"/>
    </row>
    <row r="546" spans="2:9" ht="15.75" customHeight="1" x14ac:dyDescent="0.25">
      <c r="B546" s="1"/>
      <c r="C546" s="1"/>
      <c r="D546" s="1"/>
      <c r="E546" s="1"/>
      <c r="F546" s="1"/>
      <c r="G546" s="1"/>
      <c r="H546" s="1"/>
      <c r="I546" s="1"/>
    </row>
    <row r="547" spans="2:9" ht="15.75" customHeight="1" x14ac:dyDescent="0.25">
      <c r="B547" s="1"/>
      <c r="C547" s="1"/>
      <c r="D547" s="1"/>
      <c r="E547" s="1"/>
      <c r="F547" s="1"/>
      <c r="G547" s="1"/>
      <c r="H547" s="1"/>
      <c r="I547" s="1"/>
    </row>
    <row r="548" spans="2:9" ht="15.75" customHeight="1" x14ac:dyDescent="0.25">
      <c r="B548" s="1"/>
      <c r="C548" s="1"/>
      <c r="D548" s="1"/>
      <c r="E548" s="1"/>
      <c r="F548" s="1"/>
      <c r="G548" s="1"/>
      <c r="H548" s="1"/>
      <c r="I548" s="1"/>
    </row>
    <row r="549" spans="2:9" ht="15.75" customHeight="1" x14ac:dyDescent="0.25">
      <c r="B549" s="1"/>
      <c r="C549" s="1"/>
      <c r="D549" s="1"/>
      <c r="E549" s="1"/>
      <c r="F549" s="1"/>
      <c r="G549" s="1"/>
      <c r="H549" s="1"/>
      <c r="I549" s="1"/>
    </row>
    <row r="550" spans="2:9" ht="15.75" customHeight="1" x14ac:dyDescent="0.25">
      <c r="B550" s="1"/>
      <c r="C550" s="1"/>
      <c r="D550" s="1"/>
      <c r="E550" s="1"/>
      <c r="F550" s="1"/>
      <c r="G550" s="1"/>
      <c r="H550" s="1"/>
      <c r="I550" s="1"/>
    </row>
    <row r="551" spans="2:9" ht="15.75" customHeight="1" x14ac:dyDescent="0.25">
      <c r="B551" s="1"/>
      <c r="C551" s="1"/>
      <c r="D551" s="1"/>
      <c r="E551" s="1"/>
      <c r="F551" s="1"/>
      <c r="G551" s="1"/>
      <c r="H551" s="1"/>
      <c r="I551" s="1"/>
    </row>
    <row r="552" spans="2:9" ht="15.75" customHeight="1" x14ac:dyDescent="0.25">
      <c r="B552" s="1"/>
      <c r="C552" s="1"/>
      <c r="D552" s="1"/>
      <c r="E552" s="1"/>
      <c r="F552" s="1"/>
      <c r="G552" s="1"/>
      <c r="H552" s="1"/>
      <c r="I552" s="1"/>
    </row>
    <row r="553" spans="2:9" ht="15.75" customHeight="1" x14ac:dyDescent="0.25">
      <c r="B553" s="1"/>
      <c r="C553" s="1"/>
      <c r="D553" s="1"/>
      <c r="E553" s="1"/>
      <c r="F553" s="1"/>
      <c r="G553" s="1"/>
      <c r="H553" s="1"/>
      <c r="I553" s="1"/>
    </row>
    <row r="554" spans="2:9" ht="15.75" customHeight="1" x14ac:dyDescent="0.25">
      <c r="B554" s="1"/>
      <c r="C554" s="1"/>
      <c r="D554" s="1"/>
      <c r="E554" s="1"/>
      <c r="F554" s="1"/>
      <c r="G554" s="1"/>
      <c r="H554" s="1"/>
      <c r="I554" s="1"/>
    </row>
    <row r="555" spans="2:9" ht="15.75" customHeight="1" x14ac:dyDescent="0.25">
      <c r="B555" s="1"/>
      <c r="C555" s="1"/>
      <c r="D555" s="1"/>
      <c r="E555" s="1"/>
      <c r="F555" s="1"/>
      <c r="G555" s="1"/>
      <c r="H555" s="1"/>
      <c r="I555" s="1"/>
    </row>
    <row r="556" spans="2:9" ht="15.75" customHeight="1" x14ac:dyDescent="0.25">
      <c r="B556" s="1"/>
      <c r="C556" s="1"/>
      <c r="D556" s="1"/>
      <c r="E556" s="1"/>
      <c r="F556" s="1"/>
      <c r="G556" s="1"/>
      <c r="H556" s="1"/>
      <c r="I556" s="1"/>
    </row>
    <row r="557" spans="2:9" ht="15.75" customHeight="1" x14ac:dyDescent="0.25">
      <c r="B557" s="1"/>
      <c r="C557" s="1"/>
      <c r="D557" s="1"/>
      <c r="E557" s="1"/>
      <c r="F557" s="1"/>
      <c r="G557" s="1"/>
      <c r="H557" s="1"/>
      <c r="I557" s="1"/>
    </row>
    <row r="558" spans="2:9" ht="15.75" customHeight="1" x14ac:dyDescent="0.25">
      <c r="B558" s="1"/>
      <c r="C558" s="1"/>
      <c r="D558" s="1"/>
      <c r="E558" s="1"/>
      <c r="F558" s="1"/>
      <c r="G558" s="1"/>
      <c r="H558" s="1"/>
      <c r="I558" s="1"/>
    </row>
    <row r="559" spans="2:9" ht="15.75" customHeight="1" x14ac:dyDescent="0.25">
      <c r="B559" s="1"/>
      <c r="C559" s="1"/>
      <c r="D559" s="1"/>
      <c r="E559" s="1"/>
      <c r="F559" s="1"/>
      <c r="G559" s="1"/>
      <c r="H559" s="1"/>
      <c r="I559" s="1"/>
    </row>
    <row r="560" spans="2:9" ht="15.75" customHeight="1" x14ac:dyDescent="0.25">
      <c r="B560" s="1"/>
      <c r="C560" s="1"/>
      <c r="D560" s="1"/>
      <c r="E560" s="1"/>
      <c r="F560" s="1"/>
      <c r="G560" s="1"/>
      <c r="H560" s="1"/>
      <c r="I560" s="1"/>
    </row>
    <row r="561" spans="2:9" ht="15.75" customHeight="1" x14ac:dyDescent="0.25">
      <c r="B561" s="1"/>
      <c r="C561" s="1"/>
      <c r="D561" s="1"/>
      <c r="E561" s="1"/>
      <c r="F561" s="1"/>
      <c r="G561" s="1"/>
      <c r="H561" s="1"/>
      <c r="I561" s="1"/>
    </row>
    <row r="562" spans="2:9" ht="15.75" customHeight="1" x14ac:dyDescent="0.25">
      <c r="B562" s="1"/>
      <c r="C562" s="1"/>
      <c r="D562" s="1"/>
      <c r="E562" s="1"/>
      <c r="F562" s="1"/>
      <c r="G562" s="1"/>
      <c r="H562" s="1"/>
      <c r="I562" s="1"/>
    </row>
    <row r="563" spans="2:9" ht="15.75" customHeight="1" x14ac:dyDescent="0.25">
      <c r="B563" s="1"/>
      <c r="C563" s="1"/>
      <c r="D563" s="1"/>
      <c r="E563" s="1"/>
      <c r="F563" s="1"/>
      <c r="G563" s="1"/>
      <c r="H563" s="1"/>
      <c r="I563" s="1"/>
    </row>
    <row r="564" spans="2:9" ht="15.75" customHeight="1" x14ac:dyDescent="0.25">
      <c r="B564" s="1"/>
      <c r="C564" s="1"/>
      <c r="D564" s="1"/>
      <c r="E564" s="1"/>
      <c r="F564" s="1"/>
      <c r="G564" s="1"/>
      <c r="H564" s="1"/>
      <c r="I564" s="1"/>
    </row>
    <row r="565" spans="2:9" ht="15.75" customHeight="1" x14ac:dyDescent="0.25">
      <c r="B565" s="1"/>
      <c r="C565" s="1"/>
      <c r="D565" s="1"/>
      <c r="E565" s="1"/>
      <c r="F565" s="1"/>
      <c r="G565" s="1"/>
      <c r="H565" s="1"/>
      <c r="I565" s="1"/>
    </row>
    <row r="566" spans="2:9" ht="15.75" customHeight="1" x14ac:dyDescent="0.25">
      <c r="B566" s="1"/>
      <c r="C566" s="1"/>
      <c r="D566" s="1"/>
      <c r="E566" s="1"/>
      <c r="F566" s="1"/>
      <c r="G566" s="1"/>
      <c r="H566" s="1"/>
      <c r="I566" s="1"/>
    </row>
    <row r="567" spans="2:9" ht="15.75" customHeight="1" x14ac:dyDescent="0.25">
      <c r="B567" s="1"/>
      <c r="C567" s="1"/>
      <c r="D567" s="1"/>
      <c r="E567" s="1"/>
      <c r="F567" s="1"/>
      <c r="G567" s="1"/>
      <c r="H567" s="1"/>
      <c r="I567" s="1"/>
    </row>
    <row r="568" spans="2:9" ht="15.75" customHeight="1" x14ac:dyDescent="0.25">
      <c r="B568" s="1"/>
      <c r="C568" s="1"/>
      <c r="D568" s="1"/>
      <c r="E568" s="1"/>
      <c r="F568" s="1"/>
      <c r="G568" s="1"/>
      <c r="H568" s="1"/>
      <c r="I568" s="1"/>
    </row>
    <row r="569" spans="2:9" ht="15.75" customHeight="1" x14ac:dyDescent="0.25">
      <c r="B569" s="1"/>
      <c r="C569" s="1"/>
      <c r="D569" s="1"/>
      <c r="E569" s="1"/>
      <c r="F569" s="1"/>
      <c r="G569" s="1"/>
      <c r="H569" s="1"/>
      <c r="I569" s="1"/>
    </row>
    <row r="570" spans="2:9" ht="15.75" customHeight="1" x14ac:dyDescent="0.25">
      <c r="B570" s="1"/>
      <c r="C570" s="1"/>
      <c r="D570" s="1"/>
      <c r="E570" s="1"/>
      <c r="F570" s="1"/>
      <c r="G570" s="1"/>
      <c r="H570" s="1"/>
      <c r="I570" s="1"/>
    </row>
    <row r="571" spans="2:9" ht="15.75" customHeight="1" x14ac:dyDescent="0.25">
      <c r="B571" s="1"/>
      <c r="C571" s="1"/>
      <c r="D571" s="1"/>
      <c r="E571" s="1"/>
      <c r="F571" s="1"/>
      <c r="G571" s="1"/>
      <c r="H571" s="1"/>
      <c r="I571" s="1"/>
    </row>
    <row r="572" spans="2:9" ht="15.75" customHeight="1" x14ac:dyDescent="0.25">
      <c r="B572" s="1"/>
      <c r="C572" s="1"/>
      <c r="D572" s="1"/>
      <c r="E572" s="1"/>
      <c r="F572" s="1"/>
      <c r="G572" s="1"/>
      <c r="H572" s="1"/>
      <c r="I572" s="1"/>
    </row>
    <row r="573" spans="2:9" ht="15.75" customHeight="1" x14ac:dyDescent="0.25">
      <c r="B573" s="1"/>
      <c r="C573" s="1"/>
      <c r="D573" s="1"/>
      <c r="E573" s="1"/>
      <c r="F573" s="1"/>
      <c r="G573" s="1"/>
      <c r="H573" s="1"/>
      <c r="I573" s="1"/>
    </row>
    <row r="574" spans="2:9" ht="15.75" customHeight="1" x14ac:dyDescent="0.25">
      <c r="B574" s="1"/>
      <c r="C574" s="1"/>
      <c r="D574" s="1"/>
      <c r="E574" s="1"/>
      <c r="F574" s="1"/>
      <c r="G574" s="1"/>
      <c r="H574" s="1"/>
      <c r="I574" s="1"/>
    </row>
    <row r="575" spans="2:9" ht="15.75" customHeight="1" x14ac:dyDescent="0.25">
      <c r="B575" s="1"/>
      <c r="C575" s="1"/>
      <c r="D575" s="1"/>
      <c r="E575" s="1"/>
      <c r="F575" s="1"/>
      <c r="G575" s="1"/>
      <c r="H575" s="1"/>
      <c r="I575" s="1"/>
    </row>
    <row r="576" spans="2:9" ht="15.75" customHeight="1" x14ac:dyDescent="0.25">
      <c r="B576" s="1"/>
      <c r="C576" s="1"/>
      <c r="D576" s="1"/>
      <c r="E576" s="1"/>
      <c r="F576" s="1"/>
      <c r="G576" s="1"/>
      <c r="H576" s="1"/>
      <c r="I576" s="1"/>
    </row>
    <row r="577" spans="2:9" ht="15.75" customHeight="1" x14ac:dyDescent="0.25">
      <c r="B577" s="1"/>
      <c r="C577" s="1"/>
      <c r="D577" s="1"/>
      <c r="E577" s="1"/>
      <c r="F577" s="1"/>
      <c r="G577" s="1"/>
      <c r="H577" s="1"/>
      <c r="I577" s="1"/>
    </row>
    <row r="578" spans="2:9" ht="15.75" customHeight="1" x14ac:dyDescent="0.25">
      <c r="B578" s="1"/>
      <c r="C578" s="1"/>
      <c r="D578" s="1"/>
      <c r="E578" s="1"/>
      <c r="F578" s="1"/>
      <c r="G578" s="1"/>
      <c r="H578" s="1"/>
      <c r="I578" s="1"/>
    </row>
    <row r="579" spans="2:9" ht="15.75" customHeight="1" x14ac:dyDescent="0.25">
      <c r="B579" s="1"/>
      <c r="C579" s="1"/>
      <c r="D579" s="1"/>
      <c r="E579" s="1"/>
      <c r="F579" s="1"/>
      <c r="G579" s="1"/>
      <c r="H579" s="1"/>
      <c r="I579" s="1"/>
    </row>
    <row r="580" spans="2:9" ht="15.75" customHeight="1" x14ac:dyDescent="0.25">
      <c r="B580" s="1"/>
      <c r="C580" s="1"/>
      <c r="D580" s="1"/>
      <c r="E580" s="1"/>
      <c r="F580" s="1"/>
      <c r="G580" s="1"/>
      <c r="H580" s="1"/>
      <c r="I580" s="1"/>
    </row>
    <row r="581" spans="2:9" ht="15.75" customHeight="1" x14ac:dyDescent="0.25">
      <c r="B581" s="1"/>
      <c r="C581" s="1"/>
      <c r="D581" s="1"/>
      <c r="E581" s="1"/>
      <c r="F581" s="1"/>
      <c r="G581" s="1"/>
      <c r="H581" s="1"/>
      <c r="I581" s="1"/>
    </row>
    <row r="582" spans="2:9" ht="15.75" customHeight="1" x14ac:dyDescent="0.25">
      <c r="B582" s="1"/>
      <c r="C582" s="1"/>
      <c r="D582" s="1"/>
      <c r="E582" s="1"/>
      <c r="F582" s="1"/>
      <c r="G582" s="1"/>
      <c r="H582" s="1"/>
      <c r="I582" s="1"/>
    </row>
    <row r="583" spans="2:9" ht="15.75" customHeight="1" x14ac:dyDescent="0.25">
      <c r="B583" s="1"/>
      <c r="C583" s="1"/>
      <c r="D583" s="1"/>
      <c r="E583" s="1"/>
      <c r="F583" s="1"/>
      <c r="G583" s="1"/>
      <c r="H583" s="1"/>
      <c r="I583" s="1"/>
    </row>
    <row r="584" spans="2:9" ht="15.75" customHeight="1" x14ac:dyDescent="0.25">
      <c r="B584" s="1"/>
      <c r="C584" s="1"/>
      <c r="D584" s="1"/>
      <c r="E584" s="1"/>
      <c r="F584" s="1"/>
      <c r="G584" s="1"/>
      <c r="H584" s="1"/>
      <c r="I584" s="1"/>
    </row>
    <row r="585" spans="2:9" ht="15.75" customHeight="1" x14ac:dyDescent="0.25">
      <c r="B585" s="1"/>
      <c r="C585" s="1"/>
      <c r="D585" s="1"/>
      <c r="E585" s="1"/>
      <c r="F585" s="1"/>
      <c r="G585" s="1"/>
      <c r="H585" s="1"/>
      <c r="I585" s="1"/>
    </row>
    <row r="586" spans="2:9" ht="15.75" customHeight="1" x14ac:dyDescent="0.25">
      <c r="B586" s="1"/>
      <c r="C586" s="1"/>
      <c r="D586" s="1"/>
      <c r="E586" s="1"/>
      <c r="F586" s="1"/>
      <c r="G586" s="1"/>
      <c r="H586" s="1"/>
      <c r="I586" s="1"/>
    </row>
    <row r="587" spans="2:9" ht="15.75" customHeight="1" x14ac:dyDescent="0.25">
      <c r="B587" s="1"/>
      <c r="C587" s="1"/>
      <c r="D587" s="1"/>
      <c r="E587" s="1"/>
      <c r="F587" s="1"/>
      <c r="G587" s="1"/>
      <c r="H587" s="1"/>
      <c r="I587" s="1"/>
    </row>
    <row r="588" spans="2:9" ht="15.75" customHeight="1" x14ac:dyDescent="0.25">
      <c r="B588" s="1"/>
      <c r="C588" s="1"/>
      <c r="D588" s="1"/>
      <c r="E588" s="1"/>
      <c r="F588" s="1"/>
      <c r="G588" s="1"/>
      <c r="H588" s="1"/>
      <c r="I588" s="1"/>
    </row>
    <row r="589" spans="2:9" ht="15.75" customHeight="1" x14ac:dyDescent="0.25">
      <c r="B589" s="1"/>
      <c r="C589" s="1"/>
      <c r="D589" s="1"/>
      <c r="E589" s="1"/>
      <c r="F589" s="1"/>
      <c r="G589" s="1"/>
      <c r="H589" s="1"/>
      <c r="I589" s="1"/>
    </row>
    <row r="590" spans="2:9" ht="15.75" customHeight="1" x14ac:dyDescent="0.25">
      <c r="B590" s="1"/>
      <c r="C590" s="1"/>
      <c r="D590" s="1"/>
      <c r="E590" s="1"/>
      <c r="F590" s="1"/>
      <c r="G590" s="1"/>
      <c r="H590" s="1"/>
      <c r="I590" s="1"/>
    </row>
    <row r="591" spans="2:9" ht="15.75" customHeight="1" x14ac:dyDescent="0.25">
      <c r="B591" s="1"/>
      <c r="C591" s="1"/>
      <c r="D591" s="1"/>
      <c r="E591" s="1"/>
      <c r="F591" s="1"/>
      <c r="G591" s="1"/>
      <c r="H591" s="1"/>
      <c r="I591" s="1"/>
    </row>
    <row r="592" spans="2:9" ht="15.75" customHeight="1" x14ac:dyDescent="0.25">
      <c r="B592" s="1"/>
      <c r="C592" s="1"/>
      <c r="D592" s="1"/>
      <c r="E592" s="1"/>
      <c r="F592" s="1"/>
      <c r="G592" s="1"/>
      <c r="H592" s="1"/>
      <c r="I592" s="1"/>
    </row>
    <row r="593" spans="2:9" ht="15.75" customHeight="1" x14ac:dyDescent="0.25">
      <c r="B593" s="1"/>
      <c r="C593" s="1"/>
      <c r="D593" s="1"/>
      <c r="E593" s="1"/>
      <c r="F593" s="1"/>
      <c r="G593" s="1"/>
      <c r="H593" s="1"/>
      <c r="I593" s="1"/>
    </row>
    <row r="594" spans="2:9" ht="15.75" customHeight="1" x14ac:dyDescent="0.25">
      <c r="B594" s="1"/>
      <c r="C594" s="1"/>
      <c r="D594" s="1"/>
      <c r="E594" s="1"/>
      <c r="F594" s="1"/>
      <c r="G594" s="1"/>
      <c r="H594" s="1"/>
      <c r="I594" s="1"/>
    </row>
    <row r="595" spans="2:9" ht="15.75" customHeight="1" x14ac:dyDescent="0.25">
      <c r="B595" s="1"/>
      <c r="C595" s="1"/>
      <c r="D595" s="1"/>
      <c r="E595" s="1"/>
      <c r="F595" s="1"/>
      <c r="G595" s="1"/>
      <c r="H595" s="1"/>
      <c r="I595" s="1"/>
    </row>
    <row r="596" spans="2:9" ht="15.75" customHeight="1" x14ac:dyDescent="0.25">
      <c r="B596" s="1"/>
      <c r="C596" s="1"/>
      <c r="D596" s="1"/>
      <c r="E596" s="1"/>
      <c r="F596" s="1"/>
      <c r="G596" s="1"/>
      <c r="H596" s="1"/>
      <c r="I596" s="1"/>
    </row>
    <row r="597" spans="2:9" ht="15.75" customHeight="1" x14ac:dyDescent="0.25">
      <c r="B597" s="1"/>
      <c r="C597" s="1"/>
      <c r="D597" s="1"/>
      <c r="E597" s="1"/>
      <c r="F597" s="1"/>
      <c r="G597" s="1"/>
      <c r="H597" s="1"/>
      <c r="I597" s="1"/>
    </row>
    <row r="598" spans="2:9" ht="15.75" customHeight="1" x14ac:dyDescent="0.25">
      <c r="B598" s="1"/>
      <c r="C598" s="1"/>
      <c r="D598" s="1"/>
      <c r="E598" s="1"/>
      <c r="F598" s="1"/>
      <c r="G598" s="1"/>
      <c r="H598" s="1"/>
      <c r="I598" s="1"/>
    </row>
    <row r="599" spans="2:9" ht="15.75" customHeight="1" x14ac:dyDescent="0.25">
      <c r="B599" s="1"/>
      <c r="C599" s="1"/>
      <c r="D599" s="1"/>
      <c r="E599" s="1"/>
      <c r="F599" s="1"/>
      <c r="G599" s="1"/>
      <c r="H599" s="1"/>
      <c r="I599" s="1"/>
    </row>
    <row r="600" spans="2:9" ht="15.75" customHeight="1" x14ac:dyDescent="0.25">
      <c r="B600" s="1"/>
      <c r="C600" s="1"/>
      <c r="D600" s="1"/>
      <c r="E600" s="1"/>
      <c r="F600" s="1"/>
      <c r="G600" s="1"/>
      <c r="H600" s="1"/>
      <c r="I600" s="1"/>
    </row>
    <row r="601" spans="2:9" ht="15.75" customHeight="1" x14ac:dyDescent="0.25">
      <c r="B601" s="1"/>
      <c r="C601" s="1"/>
      <c r="D601" s="1"/>
      <c r="E601" s="1"/>
      <c r="F601" s="1"/>
      <c r="G601" s="1"/>
      <c r="H601" s="1"/>
      <c r="I601" s="1"/>
    </row>
    <row r="602" spans="2:9" ht="15.75" customHeight="1" x14ac:dyDescent="0.25">
      <c r="B602" s="1"/>
      <c r="C602" s="1"/>
      <c r="D602" s="1"/>
      <c r="E602" s="1"/>
      <c r="F602" s="1"/>
      <c r="G602" s="1"/>
      <c r="H602" s="1"/>
      <c r="I602" s="1"/>
    </row>
    <row r="603" spans="2:9" ht="15.75" customHeight="1" x14ac:dyDescent="0.25">
      <c r="B603" s="1"/>
      <c r="C603" s="1"/>
      <c r="D603" s="1"/>
      <c r="E603" s="1"/>
      <c r="F603" s="1"/>
      <c r="G603" s="1"/>
      <c r="H603" s="1"/>
      <c r="I603" s="1"/>
    </row>
    <row r="604" spans="2:9" ht="15.75" customHeight="1" x14ac:dyDescent="0.25">
      <c r="B604" s="1"/>
      <c r="C604" s="1"/>
      <c r="D604" s="1"/>
      <c r="E604" s="1"/>
      <c r="F604" s="1"/>
      <c r="G604" s="1"/>
      <c r="H604" s="1"/>
      <c r="I604" s="1"/>
    </row>
    <row r="605" spans="2:9" ht="15.75" customHeight="1" x14ac:dyDescent="0.25">
      <c r="B605" s="1"/>
      <c r="C605" s="1"/>
      <c r="D605" s="1"/>
      <c r="E605" s="1"/>
      <c r="F605" s="1"/>
      <c r="G605" s="1"/>
      <c r="H605" s="1"/>
      <c r="I605" s="1"/>
    </row>
    <row r="606" spans="2:9" ht="15.75" customHeight="1" x14ac:dyDescent="0.25">
      <c r="B606" s="1"/>
      <c r="C606" s="1"/>
      <c r="D606" s="1"/>
      <c r="E606" s="1"/>
      <c r="F606" s="1"/>
      <c r="G606" s="1"/>
      <c r="H606" s="1"/>
      <c r="I606" s="1"/>
    </row>
    <row r="607" spans="2:9" ht="15.75" customHeight="1" x14ac:dyDescent="0.25">
      <c r="B607" s="1"/>
      <c r="C607" s="1"/>
      <c r="D607" s="1"/>
      <c r="E607" s="1"/>
      <c r="F607" s="1"/>
      <c r="G607" s="1"/>
      <c r="H607" s="1"/>
      <c r="I607" s="1"/>
    </row>
    <row r="608" spans="2:9" ht="15.75" customHeight="1" x14ac:dyDescent="0.25">
      <c r="B608" s="1"/>
      <c r="C608" s="1"/>
      <c r="D608" s="1"/>
      <c r="E608" s="1"/>
      <c r="F608" s="1"/>
      <c r="G608" s="1"/>
      <c r="H608" s="1"/>
      <c r="I608" s="1"/>
    </row>
    <row r="609" spans="2:9" ht="15.75" customHeight="1" x14ac:dyDescent="0.25">
      <c r="B609" s="1"/>
      <c r="C609" s="1"/>
      <c r="D609" s="1"/>
      <c r="E609" s="1"/>
      <c r="F609" s="1"/>
      <c r="G609" s="1"/>
      <c r="H609" s="1"/>
      <c r="I609" s="1"/>
    </row>
    <row r="610" spans="2:9" ht="15.75" customHeight="1" x14ac:dyDescent="0.25">
      <c r="B610" s="1"/>
      <c r="C610" s="1"/>
      <c r="D610" s="1"/>
      <c r="E610" s="1"/>
      <c r="F610" s="1"/>
      <c r="G610" s="1"/>
      <c r="H610" s="1"/>
      <c r="I610" s="1"/>
    </row>
    <row r="611" spans="2:9" ht="15.75" customHeight="1" x14ac:dyDescent="0.25">
      <c r="B611" s="1"/>
      <c r="C611" s="1"/>
      <c r="D611" s="1"/>
      <c r="E611" s="1"/>
      <c r="F611" s="1"/>
      <c r="G611" s="1"/>
      <c r="H611" s="1"/>
      <c r="I611" s="1"/>
    </row>
    <row r="612" spans="2:9" ht="15.75" customHeight="1" x14ac:dyDescent="0.25">
      <c r="B612" s="1"/>
      <c r="C612" s="1"/>
      <c r="D612" s="1"/>
      <c r="E612" s="1"/>
      <c r="F612" s="1"/>
      <c r="G612" s="1"/>
      <c r="H612" s="1"/>
      <c r="I612" s="1"/>
    </row>
    <row r="613" spans="2:9" ht="15.75" customHeight="1" x14ac:dyDescent="0.25">
      <c r="B613" s="1"/>
      <c r="C613" s="1"/>
      <c r="D613" s="1"/>
      <c r="E613" s="1"/>
      <c r="F613" s="1"/>
      <c r="G613" s="1"/>
      <c r="H613" s="1"/>
      <c r="I613" s="1"/>
    </row>
    <row r="614" spans="2:9" ht="15.75" customHeight="1" x14ac:dyDescent="0.25">
      <c r="B614" s="1"/>
      <c r="C614" s="1"/>
      <c r="D614" s="1"/>
      <c r="E614" s="1"/>
      <c r="F614" s="1"/>
      <c r="G614" s="1"/>
      <c r="H614" s="1"/>
      <c r="I614" s="1"/>
    </row>
    <row r="615" spans="2:9" ht="15.75" customHeight="1" x14ac:dyDescent="0.25">
      <c r="B615" s="1"/>
      <c r="C615" s="1"/>
      <c r="D615" s="1"/>
      <c r="E615" s="1"/>
      <c r="F615" s="1"/>
      <c r="G615" s="1"/>
      <c r="H615" s="1"/>
      <c r="I615" s="1"/>
    </row>
    <row r="616" spans="2:9" ht="15.75" customHeight="1" x14ac:dyDescent="0.25">
      <c r="B616" s="1"/>
      <c r="C616" s="1"/>
      <c r="D616" s="1"/>
      <c r="E616" s="1"/>
      <c r="F616" s="1"/>
      <c r="G616" s="1"/>
      <c r="H616" s="1"/>
      <c r="I616" s="1"/>
    </row>
    <row r="617" spans="2:9" ht="15.75" customHeight="1" x14ac:dyDescent="0.25">
      <c r="B617" s="1"/>
      <c r="C617" s="1"/>
      <c r="D617" s="1"/>
      <c r="E617" s="1"/>
      <c r="F617" s="1"/>
      <c r="G617" s="1"/>
      <c r="H617" s="1"/>
      <c r="I617" s="1"/>
    </row>
    <row r="618" spans="2:9" ht="15.75" customHeight="1" x14ac:dyDescent="0.25">
      <c r="B618" s="1"/>
      <c r="C618" s="1"/>
      <c r="D618" s="1"/>
      <c r="E618" s="1"/>
      <c r="F618" s="1"/>
      <c r="G618" s="1"/>
      <c r="H618" s="1"/>
      <c r="I618" s="1"/>
    </row>
    <row r="619" spans="2:9" ht="15.75" customHeight="1" x14ac:dyDescent="0.25">
      <c r="B619" s="1"/>
      <c r="C619" s="1"/>
      <c r="D619" s="1"/>
      <c r="E619" s="1"/>
      <c r="F619" s="1"/>
      <c r="G619" s="1"/>
      <c r="H619" s="1"/>
      <c r="I619" s="1"/>
    </row>
    <row r="620" spans="2:9" ht="15.75" customHeight="1" x14ac:dyDescent="0.25">
      <c r="B620" s="1"/>
      <c r="C620" s="1"/>
      <c r="D620" s="1"/>
      <c r="E620" s="1"/>
      <c r="F620" s="1"/>
      <c r="G620" s="1"/>
      <c r="H620" s="1"/>
      <c r="I620" s="1"/>
    </row>
    <row r="621" spans="2:9" ht="15.75" customHeight="1" x14ac:dyDescent="0.25">
      <c r="B621" s="1"/>
      <c r="C621" s="1"/>
      <c r="D621" s="1"/>
      <c r="E621" s="1"/>
      <c r="F621" s="1"/>
      <c r="G621" s="1"/>
      <c r="H621" s="1"/>
      <c r="I621" s="1"/>
    </row>
    <row r="622" spans="2:9" ht="15.75" customHeight="1" x14ac:dyDescent="0.25">
      <c r="B622" s="1"/>
      <c r="C622" s="1"/>
      <c r="D622" s="1"/>
      <c r="E622" s="1"/>
      <c r="F622" s="1"/>
      <c r="G622" s="1"/>
      <c r="H622" s="1"/>
      <c r="I622" s="1"/>
    </row>
    <row r="623" spans="2:9" ht="15.75" customHeight="1" x14ac:dyDescent="0.25">
      <c r="B623" s="1"/>
      <c r="C623" s="1"/>
      <c r="D623" s="1"/>
      <c r="E623" s="1"/>
      <c r="F623" s="1"/>
      <c r="G623" s="1"/>
      <c r="H623" s="1"/>
      <c r="I623" s="1"/>
    </row>
    <row r="624" spans="2:9" ht="15.75" customHeight="1" x14ac:dyDescent="0.25">
      <c r="B624" s="1"/>
      <c r="C624" s="1"/>
      <c r="D624" s="1"/>
      <c r="E624" s="1"/>
      <c r="F624" s="1"/>
      <c r="G624" s="1"/>
      <c r="H624" s="1"/>
      <c r="I624" s="1"/>
    </row>
    <row r="625" spans="2:9" ht="15.75" customHeight="1" x14ac:dyDescent="0.25">
      <c r="B625" s="1"/>
      <c r="C625" s="1"/>
      <c r="D625" s="1"/>
      <c r="E625" s="1"/>
      <c r="F625" s="1"/>
      <c r="G625" s="1"/>
      <c r="H625" s="1"/>
      <c r="I625" s="1"/>
    </row>
    <row r="626" spans="2:9" ht="15.75" customHeight="1" x14ac:dyDescent="0.25">
      <c r="B626" s="1"/>
      <c r="C626" s="1"/>
      <c r="D626" s="1"/>
      <c r="E626" s="1"/>
      <c r="F626" s="1"/>
      <c r="G626" s="1"/>
      <c r="H626" s="1"/>
      <c r="I626" s="1"/>
    </row>
    <row r="627" spans="2:9" ht="15.75" customHeight="1" x14ac:dyDescent="0.25">
      <c r="B627" s="1"/>
      <c r="C627" s="1"/>
      <c r="D627" s="1"/>
      <c r="E627" s="1"/>
      <c r="F627" s="1"/>
      <c r="G627" s="1"/>
      <c r="H627" s="1"/>
      <c r="I627" s="1"/>
    </row>
    <row r="628" spans="2:9" ht="15.75" customHeight="1" x14ac:dyDescent="0.25">
      <c r="B628" s="1"/>
      <c r="C628" s="1"/>
      <c r="D628" s="1"/>
      <c r="E628" s="1"/>
      <c r="F628" s="1"/>
      <c r="G628" s="1"/>
      <c r="H628" s="1"/>
      <c r="I628" s="1"/>
    </row>
    <row r="629" spans="2:9" ht="15.75" customHeight="1" x14ac:dyDescent="0.25">
      <c r="B629" s="1"/>
      <c r="C629" s="1"/>
      <c r="D629" s="1"/>
      <c r="E629" s="1"/>
      <c r="F629" s="1"/>
      <c r="G629" s="1"/>
      <c r="H629" s="1"/>
      <c r="I629" s="1"/>
    </row>
    <row r="630" spans="2:9" ht="15.75" customHeight="1" x14ac:dyDescent="0.25">
      <c r="B630" s="1"/>
      <c r="C630" s="1"/>
      <c r="D630" s="1"/>
      <c r="E630" s="1"/>
      <c r="F630" s="1"/>
      <c r="G630" s="1"/>
      <c r="H630" s="1"/>
      <c r="I630" s="1"/>
    </row>
    <row r="631" spans="2:9" ht="15.75" customHeight="1" x14ac:dyDescent="0.25">
      <c r="B631" s="1"/>
      <c r="C631" s="1"/>
      <c r="D631" s="1"/>
      <c r="E631" s="1"/>
      <c r="F631" s="1"/>
      <c r="G631" s="1"/>
      <c r="H631" s="1"/>
      <c r="I631" s="1"/>
    </row>
    <row r="632" spans="2:9" ht="15.75" customHeight="1" x14ac:dyDescent="0.25">
      <c r="B632" s="1"/>
      <c r="C632" s="1"/>
      <c r="D632" s="1"/>
      <c r="E632" s="1"/>
      <c r="F632" s="1"/>
      <c r="G632" s="1"/>
      <c r="H632" s="1"/>
      <c r="I632" s="1"/>
    </row>
    <row r="633" spans="2:9" ht="15.75" customHeight="1" x14ac:dyDescent="0.25">
      <c r="B633" s="1"/>
      <c r="C633" s="1"/>
      <c r="D633" s="1"/>
      <c r="E633" s="1"/>
      <c r="F633" s="1"/>
      <c r="G633" s="1"/>
      <c r="H633" s="1"/>
      <c r="I633" s="1"/>
    </row>
    <row r="634" spans="2:9" ht="15.75" customHeight="1" x14ac:dyDescent="0.25">
      <c r="B634" s="1"/>
      <c r="C634" s="1"/>
      <c r="D634" s="1"/>
      <c r="E634" s="1"/>
      <c r="F634" s="1"/>
      <c r="G634" s="1"/>
      <c r="H634" s="1"/>
      <c r="I634" s="1"/>
    </row>
    <row r="635" spans="2:9" ht="15.75" customHeight="1" x14ac:dyDescent="0.25">
      <c r="B635" s="1"/>
      <c r="C635" s="1"/>
      <c r="D635" s="1"/>
      <c r="E635" s="1"/>
      <c r="F635" s="1"/>
      <c r="G635" s="1"/>
      <c r="H635" s="1"/>
      <c r="I635" s="1"/>
    </row>
    <row r="636" spans="2:9" ht="15.75" customHeight="1" x14ac:dyDescent="0.25">
      <c r="B636" s="1"/>
      <c r="C636" s="1"/>
      <c r="D636" s="1"/>
      <c r="E636" s="1"/>
      <c r="F636" s="1"/>
      <c r="G636" s="1"/>
      <c r="H636" s="1"/>
      <c r="I636" s="1"/>
    </row>
    <row r="637" spans="2:9" ht="15.75" customHeight="1" x14ac:dyDescent="0.25">
      <c r="B637" s="1"/>
      <c r="C637" s="1"/>
      <c r="D637" s="1"/>
      <c r="E637" s="1"/>
      <c r="F637" s="1"/>
      <c r="G637" s="1"/>
      <c r="H637" s="1"/>
      <c r="I637" s="1"/>
    </row>
    <row r="638" spans="2:9" ht="15.75" customHeight="1" x14ac:dyDescent="0.25">
      <c r="B638" s="1"/>
      <c r="C638" s="1"/>
      <c r="D638" s="1"/>
      <c r="E638" s="1"/>
      <c r="F638" s="1"/>
      <c r="G638" s="1"/>
      <c r="H638" s="1"/>
      <c r="I638" s="1"/>
    </row>
    <row r="639" spans="2:9" ht="15.75" customHeight="1" x14ac:dyDescent="0.25">
      <c r="B639" s="1"/>
      <c r="C639" s="1"/>
      <c r="D639" s="1"/>
      <c r="E639" s="1"/>
      <c r="F639" s="1"/>
      <c r="G639" s="1"/>
      <c r="H639" s="1"/>
      <c r="I639" s="1"/>
    </row>
    <row r="640" spans="2:9" ht="15.75" customHeight="1" x14ac:dyDescent="0.25">
      <c r="B640" s="1"/>
      <c r="C640" s="1"/>
      <c r="D640" s="1"/>
      <c r="E640" s="1"/>
      <c r="F640" s="1"/>
      <c r="G640" s="1"/>
      <c r="H640" s="1"/>
      <c r="I640" s="1"/>
    </row>
    <row r="641" spans="2:9" ht="15.75" customHeight="1" x14ac:dyDescent="0.25">
      <c r="B641" s="1"/>
      <c r="C641" s="1"/>
      <c r="D641" s="1"/>
      <c r="E641" s="1"/>
      <c r="F641" s="1"/>
      <c r="G641" s="1"/>
      <c r="H641" s="1"/>
      <c r="I641" s="1"/>
    </row>
    <row r="642" spans="2:9" ht="15.75" customHeight="1" x14ac:dyDescent="0.25">
      <c r="B642" s="1"/>
      <c r="C642" s="1"/>
      <c r="D642" s="1"/>
      <c r="E642" s="1"/>
      <c r="F642" s="1"/>
      <c r="G642" s="1"/>
      <c r="H642" s="1"/>
      <c r="I642" s="1"/>
    </row>
    <row r="643" spans="2:9" ht="15.75" customHeight="1" x14ac:dyDescent="0.25">
      <c r="B643" s="1"/>
      <c r="C643" s="1"/>
      <c r="D643" s="1"/>
      <c r="E643" s="1"/>
      <c r="F643" s="1"/>
      <c r="G643" s="1"/>
      <c r="H643" s="1"/>
      <c r="I643" s="1"/>
    </row>
    <row r="644" spans="2:9" ht="15.75" customHeight="1" x14ac:dyDescent="0.25">
      <c r="B644" s="1"/>
      <c r="C644" s="1"/>
      <c r="D644" s="1"/>
      <c r="E644" s="1"/>
      <c r="F644" s="1"/>
      <c r="G644" s="1"/>
      <c r="H644" s="1"/>
      <c r="I644" s="1"/>
    </row>
    <row r="645" spans="2:9" ht="15.75" customHeight="1" x14ac:dyDescent="0.25">
      <c r="B645" s="1"/>
      <c r="C645" s="1"/>
      <c r="D645" s="1"/>
      <c r="E645" s="1"/>
      <c r="F645" s="1"/>
      <c r="G645" s="1"/>
      <c r="H645" s="1"/>
      <c r="I645" s="1"/>
    </row>
    <row r="646" spans="2:9" ht="15.75" customHeight="1" x14ac:dyDescent="0.25">
      <c r="B646" s="1"/>
      <c r="C646" s="1"/>
      <c r="D646" s="1"/>
      <c r="E646" s="1"/>
      <c r="F646" s="1"/>
      <c r="G646" s="1"/>
      <c r="H646" s="1"/>
      <c r="I646" s="1"/>
    </row>
    <row r="647" spans="2:9" ht="15.75" customHeight="1" x14ac:dyDescent="0.25">
      <c r="B647" s="1"/>
      <c r="C647" s="1"/>
      <c r="D647" s="1"/>
      <c r="E647" s="1"/>
      <c r="F647" s="1"/>
      <c r="G647" s="1"/>
      <c r="H647" s="1"/>
      <c r="I647" s="1"/>
    </row>
    <row r="648" spans="2:9" ht="15.75" customHeight="1" x14ac:dyDescent="0.25">
      <c r="B648" s="1"/>
      <c r="C648" s="1"/>
      <c r="D648" s="1"/>
      <c r="E648" s="1"/>
      <c r="F648" s="1"/>
      <c r="G648" s="1"/>
      <c r="H648" s="1"/>
      <c r="I648" s="1"/>
    </row>
    <row r="649" spans="2:9" ht="15.75" customHeight="1" x14ac:dyDescent="0.25">
      <c r="B649" s="1"/>
      <c r="C649" s="1"/>
      <c r="D649" s="1"/>
      <c r="E649" s="1"/>
      <c r="F649" s="1"/>
      <c r="G649" s="1"/>
      <c r="H649" s="1"/>
      <c r="I649" s="1"/>
    </row>
    <row r="650" spans="2:9" ht="15.75" customHeight="1" x14ac:dyDescent="0.25">
      <c r="B650" s="1"/>
      <c r="C650" s="1"/>
      <c r="D650" s="1"/>
      <c r="E650" s="1"/>
      <c r="F650" s="1"/>
      <c r="G650" s="1"/>
      <c r="H650" s="1"/>
      <c r="I650" s="1"/>
    </row>
    <row r="651" spans="2:9" ht="15.75" customHeight="1" x14ac:dyDescent="0.25">
      <c r="B651" s="1"/>
      <c r="C651" s="1"/>
      <c r="D651" s="1"/>
      <c r="E651" s="1"/>
      <c r="F651" s="1"/>
      <c r="G651" s="1"/>
      <c r="H651" s="1"/>
      <c r="I651" s="1"/>
    </row>
    <row r="652" spans="2:9" ht="15.75" customHeight="1" x14ac:dyDescent="0.25">
      <c r="B652" s="1"/>
      <c r="C652" s="1"/>
      <c r="D652" s="1"/>
      <c r="E652" s="1"/>
      <c r="F652" s="1"/>
      <c r="G652" s="1"/>
      <c r="H652" s="1"/>
      <c r="I652" s="1"/>
    </row>
    <row r="653" spans="2:9" ht="15.75" customHeight="1" x14ac:dyDescent="0.25">
      <c r="B653" s="1"/>
      <c r="C653" s="1"/>
      <c r="D653" s="1"/>
      <c r="E653" s="1"/>
      <c r="F653" s="1"/>
      <c r="G653" s="1"/>
      <c r="H653" s="1"/>
      <c r="I653" s="1"/>
    </row>
    <row r="654" spans="2:9" ht="15.75" customHeight="1" x14ac:dyDescent="0.25">
      <c r="B654" s="1"/>
      <c r="C654" s="1"/>
      <c r="D654" s="1"/>
      <c r="E654" s="1"/>
      <c r="F654" s="1"/>
      <c r="G654" s="1"/>
      <c r="H654" s="1"/>
      <c r="I654" s="1"/>
    </row>
    <row r="655" spans="2:9" ht="15.75" customHeight="1" x14ac:dyDescent="0.25">
      <c r="B655" s="1"/>
      <c r="C655" s="1"/>
      <c r="D655" s="1"/>
      <c r="E655" s="1"/>
      <c r="F655" s="1"/>
      <c r="G655" s="1"/>
      <c r="H655" s="1"/>
      <c r="I655" s="1"/>
    </row>
    <row r="656" spans="2:9" ht="15.75" customHeight="1" x14ac:dyDescent="0.25">
      <c r="B656" s="1"/>
      <c r="C656" s="1"/>
      <c r="D656" s="1"/>
      <c r="E656" s="1"/>
      <c r="F656" s="1"/>
      <c r="G656" s="1"/>
      <c r="H656" s="1"/>
      <c r="I656" s="1"/>
    </row>
    <row r="657" spans="2:9" ht="15.75" customHeight="1" x14ac:dyDescent="0.25">
      <c r="B657" s="1"/>
      <c r="C657" s="1"/>
      <c r="D657" s="1"/>
      <c r="E657" s="1"/>
      <c r="F657" s="1"/>
      <c r="G657" s="1"/>
      <c r="H657" s="1"/>
      <c r="I657" s="1"/>
    </row>
    <row r="658" spans="2:9" ht="15.75" customHeight="1" x14ac:dyDescent="0.25">
      <c r="B658" s="1"/>
      <c r="C658" s="1"/>
      <c r="D658" s="1"/>
      <c r="E658" s="1"/>
      <c r="F658" s="1"/>
      <c r="G658" s="1"/>
      <c r="H658" s="1"/>
      <c r="I658" s="1"/>
    </row>
    <row r="659" spans="2:9" ht="15.75" customHeight="1" x14ac:dyDescent="0.25">
      <c r="B659" s="1"/>
      <c r="C659" s="1"/>
      <c r="D659" s="1"/>
      <c r="E659" s="1"/>
      <c r="F659" s="1"/>
      <c r="G659" s="1"/>
      <c r="H659" s="1"/>
      <c r="I659" s="1"/>
    </row>
    <row r="660" spans="2:9" ht="15.75" customHeight="1" x14ac:dyDescent="0.25">
      <c r="B660" s="1"/>
      <c r="C660" s="1"/>
      <c r="D660" s="1"/>
      <c r="E660" s="1"/>
      <c r="F660" s="1"/>
      <c r="G660" s="1"/>
      <c r="H660" s="1"/>
      <c r="I660" s="1"/>
    </row>
    <row r="661" spans="2:9" ht="15.75" customHeight="1" x14ac:dyDescent="0.25">
      <c r="B661" s="1"/>
      <c r="C661" s="1"/>
      <c r="D661" s="1"/>
      <c r="E661" s="1"/>
      <c r="F661" s="1"/>
      <c r="G661" s="1"/>
      <c r="H661" s="1"/>
      <c r="I661" s="1"/>
    </row>
    <row r="662" spans="2:9" ht="15.75" customHeight="1" x14ac:dyDescent="0.25">
      <c r="B662" s="1"/>
      <c r="C662" s="1"/>
      <c r="D662" s="1"/>
      <c r="E662" s="1"/>
      <c r="F662" s="1"/>
      <c r="G662" s="1"/>
      <c r="H662" s="1"/>
      <c r="I662" s="1"/>
    </row>
    <row r="663" spans="2:9" ht="15.75" customHeight="1" x14ac:dyDescent="0.25">
      <c r="B663" s="1"/>
      <c r="C663" s="1"/>
      <c r="D663" s="1"/>
      <c r="E663" s="1"/>
      <c r="F663" s="1"/>
      <c r="G663" s="1"/>
      <c r="H663" s="1"/>
      <c r="I663" s="1"/>
    </row>
    <row r="664" spans="2:9" ht="15.75" customHeight="1" x14ac:dyDescent="0.25">
      <c r="B664" s="1"/>
      <c r="C664" s="1"/>
      <c r="D664" s="1"/>
      <c r="E664" s="1"/>
      <c r="F664" s="1"/>
      <c r="G664" s="1"/>
      <c r="H664" s="1"/>
      <c r="I664" s="1"/>
    </row>
    <row r="665" spans="2:9" ht="15.75" customHeight="1" x14ac:dyDescent="0.25">
      <c r="B665" s="1"/>
      <c r="C665" s="1"/>
      <c r="D665" s="1"/>
      <c r="E665" s="1"/>
      <c r="F665" s="1"/>
      <c r="G665" s="1"/>
      <c r="H665" s="1"/>
      <c r="I665" s="1"/>
    </row>
    <row r="666" spans="2:9" ht="15.75" customHeight="1" x14ac:dyDescent="0.25">
      <c r="B666" s="1"/>
      <c r="C666" s="1"/>
      <c r="D666" s="1"/>
      <c r="E666" s="1"/>
      <c r="F666" s="1"/>
      <c r="G666" s="1"/>
      <c r="H666" s="1"/>
      <c r="I666" s="1"/>
    </row>
    <row r="667" spans="2:9" ht="15.75" customHeight="1" x14ac:dyDescent="0.25">
      <c r="B667" s="1"/>
      <c r="C667" s="1"/>
      <c r="D667" s="1"/>
      <c r="E667" s="1"/>
      <c r="F667" s="1"/>
      <c r="G667" s="1"/>
      <c r="H667" s="1"/>
      <c r="I667" s="1"/>
    </row>
    <row r="668" spans="2:9" ht="15.75" customHeight="1" x14ac:dyDescent="0.25">
      <c r="B668" s="1"/>
      <c r="C668" s="1"/>
      <c r="D668" s="1"/>
      <c r="E668" s="1"/>
      <c r="F668" s="1"/>
      <c r="G668" s="1"/>
      <c r="H668" s="1"/>
      <c r="I668" s="1"/>
    </row>
    <row r="669" spans="2:9" ht="15.75" customHeight="1" x14ac:dyDescent="0.25">
      <c r="B669" s="1"/>
      <c r="C669" s="1"/>
      <c r="D669" s="1"/>
      <c r="E669" s="1"/>
      <c r="F669" s="1"/>
      <c r="G669" s="1"/>
      <c r="H669" s="1"/>
      <c r="I669" s="1"/>
    </row>
    <row r="670" spans="2:9" ht="15.75" customHeight="1" x14ac:dyDescent="0.25">
      <c r="B670" s="1"/>
      <c r="C670" s="1"/>
      <c r="D670" s="1"/>
      <c r="E670" s="1"/>
      <c r="F670" s="1"/>
      <c r="G670" s="1"/>
      <c r="H670" s="1"/>
      <c r="I670" s="1"/>
    </row>
    <row r="671" spans="2:9" ht="15.75" customHeight="1" x14ac:dyDescent="0.25">
      <c r="B671" s="1"/>
      <c r="C671" s="1"/>
      <c r="D671" s="1"/>
      <c r="E671" s="1"/>
      <c r="F671" s="1"/>
      <c r="G671" s="1"/>
      <c r="H671" s="1"/>
      <c r="I671" s="1"/>
    </row>
    <row r="672" spans="2:9" ht="15.75" customHeight="1" x14ac:dyDescent="0.25">
      <c r="B672" s="1"/>
      <c r="C672" s="1"/>
      <c r="D672" s="1"/>
      <c r="E672" s="1"/>
      <c r="F672" s="1"/>
      <c r="G672" s="1"/>
      <c r="H672" s="1"/>
      <c r="I672" s="1"/>
    </row>
    <row r="673" spans="2:9" ht="15.75" customHeight="1" x14ac:dyDescent="0.25">
      <c r="B673" s="1"/>
      <c r="C673" s="1"/>
      <c r="D673" s="1"/>
      <c r="E673" s="1"/>
      <c r="F673" s="1"/>
      <c r="G673" s="1"/>
      <c r="H673" s="1"/>
      <c r="I673" s="1"/>
    </row>
    <row r="674" spans="2:9" ht="15.75" customHeight="1" x14ac:dyDescent="0.25">
      <c r="B674" s="1"/>
      <c r="C674" s="1"/>
      <c r="D674" s="1"/>
      <c r="E674" s="1"/>
      <c r="F674" s="1"/>
      <c r="G674" s="1"/>
      <c r="H674" s="1"/>
      <c r="I674" s="1"/>
    </row>
    <row r="675" spans="2:9" ht="15.75" customHeight="1" x14ac:dyDescent="0.25">
      <c r="B675" s="1"/>
      <c r="C675" s="1"/>
      <c r="D675" s="1"/>
      <c r="E675" s="1"/>
      <c r="F675" s="1"/>
      <c r="G675" s="1"/>
      <c r="H675" s="1"/>
      <c r="I675" s="1"/>
    </row>
    <row r="676" spans="2:9" ht="15.75" customHeight="1" x14ac:dyDescent="0.25">
      <c r="B676" s="1"/>
      <c r="C676" s="1"/>
      <c r="D676" s="1"/>
      <c r="E676" s="1"/>
      <c r="F676" s="1"/>
      <c r="G676" s="1"/>
      <c r="H676" s="1"/>
      <c r="I676" s="1"/>
    </row>
    <row r="677" spans="2:9" ht="15.75" customHeight="1" x14ac:dyDescent="0.25">
      <c r="B677" s="1"/>
      <c r="C677" s="1"/>
      <c r="D677" s="1"/>
      <c r="E677" s="1"/>
      <c r="F677" s="1"/>
      <c r="G677" s="1"/>
      <c r="H677" s="1"/>
      <c r="I677" s="1"/>
    </row>
    <row r="678" spans="2:9" ht="15.75" customHeight="1" x14ac:dyDescent="0.25">
      <c r="B678" s="1"/>
      <c r="C678" s="1"/>
      <c r="D678" s="1"/>
      <c r="E678" s="1"/>
      <c r="F678" s="1"/>
      <c r="G678" s="1"/>
      <c r="H678" s="1"/>
      <c r="I678" s="1"/>
    </row>
    <row r="679" spans="2:9" ht="15.75" customHeight="1" x14ac:dyDescent="0.25">
      <c r="B679" s="1"/>
      <c r="C679" s="1"/>
      <c r="D679" s="1"/>
      <c r="E679" s="1"/>
      <c r="F679" s="1"/>
      <c r="G679" s="1"/>
      <c r="H679" s="1"/>
      <c r="I679" s="1"/>
    </row>
    <row r="680" spans="2:9" ht="15.75" customHeight="1" x14ac:dyDescent="0.25">
      <c r="B680" s="1"/>
      <c r="C680" s="1"/>
      <c r="D680" s="1"/>
      <c r="E680" s="1"/>
      <c r="F680" s="1"/>
      <c r="G680" s="1"/>
      <c r="H680" s="1"/>
      <c r="I680" s="1"/>
    </row>
    <row r="681" spans="2:9" ht="15.75" customHeight="1" x14ac:dyDescent="0.25">
      <c r="B681" s="1"/>
      <c r="C681" s="1"/>
      <c r="D681" s="1"/>
      <c r="E681" s="1"/>
      <c r="F681" s="1"/>
      <c r="G681" s="1"/>
      <c r="H681" s="1"/>
      <c r="I681" s="1"/>
    </row>
    <row r="682" spans="2:9" ht="15.75" customHeight="1" x14ac:dyDescent="0.25">
      <c r="B682" s="1"/>
      <c r="C682" s="1"/>
      <c r="D682" s="1"/>
      <c r="E682" s="1"/>
      <c r="F682" s="1"/>
      <c r="G682" s="1"/>
      <c r="H682" s="1"/>
      <c r="I682" s="1"/>
    </row>
    <row r="683" spans="2:9" ht="15.75" customHeight="1" x14ac:dyDescent="0.25">
      <c r="B683" s="1"/>
      <c r="C683" s="1"/>
      <c r="D683" s="1"/>
      <c r="E683" s="1"/>
      <c r="F683" s="1"/>
      <c r="G683" s="1"/>
      <c r="H683" s="1"/>
      <c r="I683" s="1"/>
    </row>
    <row r="684" spans="2:9" ht="15.75" customHeight="1" x14ac:dyDescent="0.25">
      <c r="B684" s="1"/>
      <c r="C684" s="1"/>
      <c r="D684" s="1"/>
      <c r="E684" s="1"/>
      <c r="F684" s="1"/>
      <c r="G684" s="1"/>
      <c r="H684" s="1"/>
      <c r="I684" s="1"/>
    </row>
    <row r="685" spans="2:9" ht="15.75" customHeight="1" x14ac:dyDescent="0.25">
      <c r="B685" s="1"/>
      <c r="C685" s="1"/>
      <c r="D685" s="1"/>
      <c r="E685" s="1"/>
      <c r="F685" s="1"/>
      <c r="G685" s="1"/>
      <c r="H685" s="1"/>
      <c r="I685" s="1"/>
    </row>
    <row r="686" spans="2:9" ht="15.75" customHeight="1" x14ac:dyDescent="0.25">
      <c r="B686" s="1"/>
      <c r="C686" s="1"/>
      <c r="D686" s="1"/>
      <c r="E686" s="1"/>
      <c r="F686" s="1"/>
      <c r="G686" s="1"/>
      <c r="H686" s="1"/>
      <c r="I686" s="1"/>
    </row>
    <row r="687" spans="2:9" ht="15.75" customHeight="1" x14ac:dyDescent="0.25">
      <c r="B687" s="1"/>
      <c r="C687" s="1"/>
      <c r="D687" s="1"/>
      <c r="E687" s="1"/>
      <c r="F687" s="1"/>
      <c r="G687" s="1"/>
      <c r="H687" s="1"/>
      <c r="I687" s="1"/>
    </row>
    <row r="688" spans="2:9" ht="15.75" customHeight="1" x14ac:dyDescent="0.25">
      <c r="B688" s="1"/>
      <c r="C688" s="1"/>
      <c r="D688" s="1"/>
      <c r="E688" s="1"/>
      <c r="F688" s="1"/>
      <c r="G688" s="1"/>
      <c r="H688" s="1"/>
      <c r="I688" s="1"/>
    </row>
    <row r="689" spans="2:9" ht="15.75" customHeight="1" x14ac:dyDescent="0.25">
      <c r="B689" s="1"/>
      <c r="C689" s="1"/>
      <c r="D689" s="1"/>
      <c r="E689" s="1"/>
      <c r="F689" s="1"/>
      <c r="G689" s="1"/>
      <c r="H689" s="1"/>
      <c r="I689" s="1"/>
    </row>
    <row r="690" spans="2:9" ht="15.75" customHeight="1" x14ac:dyDescent="0.25">
      <c r="B690" s="1"/>
      <c r="C690" s="1"/>
      <c r="D690" s="1"/>
      <c r="E690" s="1"/>
      <c r="F690" s="1"/>
      <c r="G690" s="1"/>
      <c r="H690" s="1"/>
      <c r="I690" s="1"/>
    </row>
    <row r="691" spans="2:9" ht="15.75" customHeight="1" x14ac:dyDescent="0.25">
      <c r="B691" s="1"/>
      <c r="C691" s="1"/>
      <c r="D691" s="1"/>
      <c r="E691" s="1"/>
      <c r="F691" s="1"/>
      <c r="G691" s="1"/>
      <c r="H691" s="1"/>
      <c r="I691" s="1"/>
    </row>
    <row r="692" spans="2:9" ht="15.75" customHeight="1" x14ac:dyDescent="0.25">
      <c r="B692" s="1"/>
      <c r="C692" s="1"/>
      <c r="D692" s="1"/>
      <c r="E692" s="1"/>
      <c r="F692" s="1"/>
      <c r="G692" s="1"/>
      <c r="H692" s="1"/>
      <c r="I692" s="1"/>
    </row>
    <row r="693" spans="2:9" ht="15.75" customHeight="1" x14ac:dyDescent="0.25">
      <c r="B693" s="1"/>
      <c r="C693" s="1"/>
      <c r="D693" s="1"/>
      <c r="E693" s="1"/>
      <c r="F693" s="1"/>
      <c r="G693" s="1"/>
      <c r="H693" s="1"/>
      <c r="I693" s="1"/>
    </row>
    <row r="694" spans="2:9" ht="15.75" customHeight="1" x14ac:dyDescent="0.25">
      <c r="B694" s="1"/>
      <c r="C694" s="1"/>
      <c r="D694" s="1"/>
      <c r="E694" s="1"/>
      <c r="F694" s="1"/>
      <c r="G694" s="1"/>
      <c r="H694" s="1"/>
      <c r="I694" s="1"/>
    </row>
    <row r="695" spans="2:9" ht="15.75" customHeight="1" x14ac:dyDescent="0.25">
      <c r="B695" s="1"/>
      <c r="C695" s="1"/>
      <c r="D695" s="1"/>
      <c r="E695" s="1"/>
      <c r="F695" s="1"/>
      <c r="G695" s="1"/>
      <c r="H695" s="1"/>
      <c r="I695" s="1"/>
    </row>
    <row r="696" spans="2:9" ht="15.75" customHeight="1" x14ac:dyDescent="0.25">
      <c r="B696" s="1"/>
      <c r="C696" s="1"/>
      <c r="D696" s="1"/>
      <c r="E696" s="1"/>
      <c r="F696" s="1"/>
      <c r="G696" s="1"/>
      <c r="H696" s="1"/>
      <c r="I696" s="1"/>
    </row>
    <row r="697" spans="2:9" ht="15.75" customHeight="1" x14ac:dyDescent="0.25">
      <c r="B697" s="1"/>
      <c r="C697" s="1"/>
      <c r="D697" s="1"/>
      <c r="E697" s="1"/>
      <c r="F697" s="1"/>
      <c r="G697" s="1"/>
      <c r="H697" s="1"/>
      <c r="I697" s="1"/>
    </row>
    <row r="698" spans="2:9" ht="15.75" customHeight="1" x14ac:dyDescent="0.25">
      <c r="B698" s="1"/>
      <c r="C698" s="1"/>
      <c r="D698" s="1"/>
      <c r="E698" s="1"/>
      <c r="F698" s="1"/>
      <c r="G698" s="1"/>
      <c r="H698" s="1"/>
      <c r="I698" s="1"/>
    </row>
    <row r="699" spans="2:9" ht="15.75" customHeight="1" x14ac:dyDescent="0.25">
      <c r="B699" s="1"/>
      <c r="C699" s="1"/>
      <c r="D699" s="1"/>
      <c r="E699" s="1"/>
      <c r="F699" s="1"/>
      <c r="G699" s="1"/>
      <c r="H699" s="1"/>
      <c r="I699" s="1"/>
    </row>
    <row r="700" spans="2:9" ht="15.75" customHeight="1" x14ac:dyDescent="0.25">
      <c r="B700" s="1"/>
      <c r="C700" s="1"/>
      <c r="D700" s="1"/>
      <c r="E700" s="1"/>
      <c r="F700" s="1"/>
      <c r="G700" s="1"/>
      <c r="H700" s="1"/>
      <c r="I700" s="1"/>
    </row>
    <row r="701" spans="2:9" ht="15.75" customHeight="1" x14ac:dyDescent="0.25">
      <c r="B701" s="1"/>
      <c r="C701" s="1"/>
      <c r="D701" s="1"/>
      <c r="E701" s="1"/>
      <c r="F701" s="1"/>
      <c r="G701" s="1"/>
      <c r="H701" s="1"/>
      <c r="I701" s="1"/>
    </row>
    <row r="702" spans="2:9" ht="15.75" customHeight="1" x14ac:dyDescent="0.25">
      <c r="B702" s="1"/>
      <c r="C702" s="1"/>
      <c r="D702" s="1"/>
      <c r="E702" s="1"/>
      <c r="F702" s="1"/>
      <c r="G702" s="1"/>
      <c r="H702" s="1"/>
      <c r="I702" s="1"/>
    </row>
    <row r="703" spans="2:9" ht="15.75" customHeight="1" x14ac:dyDescent="0.25">
      <c r="B703" s="1"/>
      <c r="C703" s="1"/>
      <c r="D703" s="1"/>
      <c r="E703" s="1"/>
      <c r="F703" s="1"/>
      <c r="G703" s="1"/>
      <c r="H703" s="1"/>
      <c r="I703" s="1"/>
    </row>
    <row r="704" spans="2:9" ht="15.75" customHeight="1" x14ac:dyDescent="0.25">
      <c r="B704" s="1"/>
      <c r="C704" s="1"/>
      <c r="D704" s="1"/>
      <c r="E704" s="1"/>
      <c r="F704" s="1"/>
      <c r="G704" s="1"/>
      <c r="H704" s="1"/>
      <c r="I704" s="1"/>
    </row>
    <row r="705" spans="2:9" ht="15.75" customHeight="1" x14ac:dyDescent="0.25">
      <c r="B705" s="1"/>
      <c r="C705" s="1"/>
      <c r="D705" s="1"/>
      <c r="E705" s="1"/>
      <c r="F705" s="1"/>
      <c r="G705" s="1"/>
      <c r="H705" s="1"/>
      <c r="I705" s="1"/>
    </row>
    <row r="706" spans="2:9" ht="15.75" customHeight="1" x14ac:dyDescent="0.25">
      <c r="B706" s="1"/>
      <c r="C706" s="1"/>
      <c r="D706" s="1"/>
      <c r="E706" s="1"/>
      <c r="F706" s="1"/>
      <c r="G706" s="1"/>
      <c r="H706" s="1"/>
      <c r="I706" s="1"/>
    </row>
    <row r="707" spans="2:9" ht="15.75" customHeight="1" x14ac:dyDescent="0.25">
      <c r="B707" s="1"/>
      <c r="C707" s="1"/>
      <c r="D707" s="1"/>
      <c r="E707" s="1"/>
      <c r="F707" s="1"/>
      <c r="G707" s="1"/>
      <c r="H707" s="1"/>
      <c r="I707" s="1"/>
    </row>
    <row r="708" spans="2:9" ht="15.75" customHeight="1" x14ac:dyDescent="0.25">
      <c r="B708" s="1"/>
      <c r="C708" s="1"/>
      <c r="D708" s="1"/>
      <c r="E708" s="1"/>
      <c r="F708" s="1"/>
      <c r="G708" s="1"/>
      <c r="H708" s="1"/>
      <c r="I708" s="1"/>
    </row>
    <row r="709" spans="2:9" ht="15.75" customHeight="1" x14ac:dyDescent="0.25">
      <c r="B709" s="1"/>
      <c r="C709" s="1"/>
      <c r="D709" s="1"/>
      <c r="E709" s="1"/>
      <c r="F709" s="1"/>
      <c r="G709" s="1"/>
      <c r="H709" s="1"/>
      <c r="I709" s="1"/>
    </row>
    <row r="710" spans="2:9" ht="15.75" customHeight="1" x14ac:dyDescent="0.25">
      <c r="B710" s="1"/>
      <c r="C710" s="1"/>
      <c r="D710" s="1"/>
      <c r="E710" s="1"/>
      <c r="F710" s="1"/>
      <c r="G710" s="1"/>
      <c r="H710" s="1"/>
      <c r="I710" s="1"/>
    </row>
    <row r="711" spans="2:9" ht="15.75" customHeight="1" x14ac:dyDescent="0.25">
      <c r="B711" s="1"/>
      <c r="C711" s="1"/>
      <c r="D711" s="1"/>
      <c r="E711" s="1"/>
      <c r="F711" s="1"/>
      <c r="G711" s="1"/>
      <c r="H711" s="1"/>
      <c r="I711" s="1"/>
    </row>
    <row r="712" spans="2:9" ht="15.75" customHeight="1" x14ac:dyDescent="0.25">
      <c r="B712" s="1"/>
      <c r="C712" s="1"/>
      <c r="D712" s="1"/>
      <c r="E712" s="1"/>
      <c r="F712" s="1"/>
      <c r="G712" s="1"/>
      <c r="H712" s="1"/>
      <c r="I712" s="1"/>
    </row>
    <row r="713" spans="2:9" ht="15.75" customHeight="1" x14ac:dyDescent="0.25">
      <c r="B713" s="1"/>
      <c r="C713" s="1"/>
      <c r="D713" s="1"/>
      <c r="E713" s="1"/>
      <c r="F713" s="1"/>
      <c r="G713" s="1"/>
      <c r="H713" s="1"/>
      <c r="I713" s="1"/>
    </row>
    <row r="714" spans="2:9" ht="15.75" customHeight="1" x14ac:dyDescent="0.25">
      <c r="B714" s="1"/>
      <c r="C714" s="1"/>
      <c r="D714" s="1"/>
      <c r="E714" s="1"/>
      <c r="F714" s="1"/>
      <c r="G714" s="1"/>
      <c r="H714" s="1"/>
      <c r="I714" s="1"/>
    </row>
    <row r="715" spans="2:9" ht="15.75" customHeight="1" x14ac:dyDescent="0.25">
      <c r="B715" s="1"/>
      <c r="C715" s="1"/>
      <c r="D715" s="1"/>
      <c r="E715" s="1"/>
      <c r="F715" s="1"/>
      <c r="G715" s="1"/>
      <c r="H715" s="1"/>
      <c r="I715" s="1"/>
    </row>
    <row r="716" spans="2:9" ht="15.75" customHeight="1" x14ac:dyDescent="0.25">
      <c r="B716" s="1"/>
      <c r="C716" s="1"/>
      <c r="D716" s="1"/>
      <c r="E716" s="1"/>
      <c r="F716" s="1"/>
      <c r="G716" s="1"/>
      <c r="H716" s="1"/>
      <c r="I716" s="1"/>
    </row>
    <row r="717" spans="2:9" ht="15.75" customHeight="1" x14ac:dyDescent="0.25">
      <c r="B717" s="1"/>
      <c r="C717" s="1"/>
      <c r="D717" s="1"/>
      <c r="E717" s="1"/>
      <c r="F717" s="1"/>
      <c r="G717" s="1"/>
      <c r="H717" s="1"/>
      <c r="I717" s="1"/>
    </row>
    <row r="718" spans="2:9" ht="15.75" customHeight="1" x14ac:dyDescent="0.25">
      <c r="B718" s="1"/>
      <c r="C718" s="1"/>
      <c r="D718" s="1"/>
      <c r="E718" s="1"/>
      <c r="F718" s="1"/>
      <c r="G718" s="1"/>
      <c r="H718" s="1"/>
      <c r="I718" s="1"/>
    </row>
    <row r="719" spans="2:9" ht="15.75" customHeight="1" x14ac:dyDescent="0.25">
      <c r="B719" s="1"/>
      <c r="C719" s="1"/>
      <c r="D719" s="1"/>
      <c r="E719" s="1"/>
      <c r="F719" s="1"/>
      <c r="G719" s="1"/>
      <c r="H719" s="1"/>
      <c r="I719" s="1"/>
    </row>
    <row r="720" spans="2:9" ht="15.75" customHeight="1" x14ac:dyDescent="0.25">
      <c r="B720" s="1"/>
      <c r="C720" s="1"/>
      <c r="D720" s="1"/>
      <c r="E720" s="1"/>
      <c r="F720" s="1"/>
      <c r="G720" s="1"/>
      <c r="H720" s="1"/>
      <c r="I720" s="1"/>
    </row>
    <row r="721" spans="2:9" ht="15.75" customHeight="1" x14ac:dyDescent="0.25">
      <c r="B721" s="1"/>
      <c r="C721" s="1"/>
      <c r="D721" s="1"/>
      <c r="E721" s="1"/>
      <c r="F721" s="1"/>
      <c r="G721" s="1"/>
      <c r="H721" s="1"/>
      <c r="I721" s="1"/>
    </row>
    <row r="722" spans="2:9" ht="15.75" customHeight="1" x14ac:dyDescent="0.25">
      <c r="B722" s="1"/>
      <c r="C722" s="1"/>
      <c r="D722" s="1"/>
      <c r="E722" s="1"/>
      <c r="F722" s="1"/>
      <c r="G722" s="1"/>
      <c r="H722" s="1"/>
      <c r="I722" s="1"/>
    </row>
    <row r="723" spans="2:9" ht="15.75" customHeight="1" x14ac:dyDescent="0.25">
      <c r="B723" s="1"/>
      <c r="C723" s="1"/>
      <c r="D723" s="1"/>
      <c r="E723" s="1"/>
      <c r="F723" s="1"/>
      <c r="G723" s="1"/>
      <c r="H723" s="1"/>
      <c r="I723" s="1"/>
    </row>
    <row r="724" spans="2:9" ht="15.75" customHeight="1" x14ac:dyDescent="0.25">
      <c r="B724" s="1"/>
      <c r="C724" s="1"/>
      <c r="D724" s="1"/>
      <c r="E724" s="1"/>
      <c r="F724" s="1"/>
      <c r="G724" s="1"/>
      <c r="H724" s="1"/>
      <c r="I724" s="1"/>
    </row>
    <row r="725" spans="2:9" ht="15.75" customHeight="1" x14ac:dyDescent="0.25">
      <c r="B725" s="1"/>
      <c r="C725" s="1"/>
      <c r="D725" s="1"/>
      <c r="E725" s="1"/>
      <c r="F725" s="1"/>
      <c r="G725" s="1"/>
      <c r="H725" s="1"/>
      <c r="I725" s="1"/>
    </row>
    <row r="726" spans="2:9" ht="15.75" customHeight="1" x14ac:dyDescent="0.25">
      <c r="B726" s="1"/>
      <c r="C726" s="1"/>
      <c r="D726" s="1"/>
      <c r="E726" s="1"/>
      <c r="F726" s="1"/>
      <c r="G726" s="1"/>
      <c r="H726" s="1"/>
      <c r="I726" s="1"/>
    </row>
    <row r="727" spans="2:9" ht="15.75" customHeight="1" x14ac:dyDescent="0.25">
      <c r="B727" s="1"/>
      <c r="C727" s="1"/>
      <c r="D727" s="1"/>
      <c r="E727" s="1"/>
      <c r="F727" s="1"/>
      <c r="G727" s="1"/>
      <c r="H727" s="1"/>
      <c r="I727" s="1"/>
    </row>
    <row r="728" spans="2:9" ht="15.75" customHeight="1" x14ac:dyDescent="0.25">
      <c r="B728" s="1"/>
      <c r="C728" s="1"/>
      <c r="D728" s="1"/>
      <c r="E728" s="1"/>
      <c r="F728" s="1"/>
      <c r="G728" s="1"/>
      <c r="H728" s="1"/>
      <c r="I728" s="1"/>
    </row>
    <row r="729" spans="2:9" ht="15.75" customHeight="1" x14ac:dyDescent="0.25">
      <c r="B729" s="1"/>
      <c r="C729" s="1"/>
      <c r="D729" s="1"/>
      <c r="E729" s="1"/>
      <c r="F729" s="1"/>
      <c r="G729" s="1"/>
      <c r="H729" s="1"/>
      <c r="I729" s="1"/>
    </row>
    <row r="730" spans="2:9" ht="15.75" customHeight="1" x14ac:dyDescent="0.25">
      <c r="B730" s="1"/>
      <c r="C730" s="1"/>
      <c r="D730" s="1"/>
      <c r="E730" s="1"/>
      <c r="F730" s="1"/>
      <c r="G730" s="1"/>
      <c r="H730" s="1"/>
      <c r="I730" s="1"/>
    </row>
    <row r="731" spans="2:9" ht="15.75" customHeight="1" x14ac:dyDescent="0.25">
      <c r="B731" s="1"/>
      <c r="C731" s="1"/>
      <c r="D731" s="1"/>
      <c r="E731" s="1"/>
      <c r="F731" s="1"/>
      <c r="G731" s="1"/>
      <c r="H731" s="1"/>
      <c r="I731" s="1"/>
    </row>
    <row r="732" spans="2:9" ht="15.75" customHeight="1" x14ac:dyDescent="0.25">
      <c r="B732" s="1"/>
      <c r="C732" s="1"/>
      <c r="D732" s="1"/>
      <c r="E732" s="1"/>
      <c r="F732" s="1"/>
      <c r="G732" s="1"/>
      <c r="H732" s="1"/>
      <c r="I732" s="1"/>
    </row>
    <row r="733" spans="2:9" ht="15.75" customHeight="1" x14ac:dyDescent="0.25">
      <c r="B733" s="1"/>
      <c r="C733" s="1"/>
      <c r="D733" s="1"/>
      <c r="E733" s="1"/>
      <c r="F733" s="1"/>
      <c r="G733" s="1"/>
      <c r="H733" s="1"/>
      <c r="I733" s="1"/>
    </row>
    <row r="734" spans="2:9" ht="15.75" customHeight="1" x14ac:dyDescent="0.25">
      <c r="B734" s="1"/>
      <c r="C734" s="1"/>
      <c r="D734" s="1"/>
      <c r="E734" s="1"/>
      <c r="F734" s="1"/>
      <c r="G734" s="1"/>
      <c r="H734" s="1"/>
      <c r="I734" s="1"/>
    </row>
    <row r="735" spans="2:9" ht="15.75" customHeight="1" x14ac:dyDescent="0.25">
      <c r="B735" s="1"/>
      <c r="C735" s="1"/>
      <c r="D735" s="1"/>
      <c r="E735" s="1"/>
      <c r="F735" s="1"/>
      <c r="G735" s="1"/>
      <c r="H735" s="1"/>
      <c r="I735" s="1"/>
    </row>
    <row r="736" spans="2:9" ht="15.75" customHeight="1" x14ac:dyDescent="0.25">
      <c r="B736" s="1"/>
      <c r="C736" s="1"/>
      <c r="D736" s="1"/>
      <c r="E736" s="1"/>
      <c r="F736" s="1"/>
      <c r="G736" s="1"/>
      <c r="H736" s="1"/>
      <c r="I736" s="1"/>
    </row>
    <row r="737" spans="2:9" ht="15.75" customHeight="1" x14ac:dyDescent="0.25">
      <c r="B737" s="1"/>
      <c r="C737" s="1"/>
      <c r="D737" s="1"/>
      <c r="E737" s="1"/>
      <c r="F737" s="1"/>
      <c r="G737" s="1"/>
      <c r="H737" s="1"/>
      <c r="I737" s="1"/>
    </row>
    <row r="738" spans="2:9" ht="15.75" customHeight="1" x14ac:dyDescent="0.25">
      <c r="B738" s="1"/>
      <c r="C738" s="1"/>
      <c r="D738" s="1"/>
      <c r="E738" s="1"/>
      <c r="F738" s="1"/>
      <c r="G738" s="1"/>
      <c r="H738" s="1"/>
      <c r="I738" s="1"/>
    </row>
    <row r="739" spans="2:9" ht="15.75" customHeight="1" x14ac:dyDescent="0.25">
      <c r="B739" s="1"/>
      <c r="C739" s="1"/>
      <c r="D739" s="1"/>
      <c r="E739" s="1"/>
      <c r="F739" s="1"/>
      <c r="G739" s="1"/>
      <c r="H739" s="1"/>
      <c r="I739" s="1"/>
    </row>
    <row r="740" spans="2:9" ht="15.75" customHeight="1" x14ac:dyDescent="0.25">
      <c r="B740" s="1"/>
      <c r="C740" s="1"/>
      <c r="D740" s="1"/>
      <c r="E740" s="1"/>
      <c r="F740" s="1"/>
      <c r="G740" s="1"/>
      <c r="H740" s="1"/>
      <c r="I740" s="1"/>
    </row>
    <row r="741" spans="2:9" ht="15.75" customHeight="1" x14ac:dyDescent="0.25">
      <c r="B741" s="1"/>
      <c r="C741" s="1"/>
      <c r="D741" s="1"/>
      <c r="E741" s="1"/>
      <c r="F741" s="1"/>
      <c r="G741" s="1"/>
      <c r="H741" s="1"/>
      <c r="I741" s="1"/>
    </row>
    <row r="742" spans="2:9" ht="15.75" customHeight="1" x14ac:dyDescent="0.25">
      <c r="B742" s="1"/>
      <c r="C742" s="1"/>
      <c r="D742" s="1"/>
      <c r="E742" s="1"/>
      <c r="F742" s="1"/>
      <c r="G742" s="1"/>
      <c r="H742" s="1"/>
      <c r="I742" s="1"/>
    </row>
    <row r="743" spans="2:9" ht="15.75" customHeight="1" x14ac:dyDescent="0.25">
      <c r="B743" s="1"/>
      <c r="C743" s="1"/>
      <c r="D743" s="1"/>
      <c r="E743" s="1"/>
      <c r="F743" s="1"/>
      <c r="G743" s="1"/>
      <c r="H743" s="1"/>
      <c r="I743" s="1"/>
    </row>
    <row r="744" spans="2:9" ht="15.75" customHeight="1" x14ac:dyDescent="0.25">
      <c r="B744" s="1"/>
      <c r="C744" s="1"/>
      <c r="D744" s="1"/>
      <c r="E744" s="1"/>
      <c r="F744" s="1"/>
      <c r="G744" s="1"/>
      <c r="H744" s="1"/>
      <c r="I744" s="1"/>
    </row>
    <row r="745" spans="2:9" ht="15.75" customHeight="1" x14ac:dyDescent="0.25">
      <c r="B745" s="1"/>
      <c r="C745" s="1"/>
      <c r="D745" s="1"/>
      <c r="E745" s="1"/>
      <c r="F745" s="1"/>
      <c r="G745" s="1"/>
      <c r="H745" s="1"/>
      <c r="I745" s="1"/>
    </row>
    <row r="746" spans="2:9" ht="15.75" customHeight="1" x14ac:dyDescent="0.25">
      <c r="B746" s="1"/>
      <c r="C746" s="1"/>
      <c r="D746" s="1"/>
      <c r="E746" s="1"/>
      <c r="F746" s="1"/>
      <c r="G746" s="1"/>
      <c r="H746" s="1"/>
      <c r="I746" s="1"/>
    </row>
    <row r="747" spans="2:9" ht="15.75" customHeight="1" x14ac:dyDescent="0.25">
      <c r="B747" s="1"/>
      <c r="C747" s="1"/>
      <c r="D747" s="1"/>
      <c r="E747" s="1"/>
      <c r="F747" s="1"/>
      <c r="G747" s="1"/>
      <c r="H747" s="1"/>
      <c r="I747" s="1"/>
    </row>
    <row r="748" spans="2:9" ht="15.75" customHeight="1" x14ac:dyDescent="0.25">
      <c r="B748" s="1"/>
      <c r="C748" s="1"/>
      <c r="D748" s="1"/>
      <c r="E748" s="1"/>
      <c r="F748" s="1"/>
      <c r="G748" s="1"/>
      <c r="H748" s="1"/>
      <c r="I748" s="1"/>
    </row>
    <row r="749" spans="2:9" ht="15.75" customHeight="1" x14ac:dyDescent="0.25">
      <c r="B749" s="1"/>
      <c r="C749" s="1"/>
      <c r="D749" s="1"/>
      <c r="E749" s="1"/>
      <c r="F749" s="1"/>
      <c r="G749" s="1"/>
      <c r="H749" s="1"/>
      <c r="I749" s="1"/>
    </row>
    <row r="750" spans="2:9" ht="15.75" customHeight="1" x14ac:dyDescent="0.25">
      <c r="B750" s="1"/>
      <c r="C750" s="1"/>
      <c r="D750" s="1"/>
      <c r="E750" s="1"/>
      <c r="F750" s="1"/>
      <c r="G750" s="1"/>
      <c r="H750" s="1"/>
      <c r="I750" s="1"/>
    </row>
    <row r="751" spans="2:9" ht="15.75" customHeight="1" x14ac:dyDescent="0.25">
      <c r="B751" s="1"/>
      <c r="C751" s="1"/>
      <c r="D751" s="1"/>
      <c r="E751" s="1"/>
      <c r="F751" s="1"/>
      <c r="G751" s="1"/>
      <c r="H751" s="1"/>
      <c r="I751" s="1"/>
    </row>
    <row r="752" spans="2:9" ht="15.75" customHeight="1" x14ac:dyDescent="0.25">
      <c r="B752" s="1"/>
      <c r="C752" s="1"/>
      <c r="D752" s="1"/>
      <c r="E752" s="1"/>
      <c r="F752" s="1"/>
      <c r="G752" s="1"/>
      <c r="H752" s="1"/>
      <c r="I752" s="1"/>
    </row>
    <row r="753" spans="2:9" ht="15.75" customHeight="1" x14ac:dyDescent="0.25">
      <c r="B753" s="1"/>
      <c r="C753" s="1"/>
      <c r="D753" s="1"/>
      <c r="E753" s="1"/>
      <c r="F753" s="1"/>
      <c r="G753" s="1"/>
      <c r="H753" s="1"/>
      <c r="I753" s="1"/>
    </row>
    <row r="754" spans="2:9" ht="15.75" customHeight="1" x14ac:dyDescent="0.25">
      <c r="B754" s="1"/>
      <c r="C754" s="1"/>
      <c r="D754" s="1"/>
      <c r="E754" s="1"/>
      <c r="F754" s="1"/>
      <c r="G754" s="1"/>
      <c r="H754" s="1"/>
      <c r="I754" s="1"/>
    </row>
    <row r="755" spans="2:9" ht="15.75" customHeight="1" x14ac:dyDescent="0.25">
      <c r="B755" s="1"/>
      <c r="C755" s="1"/>
      <c r="D755" s="1"/>
      <c r="E755" s="1"/>
      <c r="F755" s="1"/>
      <c r="G755" s="1"/>
      <c r="H755" s="1"/>
      <c r="I755" s="1"/>
    </row>
    <row r="756" spans="2:9" ht="15.75" customHeight="1" x14ac:dyDescent="0.25">
      <c r="B756" s="1"/>
      <c r="C756" s="1"/>
      <c r="D756" s="1"/>
      <c r="E756" s="1"/>
      <c r="F756" s="1"/>
      <c r="G756" s="1"/>
      <c r="H756" s="1"/>
      <c r="I756" s="1"/>
    </row>
    <row r="757" spans="2:9" ht="15.75" customHeight="1" x14ac:dyDescent="0.25">
      <c r="B757" s="1"/>
      <c r="C757" s="1"/>
      <c r="D757" s="1"/>
      <c r="E757" s="1"/>
      <c r="F757" s="1"/>
      <c r="G757" s="1"/>
      <c r="H757" s="1"/>
      <c r="I757" s="1"/>
    </row>
    <row r="758" spans="2:9" ht="15.75" customHeight="1" x14ac:dyDescent="0.25">
      <c r="B758" s="1"/>
      <c r="C758" s="1"/>
      <c r="D758" s="1"/>
      <c r="E758" s="1"/>
      <c r="F758" s="1"/>
      <c r="G758" s="1"/>
      <c r="H758" s="1"/>
      <c r="I758" s="1"/>
    </row>
    <row r="759" spans="2:9" ht="15.75" customHeight="1" x14ac:dyDescent="0.25">
      <c r="B759" s="1"/>
      <c r="C759" s="1"/>
      <c r="D759" s="1"/>
      <c r="E759" s="1"/>
      <c r="F759" s="1"/>
      <c r="G759" s="1"/>
      <c r="H759" s="1"/>
      <c r="I759" s="1"/>
    </row>
    <row r="760" spans="2:9" ht="15.75" customHeight="1" x14ac:dyDescent="0.25">
      <c r="B760" s="1"/>
      <c r="C760" s="1"/>
      <c r="D760" s="1"/>
      <c r="E760" s="1"/>
      <c r="F760" s="1"/>
      <c r="G760" s="1"/>
      <c r="H760" s="1"/>
      <c r="I760" s="1"/>
    </row>
    <row r="761" spans="2:9" ht="15.75" customHeight="1" x14ac:dyDescent="0.25">
      <c r="B761" s="1"/>
      <c r="C761" s="1"/>
      <c r="D761" s="1"/>
      <c r="E761" s="1"/>
      <c r="F761" s="1"/>
      <c r="G761" s="1"/>
      <c r="H761" s="1"/>
      <c r="I761" s="1"/>
    </row>
    <row r="762" spans="2:9" ht="15.75" customHeight="1" x14ac:dyDescent="0.25">
      <c r="B762" s="1"/>
      <c r="C762" s="1"/>
      <c r="D762" s="1"/>
      <c r="E762" s="1"/>
      <c r="F762" s="1"/>
      <c r="G762" s="1"/>
      <c r="H762" s="1"/>
      <c r="I762" s="1"/>
    </row>
    <row r="763" spans="2:9" ht="15.75" customHeight="1" x14ac:dyDescent="0.25">
      <c r="B763" s="1"/>
      <c r="C763" s="1"/>
      <c r="D763" s="1"/>
      <c r="E763" s="1"/>
      <c r="F763" s="1"/>
      <c r="G763" s="1"/>
      <c r="H763" s="1"/>
      <c r="I763" s="1"/>
    </row>
    <row r="764" spans="2:9" ht="15.75" customHeight="1" x14ac:dyDescent="0.25">
      <c r="B764" s="1"/>
      <c r="C764" s="1"/>
      <c r="D764" s="1"/>
      <c r="E764" s="1"/>
      <c r="F764" s="1"/>
      <c r="G764" s="1"/>
      <c r="H764" s="1"/>
      <c r="I764" s="1"/>
    </row>
    <row r="765" spans="2:9" ht="15.75" customHeight="1" x14ac:dyDescent="0.25">
      <c r="B765" s="1"/>
      <c r="C765" s="1"/>
      <c r="D765" s="1"/>
      <c r="E765" s="1"/>
      <c r="F765" s="1"/>
      <c r="G765" s="1"/>
      <c r="H765" s="1"/>
      <c r="I765" s="1"/>
    </row>
    <row r="766" spans="2:9" ht="15.75" customHeight="1" x14ac:dyDescent="0.25">
      <c r="B766" s="1"/>
      <c r="C766" s="1"/>
      <c r="D766" s="1"/>
      <c r="E766" s="1"/>
      <c r="F766" s="1"/>
      <c r="G766" s="1"/>
      <c r="H766" s="1"/>
      <c r="I766" s="1"/>
    </row>
    <row r="767" spans="2:9" ht="15.75" customHeight="1" x14ac:dyDescent="0.25">
      <c r="B767" s="1"/>
      <c r="C767" s="1"/>
      <c r="D767" s="1"/>
      <c r="E767" s="1"/>
      <c r="F767" s="1"/>
      <c r="G767" s="1"/>
      <c r="H767" s="1"/>
      <c r="I767" s="1"/>
    </row>
    <row r="768" spans="2:9" ht="15.75" customHeight="1" x14ac:dyDescent="0.25">
      <c r="B768" s="1"/>
      <c r="C768" s="1"/>
      <c r="D768" s="1"/>
      <c r="E768" s="1"/>
      <c r="F768" s="1"/>
      <c r="G768" s="1"/>
      <c r="H768" s="1"/>
      <c r="I768" s="1"/>
    </row>
    <row r="769" spans="2:9" ht="15.75" customHeight="1" x14ac:dyDescent="0.25">
      <c r="B769" s="1"/>
      <c r="C769" s="1"/>
      <c r="D769" s="1"/>
      <c r="E769" s="1"/>
      <c r="F769" s="1"/>
      <c r="G769" s="1"/>
      <c r="H769" s="1"/>
      <c r="I769" s="1"/>
    </row>
    <row r="770" spans="2:9" ht="15.75" customHeight="1" x14ac:dyDescent="0.25">
      <c r="B770" s="1"/>
      <c r="C770" s="1"/>
      <c r="D770" s="1"/>
      <c r="E770" s="1"/>
      <c r="F770" s="1"/>
      <c r="G770" s="1"/>
      <c r="H770" s="1"/>
      <c r="I770" s="1"/>
    </row>
    <row r="771" spans="2:9" ht="15.75" customHeight="1" x14ac:dyDescent="0.25">
      <c r="B771" s="1"/>
      <c r="C771" s="1"/>
      <c r="D771" s="1"/>
      <c r="E771" s="1"/>
      <c r="F771" s="1"/>
      <c r="G771" s="1"/>
      <c r="H771" s="1"/>
      <c r="I771" s="1"/>
    </row>
    <row r="772" spans="2:9" ht="15.75" customHeight="1" x14ac:dyDescent="0.25">
      <c r="B772" s="1"/>
      <c r="C772" s="1"/>
      <c r="D772" s="1"/>
      <c r="E772" s="1"/>
      <c r="F772" s="1"/>
      <c r="G772" s="1"/>
      <c r="H772" s="1"/>
      <c r="I772" s="1"/>
    </row>
    <row r="773" spans="2:9" ht="15.75" customHeight="1" x14ac:dyDescent="0.25">
      <c r="B773" s="1"/>
      <c r="C773" s="1"/>
      <c r="D773" s="1"/>
      <c r="E773" s="1"/>
      <c r="F773" s="1"/>
      <c r="G773" s="1"/>
      <c r="H773" s="1"/>
      <c r="I773" s="1"/>
    </row>
    <row r="774" spans="2:9" ht="15.75" customHeight="1" x14ac:dyDescent="0.25">
      <c r="B774" s="1"/>
      <c r="C774" s="1"/>
      <c r="D774" s="1"/>
      <c r="E774" s="1"/>
      <c r="F774" s="1"/>
      <c r="G774" s="1"/>
      <c r="H774" s="1"/>
      <c r="I774" s="1"/>
    </row>
    <row r="775" spans="2:9" ht="15.75" customHeight="1" x14ac:dyDescent="0.25">
      <c r="B775" s="1"/>
      <c r="C775" s="1"/>
      <c r="D775" s="1"/>
      <c r="E775" s="1"/>
      <c r="F775" s="1"/>
      <c r="G775" s="1"/>
      <c r="H775" s="1"/>
      <c r="I775" s="1"/>
    </row>
    <row r="776" spans="2:9" ht="15.75" customHeight="1" x14ac:dyDescent="0.25">
      <c r="B776" s="1"/>
      <c r="C776" s="1"/>
      <c r="D776" s="1"/>
      <c r="E776" s="1"/>
      <c r="F776" s="1"/>
      <c r="G776" s="1"/>
      <c r="H776" s="1"/>
      <c r="I776" s="1"/>
    </row>
    <row r="777" spans="2:9" ht="15.75" customHeight="1" x14ac:dyDescent="0.25">
      <c r="B777" s="1"/>
      <c r="C777" s="1"/>
      <c r="D777" s="1"/>
      <c r="E777" s="1"/>
      <c r="F777" s="1"/>
      <c r="G777" s="1"/>
      <c r="H777" s="1"/>
      <c r="I777" s="1"/>
    </row>
    <row r="778" spans="2:9" ht="15.75" customHeight="1" x14ac:dyDescent="0.25">
      <c r="B778" s="1"/>
      <c r="C778" s="1"/>
      <c r="D778" s="1"/>
      <c r="E778" s="1"/>
      <c r="F778" s="1"/>
      <c r="G778" s="1"/>
      <c r="H778" s="1"/>
      <c r="I778" s="1"/>
    </row>
    <row r="779" spans="2:9" ht="15.75" customHeight="1" x14ac:dyDescent="0.25">
      <c r="B779" s="1"/>
      <c r="C779" s="1"/>
      <c r="D779" s="1"/>
      <c r="E779" s="1"/>
      <c r="F779" s="1"/>
      <c r="G779" s="1"/>
      <c r="H779" s="1"/>
      <c r="I779" s="1"/>
    </row>
    <row r="780" spans="2:9" ht="15.75" customHeight="1" x14ac:dyDescent="0.25">
      <c r="B780" s="1"/>
      <c r="C780" s="1"/>
      <c r="D780" s="1"/>
      <c r="E780" s="1"/>
      <c r="F780" s="1"/>
      <c r="G780" s="1"/>
      <c r="H780" s="1"/>
      <c r="I780" s="1"/>
    </row>
    <row r="781" spans="2:9" ht="15.75" customHeight="1" x14ac:dyDescent="0.25">
      <c r="B781" s="1"/>
      <c r="C781" s="1"/>
      <c r="D781" s="1"/>
      <c r="E781" s="1"/>
      <c r="F781" s="1"/>
      <c r="G781" s="1"/>
      <c r="H781" s="1"/>
      <c r="I781" s="1"/>
    </row>
    <row r="782" spans="2:9" ht="15.75" customHeight="1" x14ac:dyDescent="0.25">
      <c r="B782" s="1"/>
      <c r="C782" s="1"/>
      <c r="D782" s="1"/>
      <c r="E782" s="1"/>
      <c r="F782" s="1"/>
      <c r="G782" s="1"/>
      <c r="H782" s="1"/>
      <c r="I782" s="1"/>
    </row>
    <row r="783" spans="2:9" ht="15.75" customHeight="1" x14ac:dyDescent="0.25">
      <c r="B783" s="1"/>
      <c r="C783" s="1"/>
      <c r="D783" s="1"/>
      <c r="E783" s="1"/>
      <c r="F783" s="1"/>
      <c r="G783" s="1"/>
      <c r="H783" s="1"/>
      <c r="I783" s="1"/>
    </row>
    <row r="784" spans="2:9" ht="15.75" customHeight="1" x14ac:dyDescent="0.25">
      <c r="B784" s="1"/>
      <c r="C784" s="1"/>
      <c r="D784" s="1"/>
      <c r="E784" s="1"/>
      <c r="F784" s="1"/>
      <c r="G784" s="1"/>
      <c r="H784" s="1"/>
      <c r="I784" s="1"/>
    </row>
    <row r="785" spans="2:9" ht="15.75" customHeight="1" x14ac:dyDescent="0.25">
      <c r="B785" s="1"/>
      <c r="C785" s="1"/>
      <c r="D785" s="1"/>
      <c r="E785" s="1"/>
      <c r="F785" s="1"/>
      <c r="G785" s="1"/>
      <c r="H785" s="1"/>
      <c r="I785" s="1"/>
    </row>
    <row r="786" spans="2:9" ht="15.75" customHeight="1" x14ac:dyDescent="0.25">
      <c r="B786" s="1"/>
      <c r="C786" s="1"/>
      <c r="D786" s="1"/>
      <c r="E786" s="1"/>
      <c r="F786" s="1"/>
      <c r="G786" s="1"/>
      <c r="H786" s="1"/>
      <c r="I786" s="1"/>
    </row>
    <row r="787" spans="2:9" ht="15.75" customHeight="1" x14ac:dyDescent="0.25">
      <c r="B787" s="1"/>
      <c r="C787" s="1"/>
      <c r="D787" s="1"/>
      <c r="E787" s="1"/>
      <c r="F787" s="1"/>
      <c r="G787" s="1"/>
      <c r="H787" s="1"/>
      <c r="I787" s="1"/>
    </row>
    <row r="788" spans="2:9" ht="15.75" customHeight="1" x14ac:dyDescent="0.25">
      <c r="B788" s="1"/>
      <c r="C788" s="1"/>
      <c r="D788" s="1"/>
      <c r="E788" s="1"/>
      <c r="F788" s="1"/>
      <c r="G788" s="1"/>
      <c r="H788" s="1"/>
      <c r="I788" s="1"/>
    </row>
    <row r="789" spans="2:9" ht="15.75" customHeight="1" x14ac:dyDescent="0.25">
      <c r="B789" s="1"/>
      <c r="C789" s="1"/>
      <c r="D789" s="1"/>
      <c r="E789" s="1"/>
      <c r="F789" s="1"/>
      <c r="G789" s="1"/>
      <c r="H789" s="1"/>
      <c r="I789" s="1"/>
    </row>
    <row r="790" spans="2:9" ht="15.75" customHeight="1" x14ac:dyDescent="0.25">
      <c r="B790" s="1"/>
      <c r="C790" s="1"/>
      <c r="D790" s="1"/>
      <c r="E790" s="1"/>
      <c r="F790" s="1"/>
      <c r="G790" s="1"/>
      <c r="H790" s="1"/>
      <c r="I790" s="1"/>
    </row>
    <row r="791" spans="2:9" ht="15.75" customHeight="1" x14ac:dyDescent="0.25">
      <c r="B791" s="1"/>
      <c r="C791" s="1"/>
      <c r="D791" s="1"/>
      <c r="E791" s="1"/>
      <c r="F791" s="1"/>
      <c r="G791" s="1"/>
      <c r="H791" s="1"/>
      <c r="I791" s="1"/>
    </row>
    <row r="792" spans="2:9" ht="15.75" customHeight="1" x14ac:dyDescent="0.25">
      <c r="B792" s="1"/>
      <c r="C792" s="1"/>
      <c r="D792" s="1"/>
      <c r="E792" s="1"/>
      <c r="F792" s="1"/>
      <c r="G792" s="1"/>
      <c r="H792" s="1"/>
      <c r="I792" s="1"/>
    </row>
    <row r="793" spans="2:9" ht="15.75" customHeight="1" x14ac:dyDescent="0.25">
      <c r="B793" s="1"/>
      <c r="C793" s="1"/>
      <c r="D793" s="1"/>
      <c r="E793" s="1"/>
      <c r="F793" s="1"/>
      <c r="G793" s="1"/>
      <c r="H793" s="1"/>
      <c r="I793" s="1"/>
    </row>
    <row r="794" spans="2:9" ht="15.75" customHeight="1" x14ac:dyDescent="0.25">
      <c r="B794" s="1"/>
      <c r="C794" s="1"/>
      <c r="D794" s="1"/>
      <c r="E794" s="1"/>
      <c r="F794" s="1"/>
      <c r="G794" s="1"/>
      <c r="H794" s="1"/>
      <c r="I794" s="1"/>
    </row>
    <row r="795" spans="2:9" ht="15.75" customHeight="1" x14ac:dyDescent="0.25">
      <c r="B795" s="1"/>
      <c r="C795" s="1"/>
      <c r="D795" s="1"/>
      <c r="E795" s="1"/>
      <c r="F795" s="1"/>
      <c r="G795" s="1"/>
      <c r="H795" s="1"/>
      <c r="I795" s="1"/>
    </row>
    <row r="796" spans="2:9" ht="15.75" customHeight="1" x14ac:dyDescent="0.25">
      <c r="B796" s="1"/>
      <c r="C796" s="1"/>
      <c r="D796" s="1"/>
      <c r="E796" s="1"/>
      <c r="F796" s="1"/>
      <c r="G796" s="1"/>
      <c r="H796" s="1"/>
      <c r="I796" s="1"/>
    </row>
    <row r="797" spans="2:9" ht="15.75" customHeight="1" x14ac:dyDescent="0.25">
      <c r="B797" s="1"/>
      <c r="C797" s="1"/>
      <c r="D797" s="1"/>
      <c r="E797" s="1"/>
      <c r="F797" s="1"/>
      <c r="G797" s="1"/>
      <c r="H797" s="1"/>
      <c r="I797" s="1"/>
    </row>
    <row r="798" spans="2:9" ht="15.75" customHeight="1" x14ac:dyDescent="0.25">
      <c r="B798" s="1"/>
      <c r="C798" s="1"/>
      <c r="D798" s="1"/>
      <c r="E798" s="1"/>
      <c r="F798" s="1"/>
      <c r="G798" s="1"/>
      <c r="H798" s="1"/>
      <c r="I798" s="1"/>
    </row>
    <row r="799" spans="2:9" ht="15.75" customHeight="1" x14ac:dyDescent="0.25">
      <c r="B799" s="1"/>
      <c r="C799" s="1"/>
      <c r="D799" s="1"/>
      <c r="E799" s="1"/>
      <c r="F799" s="1"/>
      <c r="G799" s="1"/>
      <c r="H799" s="1"/>
      <c r="I799" s="1"/>
    </row>
    <row r="800" spans="2:9" ht="15.75" customHeight="1" x14ac:dyDescent="0.25">
      <c r="B800" s="1"/>
      <c r="C800" s="1"/>
      <c r="D800" s="1"/>
      <c r="E800" s="1"/>
      <c r="F800" s="1"/>
      <c r="G800" s="1"/>
      <c r="H800" s="1"/>
      <c r="I800" s="1"/>
    </row>
    <row r="801" spans="2:9" ht="15.75" customHeight="1" x14ac:dyDescent="0.25">
      <c r="B801" s="1"/>
      <c r="C801" s="1"/>
      <c r="D801" s="1"/>
      <c r="E801" s="1"/>
      <c r="F801" s="1"/>
      <c r="G801" s="1"/>
      <c r="H801" s="1"/>
      <c r="I801" s="1"/>
    </row>
    <row r="802" spans="2:9" ht="15.75" customHeight="1" x14ac:dyDescent="0.25">
      <c r="B802" s="1"/>
      <c r="C802" s="1"/>
      <c r="D802" s="1"/>
      <c r="E802" s="1"/>
      <c r="F802" s="1"/>
      <c r="G802" s="1"/>
      <c r="H802" s="1"/>
      <c r="I802" s="1"/>
    </row>
    <row r="803" spans="2:9" ht="15.75" customHeight="1" x14ac:dyDescent="0.25">
      <c r="B803" s="1"/>
      <c r="C803" s="1"/>
      <c r="D803" s="1"/>
      <c r="E803" s="1"/>
      <c r="F803" s="1"/>
      <c r="G803" s="1"/>
      <c r="H803" s="1"/>
      <c r="I803" s="1"/>
    </row>
    <row r="804" spans="2:9" ht="15.75" customHeight="1" x14ac:dyDescent="0.25">
      <c r="B804" s="1"/>
      <c r="C804" s="1"/>
      <c r="D804" s="1"/>
      <c r="E804" s="1"/>
      <c r="F804" s="1"/>
      <c r="G804" s="1"/>
      <c r="H804" s="1"/>
      <c r="I804" s="1"/>
    </row>
    <row r="805" spans="2:9" ht="15.75" customHeight="1" x14ac:dyDescent="0.25">
      <c r="B805" s="1"/>
      <c r="C805" s="1"/>
      <c r="D805" s="1"/>
      <c r="E805" s="1"/>
      <c r="F805" s="1"/>
      <c r="G805" s="1"/>
      <c r="H805" s="1"/>
      <c r="I805" s="1"/>
    </row>
    <row r="806" spans="2:9" ht="15.75" customHeight="1" x14ac:dyDescent="0.25">
      <c r="B806" s="1"/>
      <c r="C806" s="1"/>
      <c r="D806" s="1"/>
      <c r="E806" s="1"/>
      <c r="F806" s="1"/>
      <c r="G806" s="1"/>
      <c r="H806" s="1"/>
      <c r="I806" s="1"/>
    </row>
    <row r="807" spans="2:9" ht="15.75" customHeight="1" x14ac:dyDescent="0.25">
      <c r="B807" s="1"/>
      <c r="C807" s="1"/>
      <c r="D807" s="1"/>
      <c r="E807" s="1"/>
      <c r="F807" s="1"/>
      <c r="G807" s="1"/>
      <c r="H807" s="1"/>
      <c r="I807" s="1"/>
    </row>
    <row r="808" spans="2:9" ht="15.75" customHeight="1" x14ac:dyDescent="0.25">
      <c r="B808" s="1"/>
      <c r="C808" s="1"/>
      <c r="D808" s="1"/>
      <c r="E808" s="1"/>
      <c r="F808" s="1"/>
      <c r="G808" s="1"/>
      <c r="H808" s="1"/>
      <c r="I808" s="1"/>
    </row>
    <row r="809" spans="2:9" ht="15.75" customHeight="1" x14ac:dyDescent="0.25">
      <c r="B809" s="1"/>
      <c r="C809" s="1"/>
      <c r="D809" s="1"/>
      <c r="E809" s="1"/>
      <c r="F809" s="1"/>
      <c r="G809" s="1"/>
      <c r="H809" s="1"/>
      <c r="I809" s="1"/>
    </row>
    <row r="810" spans="2:9" ht="15.75" customHeight="1" x14ac:dyDescent="0.25">
      <c r="B810" s="1"/>
      <c r="C810" s="1"/>
      <c r="D810" s="1"/>
      <c r="E810" s="1"/>
      <c r="F810" s="1"/>
      <c r="G810" s="1"/>
      <c r="H810" s="1"/>
      <c r="I810" s="1"/>
    </row>
    <row r="811" spans="2:9" ht="15.75" customHeight="1" x14ac:dyDescent="0.25">
      <c r="B811" s="1"/>
      <c r="C811" s="1"/>
      <c r="D811" s="1"/>
      <c r="E811" s="1"/>
      <c r="F811" s="1"/>
      <c r="G811" s="1"/>
      <c r="H811" s="1"/>
      <c r="I811" s="1"/>
    </row>
    <row r="812" spans="2:9" ht="15.75" customHeight="1" x14ac:dyDescent="0.25">
      <c r="B812" s="1"/>
      <c r="C812" s="1"/>
      <c r="D812" s="1"/>
      <c r="E812" s="1"/>
      <c r="F812" s="1"/>
      <c r="G812" s="1"/>
      <c r="H812" s="1"/>
      <c r="I812" s="1"/>
    </row>
    <row r="813" spans="2:9" ht="15.75" customHeight="1" x14ac:dyDescent="0.25">
      <c r="B813" s="1"/>
      <c r="C813" s="1"/>
      <c r="D813" s="1"/>
      <c r="E813" s="1"/>
      <c r="F813" s="1"/>
      <c r="G813" s="1"/>
      <c r="H813" s="1"/>
      <c r="I813" s="1"/>
    </row>
    <row r="814" spans="2:9" ht="15.75" customHeight="1" x14ac:dyDescent="0.25">
      <c r="B814" s="1"/>
      <c r="C814" s="1"/>
      <c r="D814" s="1"/>
      <c r="E814" s="1"/>
      <c r="F814" s="1"/>
      <c r="G814" s="1"/>
      <c r="H814" s="1"/>
      <c r="I814" s="1"/>
    </row>
    <row r="815" spans="2:9" ht="15.75" customHeight="1" x14ac:dyDescent="0.25">
      <c r="B815" s="1"/>
      <c r="C815" s="1"/>
      <c r="D815" s="1"/>
      <c r="E815" s="1"/>
      <c r="F815" s="1"/>
      <c r="G815" s="1"/>
      <c r="H815" s="1"/>
      <c r="I815" s="1"/>
    </row>
    <row r="816" spans="2:9" ht="15.75" customHeight="1" x14ac:dyDescent="0.25">
      <c r="B816" s="1"/>
      <c r="C816" s="1"/>
      <c r="D816" s="1"/>
      <c r="E816" s="1"/>
      <c r="F816" s="1"/>
      <c r="G816" s="1"/>
      <c r="H816" s="1"/>
      <c r="I816" s="1"/>
    </row>
    <row r="817" spans="2:9" ht="15.75" customHeight="1" x14ac:dyDescent="0.25">
      <c r="B817" s="1"/>
      <c r="C817" s="1"/>
      <c r="D817" s="1"/>
      <c r="E817" s="1"/>
      <c r="F817" s="1"/>
      <c r="G817" s="1"/>
      <c r="H817" s="1"/>
      <c r="I817" s="1"/>
    </row>
    <row r="818" spans="2:9" ht="15.75" customHeight="1" x14ac:dyDescent="0.25">
      <c r="B818" s="1"/>
      <c r="C818" s="1"/>
      <c r="D818" s="1"/>
      <c r="E818" s="1"/>
      <c r="F818" s="1"/>
      <c r="G818" s="1"/>
      <c r="H818" s="1"/>
      <c r="I818" s="1"/>
    </row>
    <row r="819" spans="2:9" ht="15.75" customHeight="1" x14ac:dyDescent="0.25">
      <c r="B819" s="1"/>
      <c r="C819" s="1"/>
      <c r="D819" s="1"/>
      <c r="E819" s="1"/>
      <c r="F819" s="1"/>
      <c r="G819" s="1"/>
      <c r="H819" s="1"/>
      <c r="I819" s="1"/>
    </row>
    <row r="820" spans="2:9" ht="15.75" customHeight="1" x14ac:dyDescent="0.25">
      <c r="B820" s="1"/>
      <c r="C820" s="1"/>
      <c r="D820" s="1"/>
      <c r="E820" s="1"/>
      <c r="F820" s="1"/>
      <c r="G820" s="1"/>
      <c r="H820" s="1"/>
      <c r="I820" s="1"/>
    </row>
    <row r="821" spans="2:9" ht="15.75" customHeight="1" x14ac:dyDescent="0.25">
      <c r="B821" s="1"/>
      <c r="C821" s="1"/>
      <c r="D821" s="1"/>
      <c r="E821" s="1"/>
      <c r="F821" s="1"/>
      <c r="G821" s="1"/>
      <c r="H821" s="1"/>
      <c r="I821" s="1"/>
    </row>
    <row r="822" spans="2:9" ht="15.75" customHeight="1" x14ac:dyDescent="0.25">
      <c r="B822" s="1"/>
      <c r="C822" s="1"/>
      <c r="D822" s="1"/>
      <c r="E822" s="1"/>
      <c r="F822" s="1"/>
      <c r="G822" s="1"/>
      <c r="H822" s="1"/>
      <c r="I822" s="1"/>
    </row>
    <row r="823" spans="2:9" ht="15.75" customHeight="1" x14ac:dyDescent="0.25">
      <c r="B823" s="1"/>
      <c r="C823" s="1"/>
      <c r="D823" s="1"/>
      <c r="E823" s="1"/>
      <c r="F823" s="1"/>
      <c r="G823" s="1"/>
      <c r="H823" s="1"/>
      <c r="I823" s="1"/>
    </row>
    <row r="824" spans="2:9" ht="15.75" customHeight="1" x14ac:dyDescent="0.25">
      <c r="B824" s="1"/>
      <c r="C824" s="1"/>
      <c r="D824" s="1"/>
      <c r="E824" s="1"/>
      <c r="F824" s="1"/>
      <c r="G824" s="1"/>
      <c r="H824" s="1"/>
      <c r="I824" s="1"/>
    </row>
    <row r="825" spans="2:9" ht="15.75" customHeight="1" x14ac:dyDescent="0.25">
      <c r="B825" s="1"/>
      <c r="C825" s="1"/>
      <c r="D825" s="1"/>
      <c r="E825" s="1"/>
      <c r="F825" s="1"/>
      <c r="G825" s="1"/>
      <c r="H825" s="1"/>
      <c r="I825" s="1"/>
    </row>
    <row r="826" spans="2:9" ht="15.75" customHeight="1" x14ac:dyDescent="0.25">
      <c r="B826" s="1"/>
      <c r="C826" s="1"/>
      <c r="D826" s="1"/>
      <c r="E826" s="1"/>
      <c r="F826" s="1"/>
      <c r="G826" s="1"/>
      <c r="H826" s="1"/>
      <c r="I826" s="1"/>
    </row>
    <row r="827" spans="2:9" ht="15.75" customHeight="1" x14ac:dyDescent="0.25">
      <c r="B827" s="1"/>
      <c r="C827" s="1"/>
      <c r="D827" s="1"/>
      <c r="E827" s="1"/>
      <c r="F827" s="1"/>
      <c r="G827" s="1"/>
      <c r="H827" s="1"/>
      <c r="I827" s="1"/>
    </row>
    <row r="828" spans="2:9" ht="15.75" customHeight="1" x14ac:dyDescent="0.25">
      <c r="B828" s="1"/>
      <c r="C828" s="1"/>
      <c r="D828" s="1"/>
      <c r="E828" s="1"/>
      <c r="F828" s="1"/>
      <c r="G828" s="1"/>
      <c r="H828" s="1"/>
      <c r="I828" s="1"/>
    </row>
    <row r="829" spans="2:9" ht="15.75" customHeight="1" x14ac:dyDescent="0.25">
      <c r="B829" s="1"/>
      <c r="C829" s="1"/>
      <c r="D829" s="1"/>
      <c r="E829" s="1"/>
      <c r="F829" s="1"/>
      <c r="G829" s="1"/>
      <c r="H829" s="1"/>
      <c r="I829" s="1"/>
    </row>
    <row r="830" spans="2:9" ht="15.75" customHeight="1" x14ac:dyDescent="0.25">
      <c r="B830" s="1"/>
      <c r="C830" s="1"/>
      <c r="D830" s="1"/>
      <c r="E830" s="1"/>
      <c r="F830" s="1"/>
      <c r="G830" s="1"/>
      <c r="H830" s="1"/>
      <c r="I830" s="1"/>
    </row>
    <row r="831" spans="2:9" ht="15.75" customHeight="1" x14ac:dyDescent="0.25">
      <c r="B831" s="1"/>
      <c r="C831" s="1"/>
      <c r="D831" s="1"/>
      <c r="E831" s="1"/>
      <c r="F831" s="1"/>
      <c r="G831" s="1"/>
      <c r="H831" s="1"/>
      <c r="I831" s="1"/>
    </row>
    <row r="832" spans="2:9" ht="15.75" customHeight="1" x14ac:dyDescent="0.25">
      <c r="B832" s="1"/>
      <c r="C832" s="1"/>
      <c r="D832" s="1"/>
      <c r="E832" s="1"/>
      <c r="F832" s="1"/>
      <c r="G832" s="1"/>
      <c r="H832" s="1"/>
      <c r="I832" s="1"/>
    </row>
    <row r="833" spans="2:9" ht="15.75" customHeight="1" x14ac:dyDescent="0.25">
      <c r="B833" s="1"/>
      <c r="C833" s="1"/>
      <c r="D833" s="1"/>
      <c r="E833" s="1"/>
      <c r="F833" s="1"/>
      <c r="G833" s="1"/>
      <c r="H833" s="1"/>
      <c r="I833" s="1"/>
    </row>
    <row r="834" spans="2:9" ht="15.75" customHeight="1" x14ac:dyDescent="0.25">
      <c r="B834" s="1"/>
      <c r="C834" s="1"/>
      <c r="D834" s="1"/>
      <c r="E834" s="1"/>
      <c r="F834" s="1"/>
      <c r="G834" s="1"/>
      <c r="H834" s="1"/>
      <c r="I834" s="1"/>
    </row>
    <row r="835" spans="2:9" ht="15.75" customHeight="1" x14ac:dyDescent="0.25">
      <c r="B835" s="1"/>
      <c r="C835" s="1"/>
      <c r="D835" s="1"/>
      <c r="E835" s="1"/>
      <c r="F835" s="1"/>
      <c r="G835" s="1"/>
      <c r="H835" s="1"/>
      <c r="I835" s="1"/>
    </row>
    <row r="836" spans="2:9" ht="15.75" customHeight="1" x14ac:dyDescent="0.25">
      <c r="B836" s="1"/>
      <c r="C836" s="1"/>
      <c r="D836" s="1"/>
      <c r="E836" s="1"/>
      <c r="F836" s="1"/>
      <c r="G836" s="1"/>
      <c r="H836" s="1"/>
      <c r="I836" s="1"/>
    </row>
    <row r="837" spans="2:9" ht="15.75" customHeight="1" x14ac:dyDescent="0.25">
      <c r="B837" s="1"/>
      <c r="C837" s="1"/>
      <c r="D837" s="1"/>
      <c r="E837" s="1"/>
      <c r="F837" s="1"/>
      <c r="G837" s="1"/>
      <c r="H837" s="1"/>
      <c r="I837" s="1"/>
    </row>
    <row r="838" spans="2:9" ht="15.75" customHeight="1" x14ac:dyDescent="0.25">
      <c r="B838" s="1"/>
      <c r="C838" s="1"/>
      <c r="D838" s="1"/>
      <c r="E838" s="1"/>
      <c r="F838" s="1"/>
      <c r="G838" s="1"/>
      <c r="H838" s="1"/>
      <c r="I838" s="1"/>
    </row>
    <row r="839" spans="2:9" ht="15.75" customHeight="1" x14ac:dyDescent="0.25">
      <c r="B839" s="1"/>
      <c r="C839" s="1"/>
      <c r="D839" s="1"/>
      <c r="E839" s="1"/>
      <c r="F839" s="1"/>
      <c r="G839" s="1"/>
      <c r="H839" s="1"/>
      <c r="I839" s="1"/>
    </row>
    <row r="840" spans="2:9" ht="15.75" customHeight="1" x14ac:dyDescent="0.25">
      <c r="B840" s="1"/>
      <c r="C840" s="1"/>
      <c r="D840" s="1"/>
      <c r="E840" s="1"/>
      <c r="F840" s="1"/>
      <c r="G840" s="1"/>
      <c r="H840" s="1"/>
      <c r="I840" s="1"/>
    </row>
    <row r="841" spans="2:9" ht="15.75" customHeight="1" x14ac:dyDescent="0.25">
      <c r="B841" s="1"/>
      <c r="C841" s="1"/>
      <c r="D841" s="1"/>
      <c r="E841" s="1"/>
      <c r="F841" s="1"/>
      <c r="G841" s="1"/>
      <c r="H841" s="1"/>
      <c r="I841" s="1"/>
    </row>
    <row r="842" spans="2:9" ht="15.75" customHeight="1" x14ac:dyDescent="0.25">
      <c r="B842" s="1"/>
      <c r="C842" s="1"/>
      <c r="D842" s="1"/>
      <c r="E842" s="1"/>
      <c r="F842" s="1"/>
      <c r="G842" s="1"/>
      <c r="H842" s="1"/>
      <c r="I842" s="1"/>
    </row>
    <row r="843" spans="2:9" ht="15.75" customHeight="1" x14ac:dyDescent="0.25">
      <c r="B843" s="1"/>
      <c r="C843" s="1"/>
      <c r="D843" s="1"/>
      <c r="E843" s="1"/>
      <c r="F843" s="1"/>
      <c r="G843" s="1"/>
      <c r="H843" s="1"/>
      <c r="I843" s="1"/>
    </row>
    <row r="844" spans="2:9" ht="15.75" customHeight="1" x14ac:dyDescent="0.25">
      <c r="B844" s="1"/>
      <c r="C844" s="1"/>
      <c r="D844" s="1"/>
      <c r="E844" s="1"/>
      <c r="F844" s="1"/>
      <c r="G844" s="1"/>
      <c r="H844" s="1"/>
      <c r="I844" s="1"/>
    </row>
    <row r="845" spans="2:9" ht="15.75" customHeight="1" x14ac:dyDescent="0.25">
      <c r="B845" s="1"/>
      <c r="C845" s="1"/>
      <c r="D845" s="1"/>
      <c r="E845" s="1"/>
      <c r="F845" s="1"/>
      <c r="G845" s="1"/>
      <c r="H845" s="1"/>
      <c r="I845" s="1"/>
    </row>
    <row r="846" spans="2:9" ht="15.75" customHeight="1" x14ac:dyDescent="0.25">
      <c r="B846" s="1"/>
      <c r="C846" s="1"/>
      <c r="D846" s="1"/>
      <c r="E846" s="1"/>
      <c r="F846" s="1"/>
      <c r="G846" s="1"/>
      <c r="H846" s="1"/>
      <c r="I846" s="1"/>
    </row>
    <row r="847" spans="2:9" ht="15.75" customHeight="1" x14ac:dyDescent="0.25">
      <c r="B847" s="1"/>
      <c r="C847" s="1"/>
      <c r="D847" s="1"/>
      <c r="E847" s="1"/>
      <c r="F847" s="1"/>
      <c r="G847" s="1"/>
      <c r="H847" s="1"/>
      <c r="I847" s="1"/>
    </row>
    <row r="848" spans="2:9" ht="15.75" customHeight="1" x14ac:dyDescent="0.25">
      <c r="B848" s="1"/>
      <c r="C848" s="1"/>
      <c r="D848" s="1"/>
      <c r="E848" s="1"/>
      <c r="F848" s="1"/>
      <c r="G848" s="1"/>
      <c r="H848" s="1"/>
      <c r="I848" s="1"/>
    </row>
    <row r="849" spans="2:9" ht="15.75" customHeight="1" x14ac:dyDescent="0.25">
      <c r="B849" s="1"/>
      <c r="C849" s="1"/>
      <c r="D849" s="1"/>
      <c r="E849" s="1"/>
      <c r="F849" s="1"/>
      <c r="G849" s="1"/>
      <c r="H849" s="1"/>
      <c r="I849" s="1"/>
    </row>
    <row r="850" spans="2:9" ht="15.75" customHeight="1" x14ac:dyDescent="0.25">
      <c r="B850" s="1"/>
      <c r="C850" s="1"/>
      <c r="D850" s="1"/>
      <c r="E850" s="1"/>
      <c r="F850" s="1"/>
      <c r="G850" s="1"/>
      <c r="H850" s="1"/>
      <c r="I850" s="1"/>
    </row>
    <row r="851" spans="2:9" ht="15.75" customHeight="1" x14ac:dyDescent="0.25">
      <c r="B851" s="1"/>
      <c r="C851" s="1"/>
      <c r="D851" s="1"/>
      <c r="E851" s="1"/>
      <c r="F851" s="1"/>
      <c r="G851" s="1"/>
      <c r="H851" s="1"/>
      <c r="I851" s="1"/>
    </row>
    <row r="852" spans="2:9" ht="15.75" customHeight="1" x14ac:dyDescent="0.25">
      <c r="B852" s="1"/>
      <c r="C852" s="1"/>
      <c r="D852" s="1"/>
      <c r="E852" s="1"/>
      <c r="F852" s="1"/>
      <c r="G852" s="1"/>
      <c r="H852" s="1"/>
      <c r="I852" s="1"/>
    </row>
    <row r="853" spans="2:9" ht="15.75" customHeight="1" x14ac:dyDescent="0.25">
      <c r="B853" s="1"/>
      <c r="C853" s="1"/>
      <c r="D853" s="1"/>
      <c r="E853" s="1"/>
      <c r="F853" s="1"/>
      <c r="G853" s="1"/>
      <c r="H853" s="1"/>
      <c r="I853" s="1"/>
    </row>
    <row r="854" spans="2:9" ht="15.75" customHeight="1" x14ac:dyDescent="0.25">
      <c r="B854" s="1"/>
      <c r="C854" s="1"/>
      <c r="D854" s="1"/>
      <c r="E854" s="1"/>
      <c r="F854" s="1"/>
      <c r="G854" s="1"/>
      <c r="H854" s="1"/>
      <c r="I854" s="1"/>
    </row>
    <row r="855" spans="2:9" ht="15.75" customHeight="1" x14ac:dyDescent="0.25">
      <c r="B855" s="1"/>
      <c r="C855" s="1"/>
      <c r="D855" s="1"/>
      <c r="E855" s="1"/>
      <c r="F855" s="1"/>
      <c r="G855" s="1"/>
      <c r="H855" s="1"/>
      <c r="I855" s="1"/>
    </row>
    <row r="856" spans="2:9" ht="15.75" customHeight="1" x14ac:dyDescent="0.25">
      <c r="B856" s="1"/>
      <c r="C856" s="1"/>
      <c r="D856" s="1"/>
      <c r="E856" s="1"/>
      <c r="F856" s="1"/>
      <c r="G856" s="1"/>
      <c r="H856" s="1"/>
      <c r="I856" s="1"/>
    </row>
    <row r="857" spans="2:9" ht="15.75" customHeight="1" x14ac:dyDescent="0.25">
      <c r="B857" s="1"/>
      <c r="C857" s="1"/>
      <c r="D857" s="1"/>
      <c r="E857" s="1"/>
      <c r="F857" s="1"/>
      <c r="G857" s="1"/>
      <c r="H857" s="1"/>
      <c r="I857" s="1"/>
    </row>
    <row r="858" spans="2:9" ht="15.75" customHeight="1" x14ac:dyDescent="0.25">
      <c r="B858" s="1"/>
      <c r="C858" s="1"/>
      <c r="D858" s="1"/>
      <c r="E858" s="1"/>
      <c r="F858" s="1"/>
      <c r="G858" s="1"/>
      <c r="H858" s="1"/>
      <c r="I858" s="1"/>
    </row>
    <row r="859" spans="2:9" ht="15.75" customHeight="1" x14ac:dyDescent="0.25">
      <c r="B859" s="1"/>
      <c r="C859" s="1"/>
      <c r="D859" s="1"/>
      <c r="E859" s="1"/>
      <c r="F859" s="1"/>
      <c r="G859" s="1"/>
      <c r="H859" s="1"/>
      <c r="I859" s="1"/>
    </row>
    <row r="860" spans="2:9" ht="15.75" customHeight="1" x14ac:dyDescent="0.25">
      <c r="B860" s="1"/>
      <c r="C860" s="1"/>
      <c r="D860" s="1"/>
      <c r="E860" s="1"/>
      <c r="F860" s="1"/>
      <c r="G860" s="1"/>
      <c r="H860" s="1"/>
      <c r="I860" s="1"/>
    </row>
    <row r="861" spans="2:9" ht="15.75" customHeight="1" x14ac:dyDescent="0.25">
      <c r="B861" s="1"/>
      <c r="C861" s="1"/>
      <c r="D861" s="1"/>
      <c r="E861" s="1"/>
      <c r="F861" s="1"/>
      <c r="G861" s="1"/>
      <c r="H861" s="1"/>
      <c r="I861" s="1"/>
    </row>
    <row r="862" spans="2:9" ht="15.75" customHeight="1" x14ac:dyDescent="0.25">
      <c r="B862" s="1"/>
      <c r="C862" s="1"/>
      <c r="D862" s="1"/>
      <c r="E862" s="1"/>
      <c r="F862" s="1"/>
      <c r="G862" s="1"/>
      <c r="H862" s="1"/>
      <c r="I862" s="1"/>
    </row>
    <row r="863" spans="2:9" ht="15.75" customHeight="1" x14ac:dyDescent="0.25">
      <c r="B863" s="1"/>
      <c r="C863" s="1"/>
      <c r="D863" s="1"/>
      <c r="E863" s="1"/>
      <c r="F863" s="1"/>
      <c r="G863" s="1"/>
      <c r="H863" s="1"/>
      <c r="I863" s="1"/>
    </row>
    <row r="864" spans="2:9" ht="15.75" customHeight="1" x14ac:dyDescent="0.25">
      <c r="B864" s="1"/>
      <c r="C864" s="1"/>
      <c r="D864" s="1"/>
      <c r="E864" s="1"/>
      <c r="F864" s="1"/>
      <c r="G864" s="1"/>
      <c r="H864" s="1"/>
      <c r="I864" s="1"/>
    </row>
    <row r="865" spans="2:9" ht="15.75" customHeight="1" x14ac:dyDescent="0.25">
      <c r="B865" s="1"/>
      <c r="C865" s="1"/>
      <c r="D865" s="1"/>
      <c r="E865" s="1"/>
      <c r="F865" s="1"/>
      <c r="G865" s="1"/>
      <c r="H865" s="1"/>
      <c r="I865" s="1"/>
    </row>
    <row r="866" spans="2:9" ht="15.75" customHeight="1" x14ac:dyDescent="0.25">
      <c r="B866" s="1"/>
      <c r="C866" s="1"/>
      <c r="D866" s="1"/>
      <c r="E866" s="1"/>
      <c r="F866" s="1"/>
      <c r="G866" s="1"/>
      <c r="H866" s="1"/>
      <c r="I866" s="1"/>
    </row>
    <row r="867" spans="2:9" ht="15.75" customHeight="1" x14ac:dyDescent="0.25">
      <c r="B867" s="1"/>
      <c r="C867" s="1"/>
      <c r="D867" s="1"/>
      <c r="E867" s="1"/>
      <c r="F867" s="1"/>
      <c r="G867" s="1"/>
      <c r="H867" s="1"/>
      <c r="I867" s="1"/>
    </row>
    <row r="868" spans="2:9" ht="15.75" customHeight="1" x14ac:dyDescent="0.25">
      <c r="B868" s="1"/>
      <c r="C868" s="1"/>
      <c r="D868" s="1"/>
      <c r="E868" s="1"/>
      <c r="F868" s="1"/>
      <c r="G868" s="1"/>
      <c r="H868" s="1"/>
      <c r="I868" s="1"/>
    </row>
    <row r="869" spans="2:9" ht="15.75" customHeight="1" x14ac:dyDescent="0.25">
      <c r="B869" s="1"/>
      <c r="C869" s="1"/>
      <c r="D869" s="1"/>
      <c r="E869" s="1"/>
      <c r="F869" s="1"/>
      <c r="G869" s="1"/>
      <c r="H869" s="1"/>
      <c r="I869" s="1"/>
    </row>
    <row r="870" spans="2:9" ht="15.75" customHeight="1" x14ac:dyDescent="0.25">
      <c r="B870" s="1"/>
      <c r="C870" s="1"/>
      <c r="D870" s="1"/>
      <c r="E870" s="1"/>
      <c r="F870" s="1"/>
      <c r="G870" s="1"/>
      <c r="H870" s="1"/>
      <c r="I870" s="1"/>
    </row>
    <row r="871" spans="2:9" ht="15.75" customHeight="1" x14ac:dyDescent="0.25">
      <c r="B871" s="1"/>
      <c r="C871" s="1"/>
      <c r="D871" s="1"/>
      <c r="E871" s="1"/>
      <c r="F871" s="1"/>
      <c r="G871" s="1"/>
      <c r="H871" s="1"/>
      <c r="I871" s="1"/>
    </row>
    <row r="872" spans="2:9" ht="15.75" customHeight="1" x14ac:dyDescent="0.25">
      <c r="B872" s="1"/>
      <c r="C872" s="1"/>
      <c r="D872" s="1"/>
      <c r="E872" s="1"/>
      <c r="F872" s="1"/>
      <c r="G872" s="1"/>
      <c r="H872" s="1"/>
      <c r="I872" s="1"/>
    </row>
    <row r="873" spans="2:9" ht="15.75" customHeight="1" x14ac:dyDescent="0.25">
      <c r="B873" s="1"/>
      <c r="C873" s="1"/>
      <c r="D873" s="1"/>
      <c r="E873" s="1"/>
      <c r="F873" s="1"/>
      <c r="G873" s="1"/>
      <c r="H873" s="1"/>
      <c r="I873" s="1"/>
    </row>
    <row r="874" spans="2:9" ht="15.75" customHeight="1" x14ac:dyDescent="0.25">
      <c r="B874" s="1"/>
      <c r="C874" s="1"/>
      <c r="D874" s="1"/>
      <c r="E874" s="1"/>
      <c r="F874" s="1"/>
      <c r="G874" s="1"/>
      <c r="H874" s="1"/>
      <c r="I874" s="1"/>
    </row>
    <row r="875" spans="2:9" ht="15.75" customHeight="1" x14ac:dyDescent="0.25">
      <c r="B875" s="1"/>
      <c r="C875" s="1"/>
      <c r="D875" s="1"/>
      <c r="E875" s="1"/>
      <c r="F875" s="1"/>
      <c r="G875" s="1"/>
      <c r="H875" s="1"/>
      <c r="I875" s="1"/>
    </row>
    <row r="876" spans="2:9" ht="15.75" customHeight="1" x14ac:dyDescent="0.25">
      <c r="B876" s="1"/>
      <c r="C876" s="1"/>
      <c r="D876" s="1"/>
      <c r="E876" s="1"/>
      <c r="F876" s="1"/>
      <c r="G876" s="1"/>
      <c r="H876" s="1"/>
      <c r="I876" s="1"/>
    </row>
    <row r="877" spans="2:9" ht="15.75" customHeight="1" x14ac:dyDescent="0.25">
      <c r="B877" s="1"/>
      <c r="C877" s="1"/>
      <c r="D877" s="1"/>
      <c r="E877" s="1"/>
      <c r="F877" s="1"/>
      <c r="G877" s="1"/>
      <c r="H877" s="1"/>
      <c r="I877" s="1"/>
    </row>
    <row r="878" spans="2:9" ht="15.75" customHeight="1" x14ac:dyDescent="0.25">
      <c r="B878" s="1"/>
      <c r="C878" s="1"/>
      <c r="D878" s="1"/>
      <c r="E878" s="1"/>
      <c r="F878" s="1"/>
      <c r="G878" s="1"/>
      <c r="H878" s="1"/>
      <c r="I878" s="1"/>
    </row>
    <row r="879" spans="2:9" ht="15.75" customHeight="1" x14ac:dyDescent="0.25">
      <c r="B879" s="1"/>
      <c r="C879" s="1"/>
      <c r="D879" s="1"/>
      <c r="E879" s="1"/>
      <c r="F879" s="1"/>
      <c r="G879" s="1"/>
      <c r="H879" s="1"/>
      <c r="I879" s="1"/>
    </row>
    <row r="880" spans="2:9" ht="15.75" customHeight="1" x14ac:dyDescent="0.25">
      <c r="B880" s="1"/>
      <c r="C880" s="1"/>
      <c r="D880" s="1"/>
      <c r="E880" s="1"/>
      <c r="F880" s="1"/>
      <c r="G880" s="1"/>
      <c r="H880" s="1"/>
      <c r="I880" s="1"/>
    </row>
    <row r="881" spans="2:9" ht="15.75" customHeight="1" x14ac:dyDescent="0.25">
      <c r="B881" s="1"/>
      <c r="C881" s="1"/>
      <c r="D881" s="1"/>
      <c r="E881" s="1"/>
      <c r="F881" s="1"/>
      <c r="G881" s="1"/>
      <c r="H881" s="1"/>
      <c r="I881" s="1"/>
    </row>
    <row r="882" spans="2:9" ht="15.75" customHeight="1" x14ac:dyDescent="0.25">
      <c r="B882" s="1"/>
      <c r="C882" s="1"/>
      <c r="D882" s="1"/>
      <c r="E882" s="1"/>
      <c r="F882" s="1"/>
      <c r="G882" s="1"/>
      <c r="H882" s="1"/>
      <c r="I882" s="1"/>
    </row>
    <row r="883" spans="2:9" ht="15.75" customHeight="1" x14ac:dyDescent="0.25">
      <c r="B883" s="1"/>
      <c r="C883" s="1"/>
      <c r="D883" s="1"/>
      <c r="E883" s="1"/>
      <c r="F883" s="1"/>
      <c r="G883" s="1"/>
      <c r="H883" s="1"/>
      <c r="I883" s="1"/>
    </row>
    <row r="884" spans="2:9" ht="15.75" customHeight="1" x14ac:dyDescent="0.25">
      <c r="B884" s="1"/>
      <c r="C884" s="1"/>
      <c r="D884" s="1"/>
      <c r="E884" s="1"/>
      <c r="F884" s="1"/>
      <c r="G884" s="1"/>
      <c r="H884" s="1"/>
      <c r="I884" s="1"/>
    </row>
    <row r="885" spans="2:9" ht="15.75" customHeight="1" x14ac:dyDescent="0.25">
      <c r="B885" s="1"/>
      <c r="C885" s="1"/>
      <c r="D885" s="1"/>
      <c r="E885" s="1"/>
      <c r="F885" s="1"/>
      <c r="G885" s="1"/>
      <c r="H885" s="1"/>
      <c r="I885" s="1"/>
    </row>
    <row r="886" spans="2:9" ht="15.75" customHeight="1" x14ac:dyDescent="0.25">
      <c r="B886" s="1"/>
      <c r="C886" s="1"/>
      <c r="D886" s="1"/>
      <c r="E886" s="1"/>
      <c r="F886" s="1"/>
      <c r="G886" s="1"/>
      <c r="H886" s="1"/>
      <c r="I886" s="1"/>
    </row>
    <row r="887" spans="2:9" ht="15.75" customHeight="1" x14ac:dyDescent="0.25">
      <c r="B887" s="1"/>
      <c r="C887" s="1"/>
      <c r="D887" s="1"/>
      <c r="E887" s="1"/>
      <c r="F887" s="1"/>
      <c r="G887" s="1"/>
      <c r="H887" s="1"/>
      <c r="I887" s="1"/>
    </row>
    <row r="888" spans="2:9" ht="15.75" customHeight="1" x14ac:dyDescent="0.25">
      <c r="B888" s="1"/>
      <c r="C888" s="1"/>
      <c r="D888" s="1"/>
      <c r="E888" s="1"/>
      <c r="F888" s="1"/>
      <c r="G888" s="1"/>
      <c r="H888" s="1"/>
      <c r="I888" s="1"/>
    </row>
    <row r="889" spans="2:9" ht="15.75" customHeight="1" x14ac:dyDescent="0.25">
      <c r="B889" s="1"/>
      <c r="C889" s="1"/>
      <c r="D889" s="1"/>
      <c r="E889" s="1"/>
      <c r="F889" s="1"/>
      <c r="G889" s="1"/>
      <c r="H889" s="1"/>
      <c r="I889" s="1"/>
    </row>
    <row r="890" spans="2:9" ht="15.75" customHeight="1" x14ac:dyDescent="0.25">
      <c r="B890" s="1"/>
      <c r="C890" s="1"/>
      <c r="D890" s="1"/>
      <c r="E890" s="1"/>
      <c r="F890" s="1"/>
      <c r="G890" s="1"/>
      <c r="H890" s="1"/>
      <c r="I890" s="1"/>
    </row>
    <row r="891" spans="2:9" ht="15.75" customHeight="1" x14ac:dyDescent="0.25">
      <c r="B891" s="1"/>
      <c r="C891" s="1"/>
      <c r="D891" s="1"/>
      <c r="E891" s="1"/>
      <c r="F891" s="1"/>
      <c r="G891" s="1"/>
      <c r="H891" s="1"/>
      <c r="I891" s="1"/>
    </row>
    <row r="892" spans="2:9" ht="15.75" customHeight="1" x14ac:dyDescent="0.25">
      <c r="B892" s="1"/>
      <c r="C892" s="1"/>
      <c r="D892" s="1"/>
      <c r="E892" s="1"/>
      <c r="F892" s="1"/>
      <c r="G892" s="1"/>
      <c r="H892" s="1"/>
      <c r="I892" s="1"/>
    </row>
    <row r="893" spans="2:9" ht="15.75" customHeight="1" x14ac:dyDescent="0.25">
      <c r="B893" s="1"/>
      <c r="C893" s="1"/>
      <c r="D893" s="1"/>
      <c r="E893" s="1"/>
      <c r="F893" s="1"/>
      <c r="G893" s="1"/>
      <c r="H893" s="1"/>
      <c r="I893" s="1"/>
    </row>
    <row r="894" spans="2:9" ht="15.75" customHeight="1" x14ac:dyDescent="0.25">
      <c r="B894" s="1"/>
      <c r="C894" s="1"/>
      <c r="D894" s="1"/>
      <c r="E894" s="1"/>
      <c r="F894" s="1"/>
      <c r="G894" s="1"/>
      <c r="H894" s="1"/>
      <c r="I894" s="1"/>
    </row>
    <row r="895" spans="2:9" ht="15.75" customHeight="1" x14ac:dyDescent="0.25">
      <c r="B895" s="1"/>
      <c r="C895" s="1"/>
      <c r="D895" s="1"/>
      <c r="E895" s="1"/>
      <c r="F895" s="1"/>
      <c r="G895" s="1"/>
      <c r="H895" s="1"/>
      <c r="I895" s="1"/>
    </row>
    <row r="896" spans="2:9" ht="15.75" customHeight="1" x14ac:dyDescent="0.25">
      <c r="B896" s="1"/>
      <c r="C896" s="1"/>
      <c r="D896" s="1"/>
      <c r="E896" s="1"/>
      <c r="F896" s="1"/>
      <c r="G896" s="1"/>
      <c r="H896" s="1"/>
      <c r="I896" s="1"/>
    </row>
    <row r="897" spans="2:9" ht="15.75" customHeight="1" x14ac:dyDescent="0.25">
      <c r="B897" s="1"/>
      <c r="C897" s="1"/>
      <c r="D897" s="1"/>
      <c r="E897" s="1"/>
      <c r="F897" s="1"/>
      <c r="G897" s="1"/>
      <c r="H897" s="1"/>
      <c r="I897" s="1"/>
    </row>
    <row r="898" spans="2:9" ht="15.75" customHeight="1" x14ac:dyDescent="0.25">
      <c r="B898" s="1"/>
      <c r="C898" s="1"/>
      <c r="D898" s="1"/>
      <c r="E898" s="1"/>
      <c r="F898" s="1"/>
      <c r="G898" s="1"/>
      <c r="H898" s="1"/>
      <c r="I898" s="1"/>
    </row>
    <row r="899" spans="2:9" ht="15.75" customHeight="1" x14ac:dyDescent="0.25">
      <c r="B899" s="1"/>
      <c r="C899" s="1"/>
      <c r="D899" s="1"/>
      <c r="E899" s="1"/>
      <c r="F899" s="1"/>
      <c r="G899" s="1"/>
      <c r="H899" s="1"/>
      <c r="I899" s="1"/>
    </row>
    <row r="900" spans="2:9" ht="15.75" customHeight="1" x14ac:dyDescent="0.25">
      <c r="B900" s="1"/>
      <c r="C900" s="1"/>
      <c r="D900" s="1"/>
      <c r="E900" s="1"/>
      <c r="F900" s="1"/>
      <c r="G900" s="1"/>
      <c r="H900" s="1"/>
      <c r="I900" s="1"/>
    </row>
    <row r="901" spans="2:9" ht="15.75" customHeight="1" x14ac:dyDescent="0.25">
      <c r="B901" s="1"/>
      <c r="C901" s="1"/>
      <c r="D901" s="1"/>
      <c r="E901" s="1"/>
      <c r="F901" s="1"/>
      <c r="G901" s="1"/>
      <c r="H901" s="1"/>
      <c r="I901" s="1"/>
    </row>
    <row r="902" spans="2:9" ht="15.75" customHeight="1" x14ac:dyDescent="0.25">
      <c r="B902" s="1"/>
      <c r="C902" s="1"/>
      <c r="D902" s="1"/>
      <c r="E902" s="1"/>
      <c r="F902" s="1"/>
      <c r="G902" s="1"/>
      <c r="H902" s="1"/>
      <c r="I902" s="1"/>
    </row>
    <row r="903" spans="2:9" ht="15.75" customHeight="1" x14ac:dyDescent="0.25">
      <c r="B903" s="1"/>
      <c r="C903" s="1"/>
      <c r="D903" s="1"/>
      <c r="E903" s="1"/>
      <c r="F903" s="1"/>
      <c r="G903" s="1"/>
      <c r="H903" s="1"/>
      <c r="I903" s="1"/>
    </row>
    <row r="904" spans="2:9" ht="15.75" customHeight="1" x14ac:dyDescent="0.25">
      <c r="B904" s="1"/>
      <c r="C904" s="1"/>
      <c r="D904" s="1"/>
      <c r="E904" s="1"/>
      <c r="F904" s="1"/>
      <c r="G904" s="1"/>
      <c r="H904" s="1"/>
      <c r="I904" s="1"/>
    </row>
    <row r="905" spans="2:9" ht="15.75" customHeight="1" x14ac:dyDescent="0.25">
      <c r="B905" s="1"/>
      <c r="C905" s="1"/>
      <c r="D905" s="1"/>
      <c r="E905" s="1"/>
      <c r="F905" s="1"/>
      <c r="G905" s="1"/>
      <c r="H905" s="1"/>
      <c r="I905" s="1"/>
    </row>
    <row r="906" spans="2:9" ht="15.75" customHeight="1" x14ac:dyDescent="0.25">
      <c r="B906" s="1"/>
      <c r="C906" s="1"/>
      <c r="D906" s="1"/>
      <c r="E906" s="1"/>
      <c r="F906" s="1"/>
      <c r="G906" s="1"/>
      <c r="H906" s="1"/>
      <c r="I906" s="1"/>
    </row>
    <row r="907" spans="2:9" ht="15.75" customHeight="1" x14ac:dyDescent="0.25">
      <c r="B907" s="1"/>
      <c r="C907" s="1"/>
      <c r="D907" s="1"/>
      <c r="E907" s="1"/>
      <c r="F907" s="1"/>
      <c r="G907" s="1"/>
      <c r="H907" s="1"/>
      <c r="I907" s="1"/>
    </row>
    <row r="908" spans="2:9" ht="15.75" customHeight="1" x14ac:dyDescent="0.25">
      <c r="B908" s="1"/>
      <c r="C908" s="1"/>
      <c r="D908" s="1"/>
      <c r="E908" s="1"/>
      <c r="F908" s="1"/>
      <c r="G908" s="1"/>
      <c r="H908" s="1"/>
      <c r="I908" s="1"/>
    </row>
    <row r="909" spans="2:9" ht="15.75" customHeight="1" x14ac:dyDescent="0.25">
      <c r="B909" s="1"/>
      <c r="C909" s="1"/>
      <c r="D909" s="1"/>
      <c r="E909" s="1"/>
      <c r="F909" s="1"/>
      <c r="G909" s="1"/>
      <c r="H909" s="1"/>
      <c r="I909" s="1"/>
    </row>
    <row r="910" spans="2:9" ht="15.75" customHeight="1" x14ac:dyDescent="0.25">
      <c r="B910" s="1"/>
      <c r="C910" s="1"/>
      <c r="D910" s="1"/>
      <c r="E910" s="1"/>
      <c r="F910" s="1"/>
      <c r="G910" s="1"/>
      <c r="H910" s="1"/>
      <c r="I910" s="1"/>
    </row>
    <row r="911" spans="2:9" ht="15.75" customHeight="1" x14ac:dyDescent="0.25">
      <c r="B911" s="1"/>
      <c r="C911" s="1"/>
      <c r="D911" s="1"/>
      <c r="E911" s="1"/>
      <c r="F911" s="1"/>
      <c r="G911" s="1"/>
      <c r="H911" s="1"/>
      <c r="I911" s="1"/>
    </row>
    <row r="912" spans="2:9" ht="15.75" customHeight="1" x14ac:dyDescent="0.25">
      <c r="B912" s="1"/>
      <c r="C912" s="1"/>
      <c r="D912" s="1"/>
      <c r="E912" s="1"/>
      <c r="F912" s="1"/>
      <c r="G912" s="1"/>
      <c r="H912" s="1"/>
      <c r="I912" s="1"/>
    </row>
    <row r="913" spans="2:9" ht="15.75" customHeight="1" x14ac:dyDescent="0.25">
      <c r="B913" s="1"/>
      <c r="C913" s="1"/>
      <c r="D913" s="1"/>
      <c r="E913" s="1"/>
      <c r="F913" s="1"/>
      <c r="G913" s="1"/>
      <c r="H913" s="1"/>
      <c r="I913" s="1"/>
    </row>
    <row r="914" spans="2:9" ht="15.75" customHeight="1" x14ac:dyDescent="0.25">
      <c r="B914" s="1"/>
      <c r="C914" s="1"/>
      <c r="D914" s="1"/>
      <c r="E914" s="1"/>
      <c r="F914" s="1"/>
      <c r="G914" s="1"/>
      <c r="H914" s="1"/>
      <c r="I914" s="1"/>
    </row>
    <row r="915" spans="2:9" ht="15.75" customHeight="1" x14ac:dyDescent="0.25">
      <c r="B915" s="1"/>
      <c r="C915" s="1"/>
      <c r="D915" s="1"/>
      <c r="E915" s="1"/>
      <c r="F915" s="1"/>
      <c r="G915" s="1"/>
      <c r="H915" s="1"/>
      <c r="I915" s="1"/>
    </row>
    <row r="916" spans="2:9" ht="15.75" customHeight="1" x14ac:dyDescent="0.25">
      <c r="B916" s="1"/>
      <c r="C916" s="1"/>
      <c r="D916" s="1"/>
      <c r="E916" s="1"/>
      <c r="F916" s="1"/>
      <c r="G916" s="1"/>
      <c r="H916" s="1"/>
      <c r="I916" s="1"/>
    </row>
    <row r="917" spans="2:9" ht="15.75" customHeight="1" x14ac:dyDescent="0.25">
      <c r="B917" s="1"/>
      <c r="C917" s="1"/>
      <c r="D917" s="1"/>
      <c r="E917" s="1"/>
      <c r="F917" s="1"/>
      <c r="G917" s="1"/>
      <c r="H917" s="1"/>
      <c r="I917" s="1"/>
    </row>
    <row r="918" spans="2:9" ht="15.75" customHeight="1" x14ac:dyDescent="0.25">
      <c r="B918" s="1"/>
      <c r="C918" s="1"/>
      <c r="D918" s="1"/>
      <c r="E918" s="1"/>
      <c r="F918" s="1"/>
      <c r="G918" s="1"/>
      <c r="H918" s="1"/>
      <c r="I918" s="1"/>
    </row>
    <row r="919" spans="2:9" ht="15.75" customHeight="1" x14ac:dyDescent="0.25">
      <c r="B919" s="1"/>
      <c r="C919" s="1"/>
      <c r="D919" s="1"/>
      <c r="E919" s="1"/>
      <c r="F919" s="1"/>
      <c r="G919" s="1"/>
      <c r="H919" s="1"/>
      <c r="I919" s="1"/>
    </row>
    <row r="920" spans="2:9" ht="15.75" customHeight="1" x14ac:dyDescent="0.25">
      <c r="B920" s="1"/>
      <c r="C920" s="1"/>
      <c r="D920" s="1"/>
      <c r="E920" s="1"/>
      <c r="F920" s="1"/>
      <c r="G920" s="1"/>
      <c r="H920" s="1"/>
      <c r="I920" s="1"/>
    </row>
    <row r="921" spans="2:9" ht="15.75" customHeight="1" x14ac:dyDescent="0.25">
      <c r="B921" s="1"/>
      <c r="C921" s="1"/>
      <c r="D921" s="1"/>
      <c r="E921" s="1"/>
      <c r="F921" s="1"/>
      <c r="G921" s="1"/>
      <c r="H921" s="1"/>
      <c r="I921" s="1"/>
    </row>
    <row r="922" spans="2:9" ht="15.75" customHeight="1" x14ac:dyDescent="0.25">
      <c r="B922" s="1"/>
      <c r="C922" s="1"/>
      <c r="D922" s="1"/>
      <c r="E922" s="1"/>
      <c r="F922" s="1"/>
      <c r="G922" s="1"/>
      <c r="H922" s="1"/>
      <c r="I922" s="1"/>
    </row>
    <row r="923" spans="2:9" ht="15.75" customHeight="1" x14ac:dyDescent="0.25">
      <c r="B923" s="1"/>
      <c r="C923" s="1"/>
      <c r="D923" s="1"/>
      <c r="E923" s="1"/>
      <c r="F923" s="1"/>
      <c r="G923" s="1"/>
      <c r="H923" s="1"/>
      <c r="I923" s="1"/>
    </row>
    <row r="924" spans="2:9" ht="15.75" customHeight="1" x14ac:dyDescent="0.25">
      <c r="B924" s="1"/>
      <c r="C924" s="1"/>
      <c r="D924" s="1"/>
      <c r="E924" s="1"/>
      <c r="F924" s="1"/>
      <c r="G924" s="1"/>
      <c r="H924" s="1"/>
      <c r="I924" s="1"/>
    </row>
    <row r="925" spans="2:9" ht="15.75" customHeight="1" x14ac:dyDescent="0.25">
      <c r="B925" s="1"/>
      <c r="C925" s="1"/>
      <c r="D925" s="1"/>
      <c r="E925" s="1"/>
      <c r="F925" s="1"/>
      <c r="G925" s="1"/>
      <c r="H925" s="1"/>
      <c r="I925" s="1"/>
    </row>
    <row r="926" spans="2:9" ht="15.75" customHeight="1" x14ac:dyDescent="0.25">
      <c r="B926" s="1"/>
      <c r="C926" s="1"/>
      <c r="D926" s="1"/>
      <c r="E926" s="1"/>
      <c r="F926" s="1"/>
      <c r="G926" s="1"/>
      <c r="H926" s="1"/>
      <c r="I926" s="1"/>
    </row>
    <row r="927" spans="2:9" ht="15.75" customHeight="1" x14ac:dyDescent="0.25">
      <c r="B927" s="1"/>
      <c r="C927" s="1"/>
      <c r="D927" s="1"/>
      <c r="E927" s="1"/>
      <c r="F927" s="1"/>
      <c r="G927" s="1"/>
      <c r="H927" s="1"/>
      <c r="I927" s="1"/>
    </row>
    <row r="928" spans="2:9" ht="15.75" customHeight="1" x14ac:dyDescent="0.25">
      <c r="B928" s="1"/>
      <c r="C928" s="1"/>
      <c r="D928" s="1"/>
      <c r="E928" s="1"/>
      <c r="F928" s="1"/>
      <c r="G928" s="1"/>
      <c r="H928" s="1"/>
      <c r="I928" s="1"/>
    </row>
    <row r="929" spans="2:9" ht="15.75" customHeight="1" x14ac:dyDescent="0.25">
      <c r="B929" s="1"/>
      <c r="C929" s="1"/>
      <c r="D929" s="1"/>
      <c r="E929" s="1"/>
      <c r="F929" s="1"/>
      <c r="G929" s="1"/>
      <c r="H929" s="1"/>
      <c r="I929" s="1"/>
    </row>
    <row r="930" spans="2:9" ht="15.75" customHeight="1" x14ac:dyDescent="0.25">
      <c r="B930" s="1"/>
      <c r="C930" s="1"/>
      <c r="D930" s="1"/>
      <c r="E930" s="1"/>
      <c r="F930" s="1"/>
      <c r="G930" s="1"/>
      <c r="H930" s="1"/>
      <c r="I930" s="1"/>
    </row>
    <row r="931" spans="2:9" ht="15.75" customHeight="1" x14ac:dyDescent="0.25">
      <c r="B931" s="1"/>
      <c r="C931" s="1"/>
      <c r="D931" s="1"/>
      <c r="E931" s="1"/>
      <c r="F931" s="1"/>
      <c r="G931" s="1"/>
      <c r="H931" s="1"/>
      <c r="I931" s="1"/>
    </row>
    <row r="932" spans="2:9" ht="15.75" customHeight="1" x14ac:dyDescent="0.25">
      <c r="B932" s="1"/>
      <c r="C932" s="1"/>
      <c r="D932" s="1"/>
      <c r="E932" s="1"/>
      <c r="F932" s="1"/>
      <c r="G932" s="1"/>
      <c r="H932" s="1"/>
      <c r="I932" s="1"/>
    </row>
    <row r="933" spans="2:9" ht="15.75" customHeight="1" x14ac:dyDescent="0.25">
      <c r="B933" s="1"/>
      <c r="C933" s="1"/>
      <c r="D933" s="1"/>
      <c r="E933" s="1"/>
      <c r="F933" s="1"/>
      <c r="G933" s="1"/>
      <c r="H933" s="1"/>
      <c r="I933" s="1"/>
    </row>
    <row r="934" spans="2:9" ht="15.75" customHeight="1" x14ac:dyDescent="0.25">
      <c r="B934" s="1"/>
      <c r="C934" s="1"/>
      <c r="D934" s="1"/>
      <c r="E934" s="1"/>
      <c r="F934" s="1"/>
      <c r="G934" s="1"/>
      <c r="H934" s="1"/>
      <c r="I934" s="1"/>
    </row>
    <row r="935" spans="2:9" ht="15.75" customHeight="1" x14ac:dyDescent="0.25">
      <c r="B935" s="1"/>
      <c r="C935" s="1"/>
      <c r="D935" s="1"/>
      <c r="E935" s="1"/>
      <c r="F935" s="1"/>
      <c r="G935" s="1"/>
      <c r="H935" s="1"/>
      <c r="I935" s="1"/>
    </row>
    <row r="936" spans="2:9" ht="15.75" customHeight="1" x14ac:dyDescent="0.25">
      <c r="B936" s="1"/>
      <c r="C936" s="1"/>
      <c r="D936" s="1"/>
      <c r="E936" s="1"/>
      <c r="F936" s="1"/>
      <c r="G936" s="1"/>
      <c r="H936" s="1"/>
      <c r="I936" s="1"/>
    </row>
    <row r="937" spans="2:9" ht="15.75" customHeight="1" x14ac:dyDescent="0.25">
      <c r="B937" s="1"/>
      <c r="C937" s="1"/>
      <c r="D937" s="1"/>
      <c r="E937" s="1"/>
      <c r="F937" s="1"/>
      <c r="G937" s="1"/>
      <c r="H937" s="1"/>
      <c r="I937" s="1"/>
    </row>
    <row r="938" spans="2:9" ht="15.75" customHeight="1" x14ac:dyDescent="0.25">
      <c r="B938" s="1"/>
      <c r="C938" s="1"/>
      <c r="D938" s="1"/>
      <c r="E938" s="1"/>
      <c r="F938" s="1"/>
      <c r="G938" s="1"/>
      <c r="H938" s="1"/>
      <c r="I938" s="1"/>
    </row>
    <row r="939" spans="2:9" ht="15.75" customHeight="1" x14ac:dyDescent="0.25">
      <c r="B939" s="1"/>
      <c r="C939" s="1"/>
      <c r="D939" s="1"/>
      <c r="E939" s="1"/>
      <c r="F939" s="1"/>
      <c r="G939" s="1"/>
      <c r="H939" s="1"/>
      <c r="I939" s="1"/>
    </row>
    <row r="940" spans="2:9" ht="15.75" customHeight="1" x14ac:dyDescent="0.25">
      <c r="B940" s="1"/>
      <c r="C940" s="1"/>
      <c r="D940" s="1"/>
      <c r="E940" s="1"/>
      <c r="F940" s="1"/>
      <c r="G940" s="1"/>
      <c r="H940" s="1"/>
      <c r="I940" s="1"/>
    </row>
    <row r="941" spans="2:9" ht="15.75" customHeight="1" x14ac:dyDescent="0.25">
      <c r="B941" s="1"/>
      <c r="C941" s="1"/>
      <c r="D941" s="1"/>
      <c r="E941" s="1"/>
      <c r="F941" s="1"/>
      <c r="G941" s="1"/>
      <c r="H941" s="1"/>
      <c r="I941" s="1"/>
    </row>
    <row r="942" spans="2:9" ht="15.75" customHeight="1" x14ac:dyDescent="0.25">
      <c r="B942" s="1"/>
      <c r="C942" s="1"/>
      <c r="D942" s="1"/>
      <c r="E942" s="1"/>
      <c r="F942" s="1"/>
      <c r="G942" s="1"/>
      <c r="H942" s="1"/>
      <c r="I942" s="1"/>
    </row>
    <row r="943" spans="2:9" ht="15.75" customHeight="1" x14ac:dyDescent="0.25">
      <c r="B943" s="1"/>
      <c r="C943" s="1"/>
      <c r="D943" s="1"/>
      <c r="E943" s="1"/>
      <c r="F943" s="1"/>
      <c r="G943" s="1"/>
      <c r="H943" s="1"/>
      <c r="I943" s="1"/>
    </row>
    <row r="944" spans="2:9" ht="15.75" customHeight="1" x14ac:dyDescent="0.25">
      <c r="B944" s="1"/>
      <c r="C944" s="1"/>
      <c r="D944" s="1"/>
      <c r="E944" s="1"/>
      <c r="F944" s="1"/>
      <c r="G944" s="1"/>
      <c r="H944" s="1"/>
      <c r="I944" s="1"/>
    </row>
    <row r="945" spans="2:9" ht="15.75" customHeight="1" x14ac:dyDescent="0.25">
      <c r="B945" s="1"/>
      <c r="C945" s="1"/>
      <c r="D945" s="1"/>
      <c r="E945" s="1"/>
      <c r="F945" s="1"/>
      <c r="G945" s="1"/>
      <c r="H945" s="1"/>
      <c r="I945" s="1"/>
    </row>
    <row r="946" spans="2:9" ht="15.75" customHeight="1" x14ac:dyDescent="0.25">
      <c r="B946" s="1"/>
      <c r="C946" s="1"/>
      <c r="D946" s="1"/>
      <c r="E946" s="1"/>
      <c r="F946" s="1"/>
      <c r="G946" s="1"/>
      <c r="H946" s="1"/>
      <c r="I946" s="1"/>
    </row>
    <row r="947" spans="2:9" ht="15.75" customHeight="1" x14ac:dyDescent="0.25">
      <c r="B947" s="1"/>
      <c r="C947" s="1"/>
      <c r="D947" s="1"/>
      <c r="E947" s="1"/>
      <c r="F947" s="1"/>
      <c r="G947" s="1"/>
      <c r="H947" s="1"/>
      <c r="I947" s="1"/>
    </row>
    <row r="948" spans="2:9" ht="15.75" customHeight="1" x14ac:dyDescent="0.25">
      <c r="B948" s="1"/>
      <c r="C948" s="1"/>
      <c r="D948" s="1"/>
      <c r="E948" s="1"/>
      <c r="F948" s="1"/>
      <c r="G948" s="1"/>
      <c r="H948" s="1"/>
      <c r="I948" s="1"/>
    </row>
    <row r="949" spans="2:9" ht="15.75" customHeight="1" x14ac:dyDescent="0.25">
      <c r="B949" s="1"/>
      <c r="C949" s="1"/>
      <c r="D949" s="1"/>
      <c r="E949" s="1"/>
      <c r="F949" s="1"/>
      <c r="G949" s="1"/>
      <c r="H949" s="1"/>
      <c r="I949" s="1"/>
    </row>
    <row r="950" spans="2:9" ht="15.75" customHeight="1" x14ac:dyDescent="0.25">
      <c r="B950" s="1"/>
      <c r="C950" s="1"/>
      <c r="D950" s="1"/>
      <c r="E950" s="1"/>
      <c r="F950" s="1"/>
      <c r="G950" s="1"/>
      <c r="H950" s="1"/>
      <c r="I950" s="1"/>
    </row>
    <row r="951" spans="2:9" ht="15.75" customHeight="1" x14ac:dyDescent="0.25">
      <c r="B951" s="1"/>
      <c r="C951" s="1"/>
      <c r="D951" s="1"/>
      <c r="E951" s="1"/>
      <c r="F951" s="1"/>
      <c r="G951" s="1"/>
      <c r="H951" s="1"/>
      <c r="I951" s="1"/>
    </row>
    <row r="952" spans="2:9" ht="15.75" customHeight="1" x14ac:dyDescent="0.25">
      <c r="B952" s="1"/>
      <c r="C952" s="1"/>
      <c r="D952" s="1"/>
      <c r="E952" s="1"/>
      <c r="F952" s="1"/>
      <c r="G952" s="1"/>
      <c r="H952" s="1"/>
      <c r="I952" s="1"/>
    </row>
    <row r="953" spans="2:9" ht="15.75" customHeight="1" x14ac:dyDescent="0.25">
      <c r="B953" s="1"/>
      <c r="C953" s="1"/>
      <c r="D953" s="1"/>
      <c r="E953" s="1"/>
      <c r="F953" s="1"/>
      <c r="G953" s="1"/>
      <c r="H953" s="1"/>
      <c r="I953" s="1"/>
    </row>
    <row r="954" spans="2:9" ht="15.75" customHeight="1" x14ac:dyDescent="0.25">
      <c r="B954" s="1"/>
      <c r="C954" s="1"/>
      <c r="D954" s="1"/>
      <c r="E954" s="1"/>
      <c r="F954" s="1"/>
      <c r="G954" s="1"/>
      <c r="H954" s="1"/>
      <c r="I954" s="1"/>
    </row>
    <row r="955" spans="2:9" ht="15.75" customHeight="1" x14ac:dyDescent="0.25">
      <c r="B955" s="1"/>
      <c r="C955" s="1"/>
      <c r="D955" s="1"/>
      <c r="E955" s="1"/>
      <c r="F955" s="1"/>
      <c r="G955" s="1"/>
      <c r="H955" s="1"/>
      <c r="I955" s="1"/>
    </row>
    <row r="956" spans="2:9" ht="15.75" customHeight="1" x14ac:dyDescent="0.25">
      <c r="B956" s="1"/>
      <c r="C956" s="1"/>
      <c r="D956" s="1"/>
      <c r="E956" s="1"/>
      <c r="F956" s="1"/>
      <c r="G956" s="1"/>
      <c r="H956" s="1"/>
      <c r="I956" s="1"/>
    </row>
    <row r="957" spans="2:9" ht="15.75" customHeight="1" x14ac:dyDescent="0.25">
      <c r="B957" s="1"/>
      <c r="C957" s="1"/>
      <c r="D957" s="1"/>
      <c r="E957" s="1"/>
      <c r="F957" s="1"/>
      <c r="G957" s="1"/>
      <c r="H957" s="1"/>
      <c r="I957" s="1"/>
    </row>
    <row r="958" spans="2:9" ht="15.75" customHeight="1" x14ac:dyDescent="0.25">
      <c r="B958" s="1"/>
      <c r="C958" s="1"/>
      <c r="D958" s="1"/>
      <c r="E958" s="1"/>
      <c r="F958" s="1"/>
      <c r="G958" s="1"/>
      <c r="H958" s="1"/>
      <c r="I958" s="1"/>
    </row>
    <row r="959" spans="2:9" ht="15.75" customHeight="1" x14ac:dyDescent="0.25">
      <c r="B959" s="1"/>
      <c r="C959" s="1"/>
      <c r="D959" s="1"/>
      <c r="E959" s="1"/>
      <c r="F959" s="1"/>
      <c r="G959" s="1"/>
      <c r="H959" s="1"/>
      <c r="I959" s="1"/>
    </row>
    <row r="960" spans="2:9" ht="15.75" customHeight="1" x14ac:dyDescent="0.25">
      <c r="B960" s="1"/>
      <c r="C960" s="1"/>
      <c r="D960" s="1"/>
      <c r="E960" s="1"/>
      <c r="F960" s="1"/>
      <c r="G960" s="1"/>
      <c r="H960" s="1"/>
      <c r="I960" s="1"/>
    </row>
    <row r="961" spans="2:9" ht="15.75" customHeight="1" x14ac:dyDescent="0.25">
      <c r="B961" s="1"/>
      <c r="C961" s="1"/>
      <c r="D961" s="1"/>
      <c r="E961" s="1"/>
      <c r="F961" s="1"/>
      <c r="G961" s="1"/>
      <c r="H961" s="1"/>
      <c r="I961" s="1"/>
    </row>
    <row r="962" spans="2:9" ht="15.75" customHeight="1" x14ac:dyDescent="0.25">
      <c r="B962" s="1"/>
      <c r="C962" s="1"/>
      <c r="D962" s="1"/>
      <c r="E962" s="1"/>
      <c r="F962" s="1"/>
      <c r="G962" s="1"/>
      <c r="H962" s="1"/>
      <c r="I962" s="1"/>
    </row>
    <row r="963" spans="2:9" ht="15.75" customHeight="1" x14ac:dyDescent="0.25">
      <c r="B963" s="1"/>
      <c r="C963" s="1"/>
      <c r="D963" s="1"/>
      <c r="E963" s="1"/>
      <c r="F963" s="1"/>
      <c r="G963" s="1"/>
      <c r="H963" s="1"/>
      <c r="I963" s="1"/>
    </row>
    <row r="964" spans="2:9" ht="15.75" customHeight="1" x14ac:dyDescent="0.25">
      <c r="B964" s="1"/>
      <c r="C964" s="1"/>
      <c r="D964" s="1"/>
      <c r="E964" s="1"/>
      <c r="F964" s="1"/>
      <c r="G964" s="1"/>
      <c r="H964" s="1"/>
      <c r="I964" s="1"/>
    </row>
    <row r="965" spans="2:9" ht="15.75" customHeight="1" x14ac:dyDescent="0.25">
      <c r="B965" s="1"/>
      <c r="C965" s="1"/>
      <c r="D965" s="1"/>
      <c r="E965" s="1"/>
      <c r="F965" s="1"/>
      <c r="G965" s="1"/>
      <c r="H965" s="1"/>
      <c r="I965" s="1"/>
    </row>
    <row r="966" spans="2:9" ht="15.75" customHeight="1" x14ac:dyDescent="0.25">
      <c r="B966" s="1"/>
      <c r="C966" s="1"/>
      <c r="D966" s="1"/>
      <c r="E966" s="1"/>
      <c r="F966" s="1"/>
      <c r="G966" s="1"/>
      <c r="H966" s="1"/>
      <c r="I966" s="1"/>
    </row>
    <row r="967" spans="2:9" ht="15.75" customHeight="1" x14ac:dyDescent="0.25">
      <c r="B967" s="1"/>
      <c r="C967" s="1"/>
      <c r="D967" s="1"/>
      <c r="E967" s="1"/>
      <c r="F967" s="1"/>
      <c r="G967" s="1"/>
      <c r="H967" s="1"/>
      <c r="I967" s="1"/>
    </row>
    <row r="968" spans="2:9" ht="15.75" customHeight="1" x14ac:dyDescent="0.25">
      <c r="B968" s="1"/>
      <c r="C968" s="1"/>
      <c r="D968" s="1"/>
      <c r="E968" s="1"/>
      <c r="F968" s="1"/>
      <c r="G968" s="1"/>
      <c r="H968" s="1"/>
      <c r="I968" s="1"/>
    </row>
    <row r="969" spans="2:9" ht="15.75" customHeight="1" x14ac:dyDescent="0.25">
      <c r="B969" s="1"/>
      <c r="C969" s="1"/>
      <c r="D969" s="1"/>
      <c r="E969" s="1"/>
      <c r="F969" s="1"/>
      <c r="G969" s="1"/>
      <c r="H969" s="1"/>
      <c r="I969" s="1"/>
    </row>
    <row r="970" spans="2:9" ht="15.75" customHeight="1" x14ac:dyDescent="0.25">
      <c r="B970" s="1"/>
      <c r="C970" s="1"/>
      <c r="D970" s="1"/>
      <c r="E970" s="1"/>
      <c r="F970" s="1"/>
      <c r="G970" s="1"/>
      <c r="H970" s="1"/>
      <c r="I970" s="1"/>
    </row>
    <row r="971" spans="2:9" ht="15.75" customHeight="1" x14ac:dyDescent="0.25">
      <c r="B971" s="1"/>
      <c r="C971" s="1"/>
      <c r="D971" s="1"/>
      <c r="E971" s="1"/>
      <c r="F971" s="1"/>
      <c r="G971" s="1"/>
      <c r="H971" s="1"/>
      <c r="I971" s="1"/>
    </row>
    <row r="972" spans="2:9" ht="15.75" customHeight="1" x14ac:dyDescent="0.25">
      <c r="B972" s="1"/>
      <c r="C972" s="1"/>
      <c r="D972" s="1"/>
      <c r="E972" s="1"/>
      <c r="F972" s="1"/>
      <c r="G972" s="1"/>
      <c r="H972" s="1"/>
      <c r="I972" s="1"/>
    </row>
    <row r="973" spans="2:9" ht="15.75" customHeight="1" x14ac:dyDescent="0.25">
      <c r="B973" s="1"/>
      <c r="C973" s="1"/>
      <c r="D973" s="1"/>
      <c r="E973" s="1"/>
      <c r="F973" s="1"/>
      <c r="G973" s="1"/>
      <c r="H973" s="1"/>
      <c r="I973" s="1"/>
    </row>
    <row r="974" spans="2:9" ht="15.75" customHeight="1" x14ac:dyDescent="0.25">
      <c r="B974" s="1"/>
      <c r="C974" s="1"/>
      <c r="D974" s="1"/>
      <c r="E974" s="1"/>
      <c r="F974" s="1"/>
      <c r="G974" s="1"/>
      <c r="H974" s="1"/>
      <c r="I974" s="1"/>
    </row>
    <row r="975" spans="2:9" ht="15.75" customHeight="1" x14ac:dyDescent="0.25">
      <c r="B975" s="1"/>
      <c r="C975" s="1"/>
      <c r="D975" s="1"/>
      <c r="E975" s="1"/>
      <c r="F975" s="1"/>
      <c r="G975" s="1"/>
      <c r="H975" s="1"/>
      <c r="I975" s="1"/>
    </row>
    <row r="976" spans="2:9" ht="15.75" customHeight="1" x14ac:dyDescent="0.25">
      <c r="B976" s="1"/>
      <c r="C976" s="1"/>
      <c r="D976" s="1"/>
      <c r="E976" s="1"/>
      <c r="F976" s="1"/>
      <c r="G976" s="1"/>
      <c r="H976" s="1"/>
      <c r="I976" s="1"/>
    </row>
    <row r="977" spans="2:9" ht="15.75" customHeight="1" x14ac:dyDescent="0.25">
      <c r="B977" s="1"/>
      <c r="C977" s="1"/>
      <c r="D977" s="1"/>
      <c r="E977" s="1"/>
      <c r="F977" s="1"/>
      <c r="G977" s="1"/>
      <c r="H977" s="1"/>
      <c r="I977" s="1"/>
    </row>
    <row r="978" spans="2:9" ht="15.75" customHeight="1" x14ac:dyDescent="0.25">
      <c r="B978" s="1"/>
      <c r="C978" s="1"/>
      <c r="D978" s="1"/>
      <c r="E978" s="1"/>
      <c r="F978" s="1"/>
      <c r="G978" s="1"/>
      <c r="H978" s="1"/>
      <c r="I978" s="1"/>
    </row>
    <row r="979" spans="2:9" ht="15.75" customHeight="1" x14ac:dyDescent="0.25">
      <c r="B979" s="1"/>
      <c r="C979" s="1"/>
      <c r="D979" s="1"/>
      <c r="E979" s="1"/>
      <c r="F979" s="1"/>
      <c r="G979" s="1"/>
      <c r="H979" s="1"/>
      <c r="I979" s="1"/>
    </row>
    <row r="980" spans="2:9" ht="15.75" customHeight="1" x14ac:dyDescent="0.25">
      <c r="B980" s="1"/>
      <c r="C980" s="1"/>
      <c r="D980" s="1"/>
      <c r="E980" s="1"/>
      <c r="F980" s="1"/>
      <c r="G980" s="1"/>
      <c r="H980" s="1"/>
      <c r="I980" s="1"/>
    </row>
    <row r="981" spans="2:9" ht="15.75" customHeight="1" x14ac:dyDescent="0.25">
      <c r="B981" s="1"/>
      <c r="C981" s="1"/>
      <c r="D981" s="1"/>
      <c r="E981" s="1"/>
      <c r="F981" s="1"/>
      <c r="G981" s="1"/>
      <c r="H981" s="1"/>
      <c r="I981" s="1"/>
    </row>
    <row r="982" spans="2:9" ht="15.75" customHeight="1" x14ac:dyDescent="0.25">
      <c r="B982" s="1"/>
      <c r="C982" s="1"/>
      <c r="D982" s="1"/>
      <c r="E982" s="1"/>
      <c r="F982" s="1"/>
      <c r="G982" s="1"/>
      <c r="H982" s="1"/>
      <c r="I982" s="1"/>
    </row>
    <row r="983" spans="2:9" ht="15.75" customHeight="1" x14ac:dyDescent="0.25">
      <c r="B983" s="1"/>
      <c r="C983" s="1"/>
      <c r="D983" s="1"/>
      <c r="E983" s="1"/>
      <c r="F983" s="1"/>
      <c r="G983" s="1"/>
      <c r="H983" s="1"/>
      <c r="I983" s="1"/>
    </row>
    <row r="984" spans="2:9" ht="15.75" customHeight="1" x14ac:dyDescent="0.25">
      <c r="B984" s="1"/>
      <c r="C984" s="1"/>
      <c r="D984" s="1"/>
      <c r="E984" s="1"/>
      <c r="F984" s="1"/>
      <c r="G984" s="1"/>
      <c r="H984" s="1"/>
      <c r="I984" s="1"/>
    </row>
    <row r="985" spans="2:9" ht="15.75" customHeight="1" x14ac:dyDescent="0.25">
      <c r="B985" s="1"/>
      <c r="C985" s="1"/>
      <c r="D985" s="1"/>
      <c r="E985" s="1"/>
      <c r="F985" s="1"/>
      <c r="G985" s="1"/>
      <c r="H985" s="1"/>
      <c r="I985" s="1"/>
    </row>
    <row r="986" spans="2:9" ht="15.75" customHeight="1" x14ac:dyDescent="0.25">
      <c r="B986" s="1"/>
      <c r="C986" s="1"/>
      <c r="D986" s="1"/>
      <c r="E986" s="1"/>
      <c r="F986" s="1"/>
      <c r="G986" s="1"/>
      <c r="H986" s="1"/>
      <c r="I986" s="1"/>
    </row>
    <row r="987" spans="2:9" ht="15.75" customHeight="1" x14ac:dyDescent="0.25">
      <c r="B987" s="1"/>
      <c r="C987" s="1"/>
      <c r="D987" s="1"/>
      <c r="E987" s="1"/>
      <c r="F987" s="1"/>
      <c r="G987" s="1"/>
      <c r="H987" s="1"/>
      <c r="I987" s="1"/>
    </row>
    <row r="988" spans="2:9" ht="15.75" customHeight="1" x14ac:dyDescent="0.25">
      <c r="B988" s="1"/>
      <c r="C988" s="1"/>
      <c r="D988" s="1"/>
      <c r="E988" s="1"/>
      <c r="F988" s="1"/>
      <c r="G988" s="1"/>
      <c r="H988" s="1"/>
      <c r="I988" s="1"/>
    </row>
    <row r="989" spans="2:9" ht="15.75" customHeight="1" x14ac:dyDescent="0.25">
      <c r="B989" s="1"/>
      <c r="C989" s="1"/>
      <c r="D989" s="1"/>
      <c r="E989" s="1"/>
      <c r="F989" s="1"/>
      <c r="G989" s="1"/>
      <c r="H989" s="1"/>
      <c r="I989" s="1"/>
    </row>
    <row r="990" spans="2:9" ht="15.75" customHeight="1" x14ac:dyDescent="0.25">
      <c r="B990" s="1"/>
      <c r="C990" s="1"/>
      <c r="D990" s="1"/>
      <c r="E990" s="1"/>
      <c r="F990" s="1"/>
      <c r="G990" s="1"/>
      <c r="H990" s="1"/>
      <c r="I990" s="1"/>
    </row>
    <row r="991" spans="2:9" ht="15.75" customHeight="1" x14ac:dyDescent="0.25">
      <c r="B991" s="1"/>
      <c r="C991" s="1"/>
      <c r="D991" s="1"/>
      <c r="E991" s="1"/>
      <c r="F991" s="1"/>
      <c r="G991" s="1"/>
      <c r="H991" s="1"/>
      <c r="I991" s="1"/>
    </row>
    <row r="992" spans="2:9" ht="15.75" customHeight="1" x14ac:dyDescent="0.25">
      <c r="B992" s="1"/>
      <c r="C992" s="1"/>
      <c r="D992" s="1"/>
      <c r="E992" s="1"/>
      <c r="F992" s="1"/>
      <c r="G992" s="1"/>
      <c r="H992" s="1"/>
      <c r="I992" s="1"/>
    </row>
    <row r="993" spans="2:9" ht="15.75" customHeight="1" x14ac:dyDescent="0.25">
      <c r="B993" s="1"/>
      <c r="C993" s="1"/>
      <c r="D993" s="1"/>
      <c r="E993" s="1"/>
      <c r="F993" s="1"/>
      <c r="G993" s="1"/>
      <c r="H993" s="1"/>
      <c r="I993" s="1"/>
    </row>
    <row r="994" spans="2:9" ht="15.75" customHeight="1" x14ac:dyDescent="0.25">
      <c r="B994" s="1"/>
      <c r="C994" s="1"/>
      <c r="D994" s="1"/>
      <c r="E994" s="1"/>
      <c r="F994" s="1"/>
      <c r="G994" s="1"/>
      <c r="H994" s="1"/>
      <c r="I994" s="1"/>
    </row>
    <row r="995" spans="2:9" ht="15.75" customHeight="1" x14ac:dyDescent="0.25">
      <c r="B995" s="1"/>
      <c r="C995" s="1"/>
      <c r="D995" s="1"/>
      <c r="E995" s="1"/>
      <c r="F995" s="1"/>
      <c r="G995" s="1"/>
      <c r="H995" s="1"/>
      <c r="I995" s="1"/>
    </row>
    <row r="996" spans="2:9" ht="15.75" customHeight="1" x14ac:dyDescent="0.25">
      <c r="B996" s="1"/>
      <c r="C996" s="1"/>
      <c r="D996" s="1"/>
      <c r="E996" s="1"/>
      <c r="F996" s="1"/>
      <c r="G996" s="1"/>
      <c r="H996" s="1"/>
      <c r="I996" s="1"/>
    </row>
    <row r="997" spans="2:9" ht="15.75" customHeight="1" x14ac:dyDescent="0.25">
      <c r="B997" s="1"/>
      <c r="C997" s="1"/>
      <c r="D997" s="1"/>
      <c r="E997" s="1"/>
      <c r="F997" s="1"/>
      <c r="G997" s="1"/>
      <c r="H997" s="1"/>
      <c r="I997" s="1"/>
    </row>
    <row r="998" spans="2:9" ht="15.75" customHeight="1" x14ac:dyDescent="0.25">
      <c r="B998" s="1"/>
      <c r="C998" s="1"/>
      <c r="D998" s="1"/>
      <c r="E998" s="1"/>
      <c r="F998" s="1"/>
      <c r="G998" s="1"/>
      <c r="H998" s="1"/>
      <c r="I998" s="1"/>
    </row>
    <row r="999" spans="2:9" ht="15.75" customHeight="1" x14ac:dyDescent="0.25">
      <c r="B999" s="1"/>
      <c r="C999" s="1"/>
      <c r="D999" s="1"/>
      <c r="E999" s="1"/>
      <c r="F999" s="1"/>
      <c r="G999" s="1"/>
      <c r="H999" s="1"/>
      <c r="I999" s="1"/>
    </row>
    <row r="1000" spans="2:9" ht="15.75" customHeight="1" x14ac:dyDescent="0.25">
      <c r="B1000" s="1"/>
      <c r="C1000" s="1"/>
      <c r="D1000" s="1"/>
      <c r="E1000" s="1"/>
      <c r="F1000" s="1"/>
      <c r="G1000" s="1"/>
      <c r="H1000" s="1"/>
      <c r="I1000" s="1"/>
    </row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10.28515625" customWidth="1"/>
    <col min="3" max="3" width="62.28515625" customWidth="1"/>
    <col min="4" max="4" width="3.7109375" customWidth="1"/>
    <col min="5" max="5" width="8.28515625" customWidth="1"/>
    <col min="6" max="6" width="10" customWidth="1"/>
    <col min="7" max="7" width="14.28515625" customWidth="1"/>
    <col min="8" max="8" width="8.7109375" customWidth="1"/>
    <col min="9" max="9" width="13.28515625" customWidth="1"/>
    <col min="10" max="26" width="10.7109375" customWidth="1"/>
  </cols>
  <sheetData>
    <row r="1" spans="2:9" x14ac:dyDescent="0.25">
      <c r="B1" s="1"/>
      <c r="C1" s="1"/>
      <c r="D1" s="1"/>
      <c r="E1" s="1"/>
      <c r="F1" s="1"/>
      <c r="G1" s="2">
        <f>0+0+0+0+0+0+G3+0+0</f>
        <v>19183.5</v>
      </c>
      <c r="H1" s="1"/>
      <c r="I1" s="2">
        <f>0+0+0+0+0+0+I3+0+0</f>
        <v>422961.19</v>
      </c>
    </row>
    <row r="2" spans="2:9" ht="33.75" x14ac:dyDescent="0.25">
      <c r="B2" s="3" t="s">
        <v>3</v>
      </c>
      <c r="C2" s="3" t="s">
        <v>4</v>
      </c>
      <c r="D2" s="3" t="s">
        <v>5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</row>
    <row r="3" spans="2:9" x14ac:dyDescent="0.25">
      <c r="B3" s="2" t="s">
        <v>14</v>
      </c>
      <c r="C3" s="2" t="s">
        <v>2646</v>
      </c>
      <c r="D3" s="1"/>
      <c r="E3" s="1"/>
      <c r="F3" s="1"/>
      <c r="G3" s="2">
        <v>19183.5</v>
      </c>
      <c r="H3" s="1"/>
      <c r="I3" s="2">
        <v>422961.19</v>
      </c>
    </row>
    <row r="4" spans="2:9" x14ac:dyDescent="0.25">
      <c r="B4" s="5" t="s">
        <v>16</v>
      </c>
      <c r="C4" s="5" t="s">
        <v>2647</v>
      </c>
      <c r="D4" s="1"/>
      <c r="E4" s="1"/>
      <c r="F4" s="1"/>
      <c r="G4" s="5">
        <v>0</v>
      </c>
      <c r="H4" s="1"/>
      <c r="I4" s="5">
        <v>97878.09</v>
      </c>
    </row>
    <row r="5" spans="2:9" x14ac:dyDescent="0.25">
      <c r="B5" s="6" t="s">
        <v>18</v>
      </c>
      <c r="C5" s="6" t="s">
        <v>2648</v>
      </c>
      <c r="D5" s="6" t="s">
        <v>20</v>
      </c>
      <c r="E5" s="6">
        <v>1</v>
      </c>
      <c r="F5" s="6">
        <v>0</v>
      </c>
      <c r="G5" s="6">
        <v>0</v>
      </c>
      <c r="H5" s="6">
        <v>97878.09</v>
      </c>
      <c r="I5" s="6">
        <v>97878.09</v>
      </c>
    </row>
    <row r="6" spans="2:9" x14ac:dyDescent="0.25">
      <c r="B6" s="5" t="s">
        <v>30</v>
      </c>
      <c r="C6" s="5" t="s">
        <v>2649</v>
      </c>
      <c r="D6" s="1"/>
      <c r="E6" s="1"/>
      <c r="F6" s="1"/>
      <c r="G6" s="5">
        <v>0</v>
      </c>
      <c r="H6" s="1"/>
      <c r="I6" s="5">
        <v>121074.73</v>
      </c>
    </row>
    <row r="7" spans="2:9" x14ac:dyDescent="0.25">
      <c r="B7" s="6" t="s">
        <v>32</v>
      </c>
      <c r="C7" s="6" t="s">
        <v>2650</v>
      </c>
      <c r="D7" s="6" t="s">
        <v>20</v>
      </c>
      <c r="E7" s="6">
        <v>1</v>
      </c>
      <c r="F7" s="6">
        <v>0</v>
      </c>
      <c r="G7" s="6">
        <v>0</v>
      </c>
      <c r="H7" s="6">
        <v>8119.9</v>
      </c>
      <c r="I7" s="6">
        <v>8119.9</v>
      </c>
    </row>
    <row r="8" spans="2:9" x14ac:dyDescent="0.25">
      <c r="B8" s="6" t="s">
        <v>35</v>
      </c>
      <c r="C8" s="6" t="s">
        <v>2651</v>
      </c>
      <c r="D8" s="6" t="s">
        <v>20</v>
      </c>
      <c r="E8" s="6">
        <v>1</v>
      </c>
      <c r="F8" s="6">
        <v>0</v>
      </c>
      <c r="G8" s="6">
        <v>0</v>
      </c>
      <c r="H8" s="6">
        <v>55584.45</v>
      </c>
      <c r="I8" s="6">
        <v>55584.45</v>
      </c>
    </row>
    <row r="9" spans="2:9" x14ac:dyDescent="0.25">
      <c r="B9" s="6" t="s">
        <v>37</v>
      </c>
      <c r="C9" s="6" t="s">
        <v>2652</v>
      </c>
      <c r="D9" s="6" t="s">
        <v>20</v>
      </c>
      <c r="E9" s="6">
        <v>1</v>
      </c>
      <c r="F9" s="6">
        <v>0</v>
      </c>
      <c r="G9" s="6">
        <v>0</v>
      </c>
      <c r="H9" s="6">
        <v>5073.53</v>
      </c>
      <c r="I9" s="6">
        <v>5073.53</v>
      </c>
    </row>
    <row r="10" spans="2:9" x14ac:dyDescent="0.25">
      <c r="B10" s="6" t="s">
        <v>39</v>
      </c>
      <c r="C10" s="6" t="s">
        <v>2653</v>
      </c>
      <c r="D10" s="6" t="s">
        <v>20</v>
      </c>
      <c r="E10" s="6">
        <v>1</v>
      </c>
      <c r="F10" s="6">
        <v>0</v>
      </c>
      <c r="G10" s="6">
        <v>0</v>
      </c>
      <c r="H10" s="6">
        <v>2895.47</v>
      </c>
      <c r="I10" s="6">
        <v>2895.47</v>
      </c>
    </row>
    <row r="11" spans="2:9" x14ac:dyDescent="0.25">
      <c r="B11" s="6" t="s">
        <v>41</v>
      </c>
      <c r="C11" s="6" t="s">
        <v>2654</v>
      </c>
      <c r="D11" s="6" t="s">
        <v>20</v>
      </c>
      <c r="E11" s="6">
        <v>1</v>
      </c>
      <c r="F11" s="6">
        <v>0</v>
      </c>
      <c r="G11" s="6">
        <v>0</v>
      </c>
      <c r="H11" s="6">
        <v>773.51</v>
      </c>
      <c r="I11" s="6">
        <v>773.51</v>
      </c>
    </row>
    <row r="12" spans="2:9" x14ac:dyDescent="0.25">
      <c r="B12" s="6" t="s">
        <v>43</v>
      </c>
      <c r="C12" s="6" t="s">
        <v>2655</v>
      </c>
      <c r="D12" s="6" t="s">
        <v>20</v>
      </c>
      <c r="E12" s="6">
        <v>1</v>
      </c>
      <c r="F12" s="6">
        <v>0</v>
      </c>
      <c r="G12" s="6">
        <v>0</v>
      </c>
      <c r="H12" s="6">
        <v>4324.07</v>
      </c>
      <c r="I12" s="6">
        <v>4324.07</v>
      </c>
    </row>
    <row r="13" spans="2:9" x14ac:dyDescent="0.25">
      <c r="B13" s="6" t="s">
        <v>45</v>
      </c>
      <c r="C13" s="6" t="s">
        <v>2656</v>
      </c>
      <c r="D13" s="6" t="s">
        <v>20</v>
      </c>
      <c r="E13" s="6">
        <v>1</v>
      </c>
      <c r="F13" s="6">
        <v>0</v>
      </c>
      <c r="G13" s="6">
        <v>0</v>
      </c>
      <c r="H13" s="6">
        <v>33.94</v>
      </c>
      <c r="I13" s="6">
        <v>33.94</v>
      </c>
    </row>
    <row r="14" spans="2:9" x14ac:dyDescent="0.25">
      <c r="B14" s="6" t="s">
        <v>47</v>
      </c>
      <c r="C14" s="6" t="s">
        <v>2657</v>
      </c>
      <c r="D14" s="6" t="s">
        <v>20</v>
      </c>
      <c r="E14" s="6">
        <v>1</v>
      </c>
      <c r="F14" s="6">
        <v>0</v>
      </c>
      <c r="G14" s="6">
        <v>0</v>
      </c>
      <c r="H14" s="6">
        <v>2419.29</v>
      </c>
      <c r="I14" s="6">
        <v>2419.29</v>
      </c>
    </row>
    <row r="15" spans="2:9" x14ac:dyDescent="0.25">
      <c r="B15" s="6" t="s">
        <v>49</v>
      </c>
      <c r="C15" s="6" t="s">
        <v>2658</v>
      </c>
      <c r="D15" s="6" t="s">
        <v>20</v>
      </c>
      <c r="E15" s="6">
        <v>1</v>
      </c>
      <c r="F15" s="6">
        <v>0</v>
      </c>
      <c r="G15" s="6">
        <v>0</v>
      </c>
      <c r="H15" s="6">
        <v>7438.24</v>
      </c>
      <c r="I15" s="6">
        <v>7438.24</v>
      </c>
    </row>
    <row r="16" spans="2:9" x14ac:dyDescent="0.25">
      <c r="B16" s="6" t="s">
        <v>51</v>
      </c>
      <c r="C16" s="6" t="s">
        <v>2659</v>
      </c>
      <c r="D16" s="6" t="s">
        <v>20</v>
      </c>
      <c r="E16" s="6">
        <v>1</v>
      </c>
      <c r="F16" s="6">
        <v>0</v>
      </c>
      <c r="G16" s="6">
        <v>0</v>
      </c>
      <c r="H16" s="6">
        <v>34412.33</v>
      </c>
      <c r="I16" s="6">
        <v>34412.33</v>
      </c>
    </row>
    <row r="17" spans="2:9" x14ac:dyDescent="0.25">
      <c r="B17" s="5" t="s">
        <v>73</v>
      </c>
      <c r="C17" s="5" t="s">
        <v>8</v>
      </c>
      <c r="D17" s="1"/>
      <c r="E17" s="1"/>
      <c r="F17" s="1"/>
      <c r="G17" s="5">
        <v>19183.5</v>
      </c>
      <c r="H17" s="1"/>
      <c r="I17" s="5">
        <v>137619.18</v>
      </c>
    </row>
    <row r="18" spans="2:9" x14ac:dyDescent="0.25">
      <c r="B18" s="6" t="s">
        <v>75</v>
      </c>
      <c r="C18" s="6" t="s">
        <v>2660</v>
      </c>
      <c r="D18" s="6" t="s">
        <v>20</v>
      </c>
      <c r="E18" s="6">
        <v>1</v>
      </c>
      <c r="F18" s="6">
        <v>19183.5</v>
      </c>
      <c r="G18" s="6">
        <v>19183.5</v>
      </c>
      <c r="H18" s="6">
        <v>137619.18</v>
      </c>
      <c r="I18" s="6">
        <v>137619.18</v>
      </c>
    </row>
    <row r="19" spans="2:9" x14ac:dyDescent="0.25">
      <c r="B19" s="5" t="s">
        <v>80</v>
      </c>
      <c r="C19" s="5" t="s">
        <v>2661</v>
      </c>
      <c r="D19" s="1"/>
      <c r="E19" s="1"/>
      <c r="F19" s="1"/>
      <c r="G19" s="5">
        <v>0</v>
      </c>
      <c r="H19" s="1"/>
      <c r="I19" s="5">
        <v>18379.3</v>
      </c>
    </row>
    <row r="20" spans="2:9" x14ac:dyDescent="0.25">
      <c r="B20" s="6" t="s">
        <v>82</v>
      </c>
      <c r="C20" s="6" t="s">
        <v>2662</v>
      </c>
      <c r="D20" s="6" t="s">
        <v>20</v>
      </c>
      <c r="E20" s="6">
        <v>1</v>
      </c>
      <c r="F20" s="6">
        <v>0</v>
      </c>
      <c r="G20" s="6">
        <v>0</v>
      </c>
      <c r="H20" s="6">
        <v>18379.3</v>
      </c>
      <c r="I20" s="6">
        <v>18379.3</v>
      </c>
    </row>
    <row r="21" spans="2:9" ht="15.75" customHeight="1" x14ac:dyDescent="0.25">
      <c r="B21" s="5" t="s">
        <v>90</v>
      </c>
      <c r="C21" s="5" t="s">
        <v>2663</v>
      </c>
      <c r="D21" s="1"/>
      <c r="E21" s="1"/>
      <c r="F21" s="1"/>
      <c r="G21" s="5">
        <v>0</v>
      </c>
      <c r="H21" s="1"/>
      <c r="I21" s="5">
        <v>48009.89</v>
      </c>
    </row>
    <row r="22" spans="2:9" ht="15.75" customHeight="1" x14ac:dyDescent="0.25">
      <c r="B22" s="6" t="s">
        <v>92</v>
      </c>
      <c r="C22" s="6" t="s">
        <v>2664</v>
      </c>
      <c r="D22" s="6" t="s">
        <v>20</v>
      </c>
      <c r="E22" s="6">
        <v>1</v>
      </c>
      <c r="F22" s="6">
        <v>0</v>
      </c>
      <c r="G22" s="6">
        <v>0</v>
      </c>
      <c r="H22" s="6">
        <v>7926.71</v>
      </c>
      <c r="I22" s="6">
        <v>7926.71</v>
      </c>
    </row>
    <row r="23" spans="2:9" ht="15.75" customHeight="1" x14ac:dyDescent="0.25">
      <c r="B23" s="6" t="s">
        <v>94</v>
      </c>
      <c r="C23" s="6" t="s">
        <v>2665</v>
      </c>
      <c r="D23" s="6" t="s">
        <v>20</v>
      </c>
      <c r="E23" s="6">
        <v>1</v>
      </c>
      <c r="F23" s="6">
        <v>0</v>
      </c>
      <c r="G23" s="6">
        <v>0</v>
      </c>
      <c r="H23" s="6">
        <v>7201.33</v>
      </c>
      <c r="I23" s="6">
        <v>7201.33</v>
      </c>
    </row>
    <row r="24" spans="2:9" ht="15.75" customHeight="1" x14ac:dyDescent="0.25">
      <c r="B24" s="6" t="s">
        <v>573</v>
      </c>
      <c r="C24" s="6" t="s">
        <v>2666</v>
      </c>
      <c r="D24" s="6" t="s">
        <v>20</v>
      </c>
      <c r="E24" s="6">
        <v>1</v>
      </c>
      <c r="F24" s="6">
        <v>0</v>
      </c>
      <c r="G24" s="6">
        <v>0</v>
      </c>
      <c r="H24" s="6">
        <v>15200</v>
      </c>
      <c r="I24" s="6">
        <v>15200</v>
      </c>
    </row>
    <row r="25" spans="2:9" ht="15.75" customHeight="1" x14ac:dyDescent="0.25">
      <c r="B25" s="6" t="s">
        <v>599</v>
      </c>
      <c r="C25" s="6" t="s">
        <v>2667</v>
      </c>
      <c r="D25" s="6" t="s">
        <v>20</v>
      </c>
      <c r="E25" s="6">
        <v>1</v>
      </c>
      <c r="F25" s="6">
        <v>0</v>
      </c>
      <c r="G25" s="6">
        <v>0</v>
      </c>
      <c r="H25" s="6">
        <v>7681.85</v>
      </c>
      <c r="I25" s="6">
        <v>7681.85</v>
      </c>
    </row>
    <row r="26" spans="2:9" ht="15.75" customHeight="1" x14ac:dyDescent="0.25">
      <c r="B26" s="6" t="s">
        <v>605</v>
      </c>
      <c r="C26" s="6" t="s">
        <v>2668</v>
      </c>
      <c r="D26" s="6" t="s">
        <v>20</v>
      </c>
      <c r="E26" s="6">
        <v>1</v>
      </c>
      <c r="F26" s="6">
        <v>0</v>
      </c>
      <c r="G26" s="6">
        <v>0</v>
      </c>
      <c r="H26" s="6">
        <v>10000</v>
      </c>
      <c r="I26" s="6">
        <v>10000</v>
      </c>
    </row>
    <row r="27" spans="2:9" ht="15.75" customHeight="1" x14ac:dyDescent="0.25">
      <c r="B27" s="1"/>
      <c r="C27" s="1"/>
      <c r="D27" s="1"/>
      <c r="E27" s="1"/>
      <c r="F27" s="1"/>
      <c r="G27" s="1"/>
      <c r="H27" s="1"/>
      <c r="I27" s="1"/>
    </row>
    <row r="28" spans="2:9" ht="15.75" customHeight="1" x14ac:dyDescent="0.25">
      <c r="B28" s="1"/>
      <c r="C28" s="1"/>
      <c r="D28" s="1"/>
      <c r="E28" s="1"/>
      <c r="F28" s="1"/>
      <c r="G28" s="1"/>
      <c r="H28" s="1"/>
      <c r="I28" s="1"/>
    </row>
    <row r="29" spans="2:9" ht="15.75" customHeight="1" x14ac:dyDescent="0.25">
      <c r="B29" s="1"/>
      <c r="C29" s="1"/>
      <c r="D29" s="1"/>
      <c r="E29" s="1"/>
      <c r="F29" s="1"/>
      <c r="G29" s="1"/>
      <c r="H29" s="1"/>
      <c r="I29" s="1"/>
    </row>
    <row r="30" spans="2:9" ht="15.75" customHeight="1" x14ac:dyDescent="0.25">
      <c r="B30" s="1"/>
      <c r="C30" s="1"/>
      <c r="D30" s="1"/>
      <c r="E30" s="1"/>
      <c r="F30" s="1"/>
      <c r="G30" s="1"/>
      <c r="H30" s="1"/>
      <c r="I30" s="1"/>
    </row>
    <row r="31" spans="2:9" ht="15.75" customHeight="1" x14ac:dyDescent="0.25">
      <c r="B31" s="1"/>
      <c r="C31" s="1"/>
      <c r="D31" s="1"/>
      <c r="E31" s="1"/>
      <c r="F31" s="1"/>
      <c r="G31" s="1"/>
      <c r="H31" s="1"/>
      <c r="I31" s="1"/>
    </row>
    <row r="32" spans="2:9" ht="15.75" customHeight="1" x14ac:dyDescent="0.25">
      <c r="B32" s="1"/>
      <c r="C32" s="1"/>
      <c r="D32" s="1"/>
      <c r="E32" s="1"/>
      <c r="F32" s="1"/>
      <c r="G32" s="1"/>
      <c r="H32" s="1"/>
      <c r="I32" s="1"/>
    </row>
    <row r="33" spans="2:9" ht="15.75" customHeight="1" x14ac:dyDescent="0.25">
      <c r="B33" s="1"/>
      <c r="C33" s="1"/>
      <c r="D33" s="1"/>
      <c r="E33" s="1"/>
      <c r="F33" s="1"/>
      <c r="G33" s="1"/>
      <c r="H33" s="1"/>
      <c r="I33" s="1"/>
    </row>
    <row r="34" spans="2:9" ht="15.75" customHeight="1" x14ac:dyDescent="0.25">
      <c r="B34" s="1"/>
      <c r="C34" s="1"/>
      <c r="D34" s="1"/>
      <c r="E34" s="1"/>
      <c r="F34" s="1"/>
      <c r="G34" s="1"/>
      <c r="H34" s="1"/>
      <c r="I34" s="1"/>
    </row>
    <row r="35" spans="2:9" ht="15.75" customHeight="1" x14ac:dyDescent="0.25">
      <c r="B35" s="1"/>
      <c r="C35" s="1"/>
      <c r="D35" s="1"/>
      <c r="E35" s="1"/>
      <c r="F35" s="1"/>
      <c r="G35" s="1"/>
      <c r="H35" s="1"/>
      <c r="I35" s="1"/>
    </row>
    <row r="36" spans="2:9" ht="15.75" customHeight="1" x14ac:dyDescent="0.25">
      <c r="B36" s="1"/>
      <c r="C36" s="1"/>
      <c r="D36" s="1"/>
      <c r="E36" s="1"/>
      <c r="F36" s="1"/>
      <c r="G36" s="1"/>
      <c r="H36" s="1"/>
      <c r="I36" s="1"/>
    </row>
    <row r="37" spans="2:9" ht="15.75" customHeight="1" x14ac:dyDescent="0.25">
      <c r="B37" s="1"/>
      <c r="C37" s="1"/>
      <c r="D37" s="1"/>
      <c r="E37" s="1"/>
      <c r="F37" s="1"/>
      <c r="G37" s="1"/>
      <c r="H37" s="1"/>
      <c r="I37" s="1"/>
    </row>
    <row r="38" spans="2:9" ht="15.75" customHeight="1" x14ac:dyDescent="0.25">
      <c r="B38" s="1"/>
      <c r="C38" s="1"/>
      <c r="D38" s="1"/>
      <c r="E38" s="1"/>
      <c r="F38" s="1"/>
      <c r="G38" s="1"/>
      <c r="H38" s="1"/>
      <c r="I38" s="1"/>
    </row>
    <row r="39" spans="2:9" ht="15.75" customHeight="1" x14ac:dyDescent="0.25">
      <c r="B39" s="1"/>
      <c r="C39" s="1"/>
      <c r="D39" s="1"/>
      <c r="E39" s="1"/>
      <c r="F39" s="1"/>
      <c r="G39" s="1"/>
      <c r="H39" s="1"/>
      <c r="I39" s="1"/>
    </row>
    <row r="40" spans="2:9" ht="15.75" customHeight="1" x14ac:dyDescent="0.25">
      <c r="B40" s="1"/>
      <c r="C40" s="1"/>
      <c r="D40" s="1"/>
      <c r="E40" s="1"/>
      <c r="F40" s="1"/>
      <c r="G40" s="1"/>
      <c r="H40" s="1"/>
      <c r="I40" s="1"/>
    </row>
    <row r="41" spans="2:9" ht="15.75" customHeight="1" x14ac:dyDescent="0.25">
      <c r="B41" s="1"/>
      <c r="C41" s="1"/>
      <c r="D41" s="1"/>
      <c r="E41" s="1"/>
      <c r="F41" s="1"/>
      <c r="G41" s="1"/>
      <c r="H41" s="1"/>
      <c r="I41" s="1"/>
    </row>
    <row r="42" spans="2:9" ht="15.75" customHeight="1" x14ac:dyDescent="0.25">
      <c r="B42" s="1"/>
      <c r="C42" s="1"/>
      <c r="D42" s="1"/>
      <c r="E42" s="1"/>
      <c r="F42" s="1"/>
      <c r="G42" s="1"/>
      <c r="H42" s="1"/>
      <c r="I42" s="1"/>
    </row>
    <row r="43" spans="2:9" ht="15.75" customHeight="1" x14ac:dyDescent="0.25">
      <c r="B43" s="1"/>
      <c r="C43" s="1"/>
      <c r="D43" s="1"/>
      <c r="E43" s="1"/>
      <c r="F43" s="1"/>
      <c r="G43" s="1"/>
      <c r="H43" s="1"/>
      <c r="I43" s="1"/>
    </row>
    <row r="44" spans="2:9" ht="15.75" customHeight="1" x14ac:dyDescent="0.25">
      <c r="B44" s="1"/>
      <c r="C44" s="1"/>
      <c r="D44" s="1"/>
      <c r="E44" s="1"/>
      <c r="F44" s="1"/>
      <c r="G44" s="1"/>
      <c r="H44" s="1"/>
      <c r="I44" s="1"/>
    </row>
    <row r="45" spans="2:9" ht="15.75" customHeight="1" x14ac:dyDescent="0.25">
      <c r="B45" s="1"/>
      <c r="C45" s="1"/>
      <c r="D45" s="1"/>
      <c r="E45" s="1"/>
      <c r="F45" s="1"/>
      <c r="G45" s="1"/>
      <c r="H45" s="1"/>
      <c r="I45" s="1"/>
    </row>
    <row r="46" spans="2:9" ht="15.75" customHeight="1" x14ac:dyDescent="0.25">
      <c r="B46" s="1"/>
      <c r="C46" s="1"/>
      <c r="D46" s="1"/>
      <c r="E46" s="1"/>
      <c r="F46" s="1"/>
      <c r="G46" s="1"/>
      <c r="H46" s="1"/>
      <c r="I46" s="1"/>
    </row>
    <row r="47" spans="2:9" ht="15.75" customHeight="1" x14ac:dyDescent="0.25">
      <c r="B47" s="1"/>
      <c r="C47" s="1"/>
      <c r="D47" s="1"/>
      <c r="E47" s="1"/>
      <c r="F47" s="1"/>
      <c r="G47" s="1"/>
      <c r="H47" s="1"/>
      <c r="I47" s="1"/>
    </row>
    <row r="48" spans="2:9" ht="15.75" customHeight="1" x14ac:dyDescent="0.25">
      <c r="B48" s="1"/>
      <c r="C48" s="1"/>
      <c r="D48" s="1"/>
      <c r="E48" s="1"/>
      <c r="F48" s="1"/>
      <c r="G48" s="1"/>
      <c r="H48" s="1"/>
      <c r="I48" s="1"/>
    </row>
    <row r="49" spans="2:9" ht="15.75" customHeight="1" x14ac:dyDescent="0.25">
      <c r="B49" s="1"/>
      <c r="C49" s="1"/>
      <c r="D49" s="1"/>
      <c r="E49" s="1"/>
      <c r="F49" s="1"/>
      <c r="G49" s="1"/>
      <c r="H49" s="1"/>
      <c r="I49" s="1"/>
    </row>
    <row r="50" spans="2:9" ht="15.75" customHeight="1" x14ac:dyDescent="0.25">
      <c r="B50" s="1"/>
      <c r="C50" s="1"/>
      <c r="D50" s="1"/>
      <c r="E50" s="1"/>
      <c r="F50" s="1"/>
      <c r="G50" s="1"/>
      <c r="H50" s="1"/>
      <c r="I50" s="1"/>
    </row>
    <row r="51" spans="2:9" ht="15.75" customHeight="1" x14ac:dyDescent="0.25">
      <c r="B51" s="1"/>
      <c r="C51" s="1"/>
      <c r="D51" s="1"/>
      <c r="E51" s="1"/>
      <c r="F51" s="1"/>
      <c r="G51" s="1"/>
      <c r="H51" s="1"/>
      <c r="I51" s="1"/>
    </row>
    <row r="52" spans="2:9" ht="15.75" customHeight="1" x14ac:dyDescent="0.25">
      <c r="B52" s="1"/>
      <c r="C52" s="1"/>
      <c r="D52" s="1"/>
      <c r="E52" s="1"/>
      <c r="F52" s="1"/>
      <c r="G52" s="1"/>
      <c r="H52" s="1"/>
      <c r="I52" s="1"/>
    </row>
    <row r="53" spans="2:9" ht="15.75" customHeight="1" x14ac:dyDescent="0.25">
      <c r="B53" s="1"/>
      <c r="C53" s="1"/>
      <c r="D53" s="1"/>
      <c r="E53" s="1"/>
      <c r="F53" s="1"/>
      <c r="G53" s="1"/>
      <c r="H53" s="1"/>
      <c r="I53" s="1"/>
    </row>
    <row r="54" spans="2:9" ht="15.75" customHeight="1" x14ac:dyDescent="0.25">
      <c r="B54" s="1"/>
      <c r="C54" s="1"/>
      <c r="D54" s="1"/>
      <c r="E54" s="1"/>
      <c r="F54" s="1"/>
      <c r="G54" s="1"/>
      <c r="H54" s="1"/>
      <c r="I54" s="1"/>
    </row>
    <row r="55" spans="2:9" ht="15.75" customHeight="1" x14ac:dyDescent="0.25">
      <c r="B55" s="1"/>
      <c r="C55" s="1"/>
      <c r="D55" s="1"/>
      <c r="E55" s="1"/>
      <c r="F55" s="1"/>
      <c r="G55" s="1"/>
      <c r="H55" s="1"/>
      <c r="I55" s="1"/>
    </row>
    <row r="56" spans="2:9" ht="15.75" customHeight="1" x14ac:dyDescent="0.25">
      <c r="B56" s="1"/>
      <c r="C56" s="1"/>
      <c r="D56" s="1"/>
      <c r="E56" s="1"/>
      <c r="F56" s="1"/>
      <c r="G56" s="1"/>
      <c r="H56" s="1"/>
      <c r="I56" s="1"/>
    </row>
    <row r="57" spans="2:9" ht="15.75" customHeight="1" x14ac:dyDescent="0.25">
      <c r="B57" s="1"/>
      <c r="C57" s="1"/>
      <c r="D57" s="1"/>
      <c r="E57" s="1"/>
      <c r="F57" s="1"/>
      <c r="G57" s="1"/>
      <c r="H57" s="1"/>
      <c r="I57" s="1"/>
    </row>
    <row r="58" spans="2:9" ht="15.75" customHeight="1" x14ac:dyDescent="0.25">
      <c r="B58" s="1"/>
      <c r="C58" s="1"/>
      <c r="D58" s="1"/>
      <c r="E58" s="1"/>
      <c r="F58" s="1"/>
      <c r="G58" s="1"/>
      <c r="H58" s="1"/>
      <c r="I58" s="1"/>
    </row>
    <row r="59" spans="2:9" ht="15.75" customHeight="1" x14ac:dyDescent="0.25">
      <c r="B59" s="1"/>
      <c r="C59" s="1"/>
      <c r="D59" s="1"/>
      <c r="E59" s="1"/>
      <c r="F59" s="1"/>
      <c r="G59" s="1"/>
      <c r="H59" s="1"/>
      <c r="I59" s="1"/>
    </row>
    <row r="60" spans="2:9" ht="15.75" customHeight="1" x14ac:dyDescent="0.25">
      <c r="B60" s="1"/>
      <c r="C60" s="1"/>
      <c r="D60" s="1"/>
      <c r="E60" s="1"/>
      <c r="F60" s="1"/>
      <c r="G60" s="1"/>
      <c r="H60" s="1"/>
      <c r="I60" s="1"/>
    </row>
    <row r="61" spans="2:9" ht="15.75" customHeight="1" x14ac:dyDescent="0.25">
      <c r="B61" s="1"/>
      <c r="C61" s="1"/>
      <c r="D61" s="1"/>
      <c r="E61" s="1"/>
      <c r="F61" s="1"/>
      <c r="G61" s="1"/>
      <c r="H61" s="1"/>
      <c r="I61" s="1"/>
    </row>
    <row r="62" spans="2:9" ht="15.75" customHeight="1" x14ac:dyDescent="0.25">
      <c r="B62" s="1"/>
      <c r="C62" s="1"/>
      <c r="D62" s="1"/>
      <c r="E62" s="1"/>
      <c r="F62" s="1"/>
      <c r="G62" s="1"/>
      <c r="H62" s="1"/>
      <c r="I62" s="1"/>
    </row>
    <row r="63" spans="2:9" ht="15.75" customHeight="1" x14ac:dyDescent="0.25">
      <c r="B63" s="1"/>
      <c r="C63" s="1"/>
      <c r="D63" s="1"/>
      <c r="E63" s="1"/>
      <c r="F63" s="1"/>
      <c r="G63" s="1"/>
      <c r="H63" s="1"/>
      <c r="I63" s="1"/>
    </row>
    <row r="64" spans="2:9" ht="15.75" customHeight="1" x14ac:dyDescent="0.25">
      <c r="B64" s="1"/>
      <c r="C64" s="1"/>
      <c r="D64" s="1"/>
      <c r="E64" s="1"/>
      <c r="F64" s="1"/>
      <c r="G64" s="1"/>
      <c r="H64" s="1"/>
      <c r="I64" s="1"/>
    </row>
    <row r="65" spans="2:9" ht="15.75" customHeight="1" x14ac:dyDescent="0.25">
      <c r="B65" s="1"/>
      <c r="C65" s="1"/>
      <c r="D65" s="1"/>
      <c r="E65" s="1"/>
      <c r="F65" s="1"/>
      <c r="G65" s="1"/>
      <c r="H65" s="1"/>
      <c r="I65" s="1"/>
    </row>
    <row r="66" spans="2:9" ht="15.75" customHeight="1" x14ac:dyDescent="0.25">
      <c r="B66" s="1"/>
      <c r="C66" s="1"/>
      <c r="D66" s="1"/>
      <c r="E66" s="1"/>
      <c r="F66" s="1"/>
      <c r="G66" s="1"/>
      <c r="H66" s="1"/>
      <c r="I66" s="1"/>
    </row>
    <row r="67" spans="2:9" ht="15.75" customHeight="1" x14ac:dyDescent="0.25">
      <c r="B67" s="1"/>
      <c r="C67" s="1"/>
      <c r="D67" s="1"/>
      <c r="E67" s="1"/>
      <c r="F67" s="1"/>
      <c r="G67" s="1"/>
      <c r="H67" s="1"/>
      <c r="I67" s="1"/>
    </row>
    <row r="68" spans="2:9" ht="15.75" customHeight="1" x14ac:dyDescent="0.25">
      <c r="B68" s="1"/>
      <c r="C68" s="1"/>
      <c r="D68" s="1"/>
      <c r="E68" s="1"/>
      <c r="F68" s="1"/>
      <c r="G68" s="1"/>
      <c r="H68" s="1"/>
      <c r="I68" s="1"/>
    </row>
    <row r="69" spans="2:9" ht="15.75" customHeight="1" x14ac:dyDescent="0.25">
      <c r="B69" s="1"/>
      <c r="C69" s="1"/>
      <c r="D69" s="1"/>
      <c r="E69" s="1"/>
      <c r="F69" s="1"/>
      <c r="G69" s="1"/>
      <c r="H69" s="1"/>
      <c r="I69" s="1"/>
    </row>
    <row r="70" spans="2:9" ht="15.75" customHeight="1" x14ac:dyDescent="0.25">
      <c r="B70" s="1"/>
      <c r="C70" s="1"/>
      <c r="D70" s="1"/>
      <c r="E70" s="1"/>
      <c r="F70" s="1"/>
      <c r="G70" s="1"/>
      <c r="H70" s="1"/>
      <c r="I70" s="1"/>
    </row>
    <row r="71" spans="2:9" ht="15.75" customHeight="1" x14ac:dyDescent="0.25">
      <c r="B71" s="1"/>
      <c r="C71" s="1"/>
      <c r="D71" s="1"/>
      <c r="E71" s="1"/>
      <c r="F71" s="1"/>
      <c r="G71" s="1"/>
      <c r="H71" s="1"/>
      <c r="I71" s="1"/>
    </row>
    <row r="72" spans="2:9" ht="15.75" customHeight="1" x14ac:dyDescent="0.25">
      <c r="B72" s="1"/>
      <c r="C72" s="1"/>
      <c r="D72" s="1"/>
      <c r="E72" s="1"/>
      <c r="F72" s="1"/>
      <c r="G72" s="1"/>
      <c r="H72" s="1"/>
      <c r="I72" s="1"/>
    </row>
    <row r="73" spans="2:9" ht="15.75" customHeight="1" x14ac:dyDescent="0.25">
      <c r="B73" s="1"/>
      <c r="C73" s="1"/>
      <c r="D73" s="1"/>
      <c r="E73" s="1"/>
      <c r="F73" s="1"/>
      <c r="G73" s="1"/>
      <c r="H73" s="1"/>
      <c r="I73" s="1"/>
    </row>
    <row r="74" spans="2:9" ht="15.75" customHeight="1" x14ac:dyDescent="0.25">
      <c r="B74" s="1"/>
      <c r="C74" s="1"/>
      <c r="D74" s="1"/>
      <c r="E74" s="1"/>
      <c r="F74" s="1"/>
      <c r="G74" s="1"/>
      <c r="H74" s="1"/>
      <c r="I74" s="1"/>
    </row>
    <row r="75" spans="2:9" ht="15.75" customHeight="1" x14ac:dyDescent="0.25">
      <c r="B75" s="1"/>
      <c r="C75" s="1"/>
      <c r="D75" s="1"/>
      <c r="E75" s="1"/>
      <c r="F75" s="1"/>
      <c r="G75" s="1"/>
      <c r="H75" s="1"/>
      <c r="I75" s="1"/>
    </row>
    <row r="76" spans="2:9" ht="15.75" customHeight="1" x14ac:dyDescent="0.25">
      <c r="B76" s="1"/>
      <c r="C76" s="1"/>
      <c r="D76" s="1"/>
      <c r="E76" s="1"/>
      <c r="F76" s="1"/>
      <c r="G76" s="1"/>
      <c r="H76" s="1"/>
      <c r="I76" s="1"/>
    </row>
    <row r="77" spans="2:9" ht="15.75" customHeight="1" x14ac:dyDescent="0.25">
      <c r="B77" s="1"/>
      <c r="C77" s="1"/>
      <c r="D77" s="1"/>
      <c r="E77" s="1"/>
      <c r="F77" s="1"/>
      <c r="G77" s="1"/>
      <c r="H77" s="1"/>
      <c r="I77" s="1"/>
    </row>
    <row r="78" spans="2:9" ht="15.75" customHeight="1" x14ac:dyDescent="0.25">
      <c r="B78" s="1"/>
      <c r="C78" s="1"/>
      <c r="D78" s="1"/>
      <c r="E78" s="1"/>
      <c r="F78" s="1"/>
      <c r="G78" s="1"/>
      <c r="H78" s="1"/>
      <c r="I78" s="1"/>
    </row>
    <row r="79" spans="2:9" ht="15.75" customHeight="1" x14ac:dyDescent="0.25">
      <c r="B79" s="1"/>
      <c r="C79" s="1"/>
      <c r="D79" s="1"/>
      <c r="E79" s="1"/>
      <c r="F79" s="1"/>
      <c r="G79" s="1"/>
      <c r="H79" s="1"/>
      <c r="I79" s="1"/>
    </row>
    <row r="80" spans="2:9" ht="15.75" customHeight="1" x14ac:dyDescent="0.25">
      <c r="B80" s="1"/>
      <c r="C80" s="1"/>
      <c r="D80" s="1"/>
      <c r="E80" s="1"/>
      <c r="F80" s="1"/>
      <c r="G80" s="1"/>
      <c r="H80" s="1"/>
      <c r="I80" s="1"/>
    </row>
    <row r="81" spans="2:9" ht="15.75" customHeight="1" x14ac:dyDescent="0.25">
      <c r="B81" s="1"/>
      <c r="C81" s="1"/>
      <c r="D81" s="1"/>
      <c r="E81" s="1"/>
      <c r="F81" s="1"/>
      <c r="G81" s="1"/>
      <c r="H81" s="1"/>
      <c r="I81" s="1"/>
    </row>
    <row r="82" spans="2:9" ht="15.75" customHeight="1" x14ac:dyDescent="0.25">
      <c r="B82" s="1"/>
      <c r="C82" s="1"/>
      <c r="D82" s="1"/>
      <c r="E82" s="1"/>
      <c r="F82" s="1"/>
      <c r="G82" s="1"/>
      <c r="H82" s="1"/>
      <c r="I82" s="1"/>
    </row>
    <row r="83" spans="2:9" ht="15.75" customHeight="1" x14ac:dyDescent="0.25">
      <c r="B83" s="1"/>
      <c r="C83" s="1"/>
      <c r="D83" s="1"/>
      <c r="E83" s="1"/>
      <c r="F83" s="1"/>
      <c r="G83" s="1"/>
      <c r="H83" s="1"/>
      <c r="I83" s="1"/>
    </row>
    <row r="84" spans="2:9" ht="15.75" customHeight="1" x14ac:dyDescent="0.25">
      <c r="B84" s="1"/>
      <c r="C84" s="1"/>
      <c r="D84" s="1"/>
      <c r="E84" s="1"/>
      <c r="F84" s="1"/>
      <c r="G84" s="1"/>
      <c r="H84" s="1"/>
      <c r="I84" s="1"/>
    </row>
    <row r="85" spans="2:9" ht="15.75" customHeight="1" x14ac:dyDescent="0.25">
      <c r="B85" s="1"/>
      <c r="C85" s="1"/>
      <c r="D85" s="1"/>
      <c r="E85" s="1"/>
      <c r="F85" s="1"/>
      <c r="G85" s="1"/>
      <c r="H85" s="1"/>
      <c r="I85" s="1"/>
    </row>
    <row r="86" spans="2:9" ht="15.75" customHeight="1" x14ac:dyDescent="0.25">
      <c r="B86" s="1"/>
      <c r="C86" s="1"/>
      <c r="D86" s="1"/>
      <c r="E86" s="1"/>
      <c r="F86" s="1"/>
      <c r="G86" s="1"/>
      <c r="H86" s="1"/>
      <c r="I86" s="1"/>
    </row>
    <row r="87" spans="2:9" ht="15.75" customHeight="1" x14ac:dyDescent="0.25">
      <c r="B87" s="1"/>
      <c r="C87" s="1"/>
      <c r="D87" s="1"/>
      <c r="E87" s="1"/>
      <c r="F87" s="1"/>
      <c r="G87" s="1"/>
      <c r="H87" s="1"/>
      <c r="I87" s="1"/>
    </row>
    <row r="88" spans="2:9" ht="15.75" customHeight="1" x14ac:dyDescent="0.25">
      <c r="B88" s="1"/>
      <c r="C88" s="1"/>
      <c r="D88" s="1"/>
      <c r="E88" s="1"/>
      <c r="F88" s="1"/>
      <c r="G88" s="1"/>
      <c r="H88" s="1"/>
      <c r="I88" s="1"/>
    </row>
    <row r="89" spans="2:9" ht="15.75" customHeight="1" x14ac:dyDescent="0.25">
      <c r="B89" s="1"/>
      <c r="C89" s="1"/>
      <c r="D89" s="1"/>
      <c r="E89" s="1"/>
      <c r="F89" s="1"/>
      <c r="G89" s="1"/>
      <c r="H89" s="1"/>
      <c r="I89" s="1"/>
    </row>
    <row r="90" spans="2:9" ht="15.75" customHeight="1" x14ac:dyDescent="0.25">
      <c r="B90" s="1"/>
      <c r="C90" s="1"/>
      <c r="D90" s="1"/>
      <c r="E90" s="1"/>
      <c r="F90" s="1"/>
      <c r="G90" s="1"/>
      <c r="H90" s="1"/>
      <c r="I90" s="1"/>
    </row>
    <row r="91" spans="2:9" ht="15.75" customHeight="1" x14ac:dyDescent="0.25">
      <c r="B91" s="1"/>
      <c r="C91" s="1"/>
      <c r="D91" s="1"/>
      <c r="E91" s="1"/>
      <c r="F91" s="1"/>
      <c r="G91" s="1"/>
      <c r="H91" s="1"/>
      <c r="I91" s="1"/>
    </row>
    <row r="92" spans="2:9" ht="15.75" customHeight="1" x14ac:dyDescent="0.25">
      <c r="B92" s="1"/>
      <c r="C92" s="1"/>
      <c r="D92" s="1"/>
      <c r="E92" s="1"/>
      <c r="F92" s="1"/>
      <c r="G92" s="1"/>
      <c r="H92" s="1"/>
      <c r="I92" s="1"/>
    </row>
    <row r="93" spans="2:9" ht="15.75" customHeight="1" x14ac:dyDescent="0.25">
      <c r="B93" s="1"/>
      <c r="C93" s="1"/>
      <c r="D93" s="1"/>
      <c r="E93" s="1"/>
      <c r="F93" s="1"/>
      <c r="G93" s="1"/>
      <c r="H93" s="1"/>
      <c r="I93" s="1"/>
    </row>
    <row r="94" spans="2:9" ht="15.75" customHeight="1" x14ac:dyDescent="0.25">
      <c r="B94" s="1"/>
      <c r="C94" s="1"/>
      <c r="D94" s="1"/>
      <c r="E94" s="1"/>
      <c r="F94" s="1"/>
      <c r="G94" s="1"/>
      <c r="H94" s="1"/>
      <c r="I94" s="1"/>
    </row>
    <row r="95" spans="2:9" ht="15.75" customHeight="1" x14ac:dyDescent="0.25">
      <c r="B95" s="1"/>
      <c r="C95" s="1"/>
      <c r="D95" s="1"/>
      <c r="E95" s="1"/>
      <c r="F95" s="1"/>
      <c r="G95" s="1"/>
      <c r="H95" s="1"/>
      <c r="I95" s="1"/>
    </row>
    <row r="96" spans="2:9" ht="15.75" customHeight="1" x14ac:dyDescent="0.25">
      <c r="B96" s="1"/>
      <c r="C96" s="1"/>
      <c r="D96" s="1"/>
      <c r="E96" s="1"/>
      <c r="F96" s="1"/>
      <c r="G96" s="1"/>
      <c r="H96" s="1"/>
      <c r="I96" s="1"/>
    </row>
    <row r="97" spans="2:9" ht="15.75" customHeight="1" x14ac:dyDescent="0.25">
      <c r="B97" s="1"/>
      <c r="C97" s="1"/>
      <c r="D97" s="1"/>
      <c r="E97" s="1"/>
      <c r="F97" s="1"/>
      <c r="G97" s="1"/>
      <c r="H97" s="1"/>
      <c r="I97" s="1"/>
    </row>
    <row r="98" spans="2:9" ht="15.75" customHeight="1" x14ac:dyDescent="0.25">
      <c r="B98" s="1"/>
      <c r="C98" s="1"/>
      <c r="D98" s="1"/>
      <c r="E98" s="1"/>
      <c r="F98" s="1"/>
      <c r="G98" s="1"/>
      <c r="H98" s="1"/>
      <c r="I98" s="1"/>
    </row>
    <row r="99" spans="2:9" ht="15.75" customHeight="1" x14ac:dyDescent="0.25">
      <c r="B99" s="1"/>
      <c r="C99" s="1"/>
      <c r="D99" s="1"/>
      <c r="E99" s="1"/>
      <c r="F99" s="1"/>
      <c r="G99" s="1"/>
      <c r="H99" s="1"/>
      <c r="I99" s="1"/>
    </row>
    <row r="100" spans="2:9" ht="15.75" customHeight="1" x14ac:dyDescent="0.25">
      <c r="B100" s="1"/>
      <c r="C100" s="1"/>
      <c r="D100" s="1"/>
      <c r="E100" s="1"/>
      <c r="F100" s="1"/>
      <c r="G100" s="1"/>
      <c r="H100" s="1"/>
      <c r="I100" s="1"/>
    </row>
    <row r="101" spans="2:9" ht="15.75" customHeight="1" x14ac:dyDescent="0.25">
      <c r="B101" s="1"/>
      <c r="C101" s="1"/>
      <c r="D101" s="1"/>
      <c r="E101" s="1"/>
      <c r="F101" s="1"/>
      <c r="G101" s="1"/>
      <c r="H101" s="1"/>
      <c r="I101" s="1"/>
    </row>
    <row r="102" spans="2:9" ht="15.75" customHeight="1" x14ac:dyDescent="0.25">
      <c r="B102" s="1"/>
      <c r="C102" s="1"/>
      <c r="D102" s="1"/>
      <c r="E102" s="1"/>
      <c r="F102" s="1"/>
      <c r="G102" s="1"/>
      <c r="H102" s="1"/>
      <c r="I102" s="1"/>
    </row>
    <row r="103" spans="2:9" ht="15.75" customHeight="1" x14ac:dyDescent="0.25">
      <c r="B103" s="1"/>
      <c r="C103" s="1"/>
      <c r="D103" s="1"/>
      <c r="E103" s="1"/>
      <c r="F103" s="1"/>
      <c r="G103" s="1"/>
      <c r="H103" s="1"/>
      <c r="I103" s="1"/>
    </row>
    <row r="104" spans="2:9" ht="15.75" customHeight="1" x14ac:dyDescent="0.25">
      <c r="B104" s="1"/>
      <c r="C104" s="1"/>
      <c r="D104" s="1"/>
      <c r="E104" s="1"/>
      <c r="F104" s="1"/>
      <c r="G104" s="1"/>
      <c r="H104" s="1"/>
      <c r="I104" s="1"/>
    </row>
    <row r="105" spans="2:9" ht="15.75" customHeight="1" x14ac:dyDescent="0.25">
      <c r="B105" s="1"/>
      <c r="C105" s="1"/>
      <c r="D105" s="1"/>
      <c r="E105" s="1"/>
      <c r="F105" s="1"/>
      <c r="G105" s="1"/>
      <c r="H105" s="1"/>
      <c r="I105" s="1"/>
    </row>
    <row r="106" spans="2:9" ht="15.75" customHeight="1" x14ac:dyDescent="0.25">
      <c r="B106" s="1"/>
      <c r="C106" s="1"/>
      <c r="D106" s="1"/>
      <c r="E106" s="1"/>
      <c r="F106" s="1"/>
      <c r="G106" s="1"/>
      <c r="H106" s="1"/>
      <c r="I106" s="1"/>
    </row>
    <row r="107" spans="2:9" ht="15.75" customHeight="1" x14ac:dyDescent="0.25">
      <c r="B107" s="1"/>
      <c r="C107" s="1"/>
      <c r="D107" s="1"/>
      <c r="E107" s="1"/>
      <c r="F107" s="1"/>
      <c r="G107" s="1"/>
      <c r="H107" s="1"/>
      <c r="I107" s="1"/>
    </row>
    <row r="108" spans="2:9" ht="15.75" customHeight="1" x14ac:dyDescent="0.25">
      <c r="B108" s="1"/>
      <c r="C108" s="1"/>
      <c r="D108" s="1"/>
      <c r="E108" s="1"/>
      <c r="F108" s="1"/>
      <c r="G108" s="1"/>
      <c r="H108" s="1"/>
      <c r="I108" s="1"/>
    </row>
    <row r="109" spans="2:9" ht="15.75" customHeight="1" x14ac:dyDescent="0.25">
      <c r="B109" s="1"/>
      <c r="C109" s="1"/>
      <c r="D109" s="1"/>
      <c r="E109" s="1"/>
      <c r="F109" s="1"/>
      <c r="G109" s="1"/>
      <c r="H109" s="1"/>
      <c r="I109" s="1"/>
    </row>
    <row r="110" spans="2:9" ht="15.75" customHeight="1" x14ac:dyDescent="0.25">
      <c r="B110" s="1"/>
      <c r="C110" s="1"/>
      <c r="D110" s="1"/>
      <c r="E110" s="1"/>
      <c r="F110" s="1"/>
      <c r="G110" s="1"/>
      <c r="H110" s="1"/>
      <c r="I110" s="1"/>
    </row>
    <row r="111" spans="2:9" ht="15.75" customHeight="1" x14ac:dyDescent="0.25">
      <c r="B111" s="1"/>
      <c r="C111" s="1"/>
      <c r="D111" s="1"/>
      <c r="E111" s="1"/>
      <c r="F111" s="1"/>
      <c r="G111" s="1"/>
      <c r="H111" s="1"/>
      <c r="I111" s="1"/>
    </row>
    <row r="112" spans="2:9" ht="15.75" customHeight="1" x14ac:dyDescent="0.25">
      <c r="B112" s="1"/>
      <c r="C112" s="1"/>
      <c r="D112" s="1"/>
      <c r="E112" s="1"/>
      <c r="F112" s="1"/>
      <c r="G112" s="1"/>
      <c r="H112" s="1"/>
      <c r="I112" s="1"/>
    </row>
    <row r="113" spans="2:9" ht="15.75" customHeight="1" x14ac:dyDescent="0.25">
      <c r="B113" s="1"/>
      <c r="C113" s="1"/>
      <c r="D113" s="1"/>
      <c r="E113" s="1"/>
      <c r="F113" s="1"/>
      <c r="G113" s="1"/>
      <c r="H113" s="1"/>
      <c r="I113" s="1"/>
    </row>
    <row r="114" spans="2:9" ht="15.75" customHeight="1" x14ac:dyDescent="0.25">
      <c r="B114" s="1"/>
      <c r="C114" s="1"/>
      <c r="D114" s="1"/>
      <c r="E114" s="1"/>
      <c r="F114" s="1"/>
      <c r="G114" s="1"/>
      <c r="H114" s="1"/>
      <c r="I114" s="1"/>
    </row>
    <row r="115" spans="2:9" ht="15.75" customHeight="1" x14ac:dyDescent="0.25">
      <c r="B115" s="1"/>
      <c r="C115" s="1"/>
      <c r="D115" s="1"/>
      <c r="E115" s="1"/>
      <c r="F115" s="1"/>
      <c r="G115" s="1"/>
      <c r="H115" s="1"/>
      <c r="I115" s="1"/>
    </row>
    <row r="116" spans="2:9" ht="15.75" customHeight="1" x14ac:dyDescent="0.25">
      <c r="B116" s="1"/>
      <c r="C116" s="1"/>
      <c r="D116" s="1"/>
      <c r="E116" s="1"/>
      <c r="F116" s="1"/>
      <c r="G116" s="1"/>
      <c r="H116" s="1"/>
      <c r="I116" s="1"/>
    </row>
    <row r="117" spans="2:9" ht="15.75" customHeight="1" x14ac:dyDescent="0.25">
      <c r="B117" s="1"/>
      <c r="C117" s="1"/>
      <c r="D117" s="1"/>
      <c r="E117" s="1"/>
      <c r="F117" s="1"/>
      <c r="G117" s="1"/>
      <c r="H117" s="1"/>
      <c r="I117" s="1"/>
    </row>
    <row r="118" spans="2:9" ht="15.75" customHeight="1" x14ac:dyDescent="0.25">
      <c r="B118" s="1"/>
      <c r="C118" s="1"/>
      <c r="D118" s="1"/>
      <c r="E118" s="1"/>
      <c r="F118" s="1"/>
      <c r="G118" s="1"/>
      <c r="H118" s="1"/>
      <c r="I118" s="1"/>
    </row>
    <row r="119" spans="2:9" ht="15.75" customHeight="1" x14ac:dyDescent="0.25">
      <c r="B119" s="1"/>
      <c r="C119" s="1"/>
      <c r="D119" s="1"/>
      <c r="E119" s="1"/>
      <c r="F119" s="1"/>
      <c r="G119" s="1"/>
      <c r="H119" s="1"/>
      <c r="I119" s="1"/>
    </row>
    <row r="120" spans="2:9" ht="15.75" customHeight="1" x14ac:dyDescent="0.25">
      <c r="B120" s="1"/>
      <c r="C120" s="1"/>
      <c r="D120" s="1"/>
      <c r="E120" s="1"/>
      <c r="F120" s="1"/>
      <c r="G120" s="1"/>
      <c r="H120" s="1"/>
      <c r="I120" s="1"/>
    </row>
    <row r="121" spans="2:9" ht="15.75" customHeight="1" x14ac:dyDescent="0.25">
      <c r="B121" s="1"/>
      <c r="C121" s="1"/>
      <c r="D121" s="1"/>
      <c r="E121" s="1"/>
      <c r="F121" s="1"/>
      <c r="G121" s="1"/>
      <c r="H121" s="1"/>
      <c r="I121" s="1"/>
    </row>
    <row r="122" spans="2:9" ht="15.75" customHeight="1" x14ac:dyDescent="0.25">
      <c r="B122" s="1"/>
      <c r="C122" s="1"/>
      <c r="D122" s="1"/>
      <c r="E122" s="1"/>
      <c r="F122" s="1"/>
      <c r="G122" s="1"/>
      <c r="H122" s="1"/>
      <c r="I122" s="1"/>
    </row>
    <row r="123" spans="2:9" ht="15.75" customHeight="1" x14ac:dyDescent="0.25">
      <c r="B123" s="1"/>
      <c r="C123" s="1"/>
      <c r="D123" s="1"/>
      <c r="E123" s="1"/>
      <c r="F123" s="1"/>
      <c r="G123" s="1"/>
      <c r="H123" s="1"/>
      <c r="I123" s="1"/>
    </row>
    <row r="124" spans="2:9" ht="15.75" customHeight="1" x14ac:dyDescent="0.25">
      <c r="B124" s="1"/>
      <c r="C124" s="1"/>
      <c r="D124" s="1"/>
      <c r="E124" s="1"/>
      <c r="F124" s="1"/>
      <c r="G124" s="1"/>
      <c r="H124" s="1"/>
      <c r="I124" s="1"/>
    </row>
    <row r="125" spans="2:9" ht="15.75" customHeight="1" x14ac:dyDescent="0.25">
      <c r="B125" s="1"/>
      <c r="C125" s="1"/>
      <c r="D125" s="1"/>
      <c r="E125" s="1"/>
      <c r="F125" s="1"/>
      <c r="G125" s="1"/>
      <c r="H125" s="1"/>
      <c r="I125" s="1"/>
    </row>
    <row r="126" spans="2:9" ht="15.75" customHeight="1" x14ac:dyDescent="0.25">
      <c r="B126" s="1"/>
      <c r="C126" s="1"/>
      <c r="D126" s="1"/>
      <c r="E126" s="1"/>
      <c r="F126" s="1"/>
      <c r="G126" s="1"/>
      <c r="H126" s="1"/>
      <c r="I126" s="1"/>
    </row>
    <row r="127" spans="2:9" ht="15.75" customHeight="1" x14ac:dyDescent="0.25">
      <c r="B127" s="1"/>
      <c r="C127" s="1"/>
      <c r="D127" s="1"/>
      <c r="E127" s="1"/>
      <c r="F127" s="1"/>
      <c r="G127" s="1"/>
      <c r="H127" s="1"/>
      <c r="I127" s="1"/>
    </row>
    <row r="128" spans="2:9" ht="15.75" customHeight="1" x14ac:dyDescent="0.25">
      <c r="B128" s="1"/>
      <c r="C128" s="1"/>
      <c r="D128" s="1"/>
      <c r="E128" s="1"/>
      <c r="F128" s="1"/>
      <c r="G128" s="1"/>
      <c r="H128" s="1"/>
      <c r="I128" s="1"/>
    </row>
    <row r="129" spans="2:9" ht="15.75" customHeight="1" x14ac:dyDescent="0.25">
      <c r="B129" s="1"/>
      <c r="C129" s="1"/>
      <c r="D129" s="1"/>
      <c r="E129" s="1"/>
      <c r="F129" s="1"/>
      <c r="G129" s="1"/>
      <c r="H129" s="1"/>
      <c r="I129" s="1"/>
    </row>
    <row r="130" spans="2:9" ht="15.75" customHeight="1" x14ac:dyDescent="0.25">
      <c r="B130" s="1"/>
      <c r="C130" s="1"/>
      <c r="D130" s="1"/>
      <c r="E130" s="1"/>
      <c r="F130" s="1"/>
      <c r="G130" s="1"/>
      <c r="H130" s="1"/>
      <c r="I130" s="1"/>
    </row>
    <row r="131" spans="2:9" ht="15.75" customHeight="1" x14ac:dyDescent="0.25">
      <c r="B131" s="1"/>
      <c r="C131" s="1"/>
      <c r="D131" s="1"/>
      <c r="E131" s="1"/>
      <c r="F131" s="1"/>
      <c r="G131" s="1"/>
      <c r="H131" s="1"/>
      <c r="I131" s="1"/>
    </row>
    <row r="132" spans="2:9" ht="15.75" customHeight="1" x14ac:dyDescent="0.25">
      <c r="B132" s="1"/>
      <c r="C132" s="1"/>
      <c r="D132" s="1"/>
      <c r="E132" s="1"/>
      <c r="F132" s="1"/>
      <c r="G132" s="1"/>
      <c r="H132" s="1"/>
      <c r="I132" s="1"/>
    </row>
    <row r="133" spans="2:9" ht="15.75" customHeight="1" x14ac:dyDescent="0.25">
      <c r="B133" s="1"/>
      <c r="C133" s="1"/>
      <c r="D133" s="1"/>
      <c r="E133" s="1"/>
      <c r="F133" s="1"/>
      <c r="G133" s="1"/>
      <c r="H133" s="1"/>
      <c r="I133" s="1"/>
    </row>
    <row r="134" spans="2:9" ht="15.75" customHeight="1" x14ac:dyDescent="0.25">
      <c r="B134" s="1"/>
      <c r="C134" s="1"/>
      <c r="D134" s="1"/>
      <c r="E134" s="1"/>
      <c r="F134" s="1"/>
      <c r="G134" s="1"/>
      <c r="H134" s="1"/>
      <c r="I134" s="1"/>
    </row>
    <row r="135" spans="2:9" ht="15.75" customHeight="1" x14ac:dyDescent="0.25">
      <c r="B135" s="1"/>
      <c r="C135" s="1"/>
      <c r="D135" s="1"/>
      <c r="E135" s="1"/>
      <c r="F135" s="1"/>
      <c r="G135" s="1"/>
      <c r="H135" s="1"/>
      <c r="I135" s="1"/>
    </row>
    <row r="136" spans="2:9" ht="15.75" customHeight="1" x14ac:dyDescent="0.25">
      <c r="B136" s="1"/>
      <c r="C136" s="1"/>
      <c r="D136" s="1"/>
      <c r="E136" s="1"/>
      <c r="F136" s="1"/>
      <c r="G136" s="1"/>
      <c r="H136" s="1"/>
      <c r="I136" s="1"/>
    </row>
    <row r="137" spans="2:9" ht="15.75" customHeight="1" x14ac:dyDescent="0.25">
      <c r="B137" s="1"/>
      <c r="C137" s="1"/>
      <c r="D137" s="1"/>
      <c r="E137" s="1"/>
      <c r="F137" s="1"/>
      <c r="G137" s="1"/>
      <c r="H137" s="1"/>
      <c r="I137" s="1"/>
    </row>
    <row r="138" spans="2:9" ht="15.75" customHeight="1" x14ac:dyDescent="0.25">
      <c r="B138" s="1"/>
      <c r="C138" s="1"/>
      <c r="D138" s="1"/>
      <c r="E138" s="1"/>
      <c r="F138" s="1"/>
      <c r="G138" s="1"/>
      <c r="H138" s="1"/>
      <c r="I138" s="1"/>
    </row>
    <row r="139" spans="2:9" ht="15.75" customHeight="1" x14ac:dyDescent="0.25">
      <c r="B139" s="1"/>
      <c r="C139" s="1"/>
      <c r="D139" s="1"/>
      <c r="E139" s="1"/>
      <c r="F139" s="1"/>
      <c r="G139" s="1"/>
      <c r="H139" s="1"/>
      <c r="I139" s="1"/>
    </row>
    <row r="140" spans="2:9" ht="15.75" customHeight="1" x14ac:dyDescent="0.25">
      <c r="B140" s="1"/>
      <c r="C140" s="1"/>
      <c r="D140" s="1"/>
      <c r="E140" s="1"/>
      <c r="F140" s="1"/>
      <c r="G140" s="1"/>
      <c r="H140" s="1"/>
      <c r="I140" s="1"/>
    </row>
    <row r="141" spans="2:9" ht="15.75" customHeight="1" x14ac:dyDescent="0.25">
      <c r="B141" s="1"/>
      <c r="C141" s="1"/>
      <c r="D141" s="1"/>
      <c r="E141" s="1"/>
      <c r="F141" s="1"/>
      <c r="G141" s="1"/>
      <c r="H141" s="1"/>
      <c r="I141" s="1"/>
    </row>
    <row r="142" spans="2:9" ht="15.75" customHeight="1" x14ac:dyDescent="0.25">
      <c r="B142" s="1"/>
      <c r="C142" s="1"/>
      <c r="D142" s="1"/>
      <c r="E142" s="1"/>
      <c r="F142" s="1"/>
      <c r="G142" s="1"/>
      <c r="H142" s="1"/>
      <c r="I142" s="1"/>
    </row>
    <row r="143" spans="2:9" ht="15.75" customHeight="1" x14ac:dyDescent="0.25">
      <c r="B143" s="1"/>
      <c r="C143" s="1"/>
      <c r="D143" s="1"/>
      <c r="E143" s="1"/>
      <c r="F143" s="1"/>
      <c r="G143" s="1"/>
      <c r="H143" s="1"/>
      <c r="I143" s="1"/>
    </row>
    <row r="144" spans="2:9" ht="15.75" customHeight="1" x14ac:dyDescent="0.25">
      <c r="B144" s="1"/>
      <c r="C144" s="1"/>
      <c r="D144" s="1"/>
      <c r="E144" s="1"/>
      <c r="F144" s="1"/>
      <c r="G144" s="1"/>
      <c r="H144" s="1"/>
      <c r="I144" s="1"/>
    </row>
    <row r="145" spans="2:9" ht="15.75" customHeight="1" x14ac:dyDescent="0.25">
      <c r="B145" s="1"/>
      <c r="C145" s="1"/>
      <c r="D145" s="1"/>
      <c r="E145" s="1"/>
      <c r="F145" s="1"/>
      <c r="G145" s="1"/>
      <c r="H145" s="1"/>
      <c r="I145" s="1"/>
    </row>
    <row r="146" spans="2:9" ht="15.75" customHeight="1" x14ac:dyDescent="0.25">
      <c r="B146" s="1"/>
      <c r="C146" s="1"/>
      <c r="D146" s="1"/>
      <c r="E146" s="1"/>
      <c r="F146" s="1"/>
      <c r="G146" s="1"/>
      <c r="H146" s="1"/>
      <c r="I146" s="1"/>
    </row>
    <row r="147" spans="2:9" ht="15.75" customHeight="1" x14ac:dyDescent="0.25">
      <c r="B147" s="1"/>
      <c r="C147" s="1"/>
      <c r="D147" s="1"/>
      <c r="E147" s="1"/>
      <c r="F147" s="1"/>
      <c r="G147" s="1"/>
      <c r="H147" s="1"/>
      <c r="I147" s="1"/>
    </row>
    <row r="148" spans="2:9" ht="15.75" customHeight="1" x14ac:dyDescent="0.25">
      <c r="B148" s="1"/>
      <c r="C148" s="1"/>
      <c r="D148" s="1"/>
      <c r="E148" s="1"/>
      <c r="F148" s="1"/>
      <c r="G148" s="1"/>
      <c r="H148" s="1"/>
      <c r="I148" s="1"/>
    </row>
    <row r="149" spans="2:9" ht="15.75" customHeight="1" x14ac:dyDescent="0.25">
      <c r="B149" s="1"/>
      <c r="C149" s="1"/>
      <c r="D149" s="1"/>
      <c r="E149" s="1"/>
      <c r="F149" s="1"/>
      <c r="G149" s="1"/>
      <c r="H149" s="1"/>
      <c r="I149" s="1"/>
    </row>
    <row r="150" spans="2:9" ht="15.75" customHeight="1" x14ac:dyDescent="0.25">
      <c r="B150" s="1"/>
      <c r="C150" s="1"/>
      <c r="D150" s="1"/>
      <c r="E150" s="1"/>
      <c r="F150" s="1"/>
      <c r="G150" s="1"/>
      <c r="H150" s="1"/>
      <c r="I150" s="1"/>
    </row>
    <row r="151" spans="2:9" ht="15.75" customHeight="1" x14ac:dyDescent="0.25">
      <c r="B151" s="1"/>
      <c r="C151" s="1"/>
      <c r="D151" s="1"/>
      <c r="E151" s="1"/>
      <c r="F151" s="1"/>
      <c r="G151" s="1"/>
      <c r="H151" s="1"/>
      <c r="I151" s="1"/>
    </row>
    <row r="152" spans="2:9" ht="15.75" customHeight="1" x14ac:dyDescent="0.25">
      <c r="B152" s="1"/>
      <c r="C152" s="1"/>
      <c r="D152" s="1"/>
      <c r="E152" s="1"/>
      <c r="F152" s="1"/>
      <c r="G152" s="1"/>
      <c r="H152" s="1"/>
      <c r="I152" s="1"/>
    </row>
    <row r="153" spans="2:9" ht="15.75" customHeight="1" x14ac:dyDescent="0.25">
      <c r="B153" s="1"/>
      <c r="C153" s="1"/>
      <c r="D153" s="1"/>
      <c r="E153" s="1"/>
      <c r="F153" s="1"/>
      <c r="G153" s="1"/>
      <c r="H153" s="1"/>
      <c r="I153" s="1"/>
    </row>
    <row r="154" spans="2:9" ht="15.75" customHeight="1" x14ac:dyDescent="0.25">
      <c r="B154" s="1"/>
      <c r="C154" s="1"/>
      <c r="D154" s="1"/>
      <c r="E154" s="1"/>
      <c r="F154" s="1"/>
      <c r="G154" s="1"/>
      <c r="H154" s="1"/>
      <c r="I154" s="1"/>
    </row>
    <row r="155" spans="2:9" ht="15.75" customHeight="1" x14ac:dyDescent="0.25">
      <c r="B155" s="1"/>
      <c r="C155" s="1"/>
      <c r="D155" s="1"/>
      <c r="E155" s="1"/>
      <c r="F155" s="1"/>
      <c r="G155" s="1"/>
      <c r="H155" s="1"/>
      <c r="I155" s="1"/>
    </row>
    <row r="156" spans="2:9" ht="15.75" customHeight="1" x14ac:dyDescent="0.25">
      <c r="B156" s="1"/>
      <c r="C156" s="1"/>
      <c r="D156" s="1"/>
      <c r="E156" s="1"/>
      <c r="F156" s="1"/>
      <c r="G156" s="1"/>
      <c r="H156" s="1"/>
      <c r="I156" s="1"/>
    </row>
    <row r="157" spans="2:9" ht="15.75" customHeight="1" x14ac:dyDescent="0.25">
      <c r="B157" s="1"/>
      <c r="C157" s="1"/>
      <c r="D157" s="1"/>
      <c r="E157" s="1"/>
      <c r="F157" s="1"/>
      <c r="G157" s="1"/>
      <c r="H157" s="1"/>
      <c r="I157" s="1"/>
    </row>
    <row r="158" spans="2:9" ht="15.75" customHeight="1" x14ac:dyDescent="0.25">
      <c r="B158" s="1"/>
      <c r="C158" s="1"/>
      <c r="D158" s="1"/>
      <c r="E158" s="1"/>
      <c r="F158" s="1"/>
      <c r="G158" s="1"/>
      <c r="H158" s="1"/>
      <c r="I158" s="1"/>
    </row>
    <row r="159" spans="2:9" ht="15.75" customHeight="1" x14ac:dyDescent="0.25">
      <c r="B159" s="1"/>
      <c r="C159" s="1"/>
      <c r="D159" s="1"/>
      <c r="E159" s="1"/>
      <c r="F159" s="1"/>
      <c r="G159" s="1"/>
      <c r="H159" s="1"/>
      <c r="I159" s="1"/>
    </row>
    <row r="160" spans="2:9" ht="15.75" customHeight="1" x14ac:dyDescent="0.25">
      <c r="B160" s="1"/>
      <c r="C160" s="1"/>
      <c r="D160" s="1"/>
      <c r="E160" s="1"/>
      <c r="F160" s="1"/>
      <c r="G160" s="1"/>
      <c r="H160" s="1"/>
      <c r="I160" s="1"/>
    </row>
    <row r="161" spans="2:9" ht="15.75" customHeight="1" x14ac:dyDescent="0.25">
      <c r="B161" s="1"/>
      <c r="C161" s="1"/>
      <c r="D161" s="1"/>
      <c r="E161" s="1"/>
      <c r="F161" s="1"/>
      <c r="G161" s="1"/>
      <c r="H161" s="1"/>
      <c r="I161" s="1"/>
    </row>
    <row r="162" spans="2:9" ht="15.75" customHeight="1" x14ac:dyDescent="0.25">
      <c r="B162" s="1"/>
      <c r="C162" s="1"/>
      <c r="D162" s="1"/>
      <c r="E162" s="1"/>
      <c r="F162" s="1"/>
      <c r="G162" s="1"/>
      <c r="H162" s="1"/>
      <c r="I162" s="1"/>
    </row>
    <row r="163" spans="2:9" ht="15.75" customHeight="1" x14ac:dyDescent="0.25">
      <c r="B163" s="1"/>
      <c r="C163" s="1"/>
      <c r="D163" s="1"/>
      <c r="E163" s="1"/>
      <c r="F163" s="1"/>
      <c r="G163" s="1"/>
      <c r="H163" s="1"/>
      <c r="I163" s="1"/>
    </row>
    <row r="164" spans="2:9" ht="15.75" customHeight="1" x14ac:dyDescent="0.25">
      <c r="B164" s="1"/>
      <c r="C164" s="1"/>
      <c r="D164" s="1"/>
      <c r="E164" s="1"/>
      <c r="F164" s="1"/>
      <c r="G164" s="1"/>
      <c r="H164" s="1"/>
      <c r="I164" s="1"/>
    </row>
    <row r="165" spans="2:9" ht="15.75" customHeight="1" x14ac:dyDescent="0.25">
      <c r="B165" s="1"/>
      <c r="C165" s="1"/>
      <c r="D165" s="1"/>
      <c r="E165" s="1"/>
      <c r="F165" s="1"/>
      <c r="G165" s="1"/>
      <c r="H165" s="1"/>
      <c r="I165" s="1"/>
    </row>
    <row r="166" spans="2:9" ht="15.75" customHeight="1" x14ac:dyDescent="0.25">
      <c r="B166" s="1"/>
      <c r="C166" s="1"/>
      <c r="D166" s="1"/>
      <c r="E166" s="1"/>
      <c r="F166" s="1"/>
      <c r="G166" s="1"/>
      <c r="H166" s="1"/>
      <c r="I166" s="1"/>
    </row>
    <row r="167" spans="2:9" ht="15.75" customHeight="1" x14ac:dyDescent="0.25">
      <c r="B167" s="1"/>
      <c r="C167" s="1"/>
      <c r="D167" s="1"/>
      <c r="E167" s="1"/>
      <c r="F167" s="1"/>
      <c r="G167" s="1"/>
      <c r="H167" s="1"/>
      <c r="I167" s="1"/>
    </row>
    <row r="168" spans="2:9" ht="15.75" customHeight="1" x14ac:dyDescent="0.25">
      <c r="B168" s="1"/>
      <c r="C168" s="1"/>
      <c r="D168" s="1"/>
      <c r="E168" s="1"/>
      <c r="F168" s="1"/>
      <c r="G168" s="1"/>
      <c r="H168" s="1"/>
      <c r="I168" s="1"/>
    </row>
    <row r="169" spans="2:9" ht="15.75" customHeight="1" x14ac:dyDescent="0.25">
      <c r="B169" s="1"/>
      <c r="C169" s="1"/>
      <c r="D169" s="1"/>
      <c r="E169" s="1"/>
      <c r="F169" s="1"/>
      <c r="G169" s="1"/>
      <c r="H169" s="1"/>
      <c r="I169" s="1"/>
    </row>
    <row r="170" spans="2:9" ht="15.75" customHeight="1" x14ac:dyDescent="0.25">
      <c r="B170" s="1"/>
      <c r="C170" s="1"/>
      <c r="D170" s="1"/>
      <c r="E170" s="1"/>
      <c r="F170" s="1"/>
      <c r="G170" s="1"/>
      <c r="H170" s="1"/>
      <c r="I170" s="1"/>
    </row>
    <row r="171" spans="2:9" ht="15.75" customHeight="1" x14ac:dyDescent="0.25">
      <c r="B171" s="1"/>
      <c r="C171" s="1"/>
      <c r="D171" s="1"/>
      <c r="E171" s="1"/>
      <c r="F171" s="1"/>
      <c r="G171" s="1"/>
      <c r="H171" s="1"/>
      <c r="I171" s="1"/>
    </row>
    <row r="172" spans="2:9" ht="15.75" customHeight="1" x14ac:dyDescent="0.25">
      <c r="B172" s="1"/>
      <c r="C172" s="1"/>
      <c r="D172" s="1"/>
      <c r="E172" s="1"/>
      <c r="F172" s="1"/>
      <c r="G172" s="1"/>
      <c r="H172" s="1"/>
      <c r="I172" s="1"/>
    </row>
    <row r="173" spans="2:9" ht="15.75" customHeight="1" x14ac:dyDescent="0.25">
      <c r="B173" s="1"/>
      <c r="C173" s="1"/>
      <c r="D173" s="1"/>
      <c r="E173" s="1"/>
      <c r="F173" s="1"/>
      <c r="G173" s="1"/>
      <c r="H173" s="1"/>
      <c r="I173" s="1"/>
    </row>
    <row r="174" spans="2:9" ht="15.75" customHeight="1" x14ac:dyDescent="0.25">
      <c r="B174" s="1"/>
      <c r="C174" s="1"/>
      <c r="D174" s="1"/>
      <c r="E174" s="1"/>
      <c r="F174" s="1"/>
      <c r="G174" s="1"/>
      <c r="H174" s="1"/>
      <c r="I174" s="1"/>
    </row>
    <row r="175" spans="2:9" ht="15.75" customHeight="1" x14ac:dyDescent="0.25">
      <c r="B175" s="1"/>
      <c r="C175" s="1"/>
      <c r="D175" s="1"/>
      <c r="E175" s="1"/>
      <c r="F175" s="1"/>
      <c r="G175" s="1"/>
      <c r="H175" s="1"/>
      <c r="I175" s="1"/>
    </row>
    <row r="176" spans="2:9" ht="15.75" customHeight="1" x14ac:dyDescent="0.25">
      <c r="B176" s="1"/>
      <c r="C176" s="1"/>
      <c r="D176" s="1"/>
      <c r="E176" s="1"/>
      <c r="F176" s="1"/>
      <c r="G176" s="1"/>
      <c r="H176" s="1"/>
      <c r="I176" s="1"/>
    </row>
    <row r="177" spans="2:9" ht="15.75" customHeight="1" x14ac:dyDescent="0.25">
      <c r="B177" s="1"/>
      <c r="C177" s="1"/>
      <c r="D177" s="1"/>
      <c r="E177" s="1"/>
      <c r="F177" s="1"/>
      <c r="G177" s="1"/>
      <c r="H177" s="1"/>
      <c r="I177" s="1"/>
    </row>
    <row r="178" spans="2:9" ht="15.75" customHeight="1" x14ac:dyDescent="0.25">
      <c r="B178" s="1"/>
      <c r="C178" s="1"/>
      <c r="D178" s="1"/>
      <c r="E178" s="1"/>
      <c r="F178" s="1"/>
      <c r="G178" s="1"/>
      <c r="H178" s="1"/>
      <c r="I178" s="1"/>
    </row>
    <row r="179" spans="2:9" ht="15.75" customHeight="1" x14ac:dyDescent="0.25">
      <c r="B179" s="1"/>
      <c r="C179" s="1"/>
      <c r="D179" s="1"/>
      <c r="E179" s="1"/>
      <c r="F179" s="1"/>
      <c r="G179" s="1"/>
      <c r="H179" s="1"/>
      <c r="I179" s="1"/>
    </row>
    <row r="180" spans="2:9" ht="15.75" customHeight="1" x14ac:dyDescent="0.25">
      <c r="B180" s="1"/>
      <c r="C180" s="1"/>
      <c r="D180" s="1"/>
      <c r="E180" s="1"/>
      <c r="F180" s="1"/>
      <c r="G180" s="1"/>
      <c r="H180" s="1"/>
      <c r="I180" s="1"/>
    </row>
    <row r="181" spans="2:9" ht="15.75" customHeight="1" x14ac:dyDescent="0.25">
      <c r="B181" s="1"/>
      <c r="C181" s="1"/>
      <c r="D181" s="1"/>
      <c r="E181" s="1"/>
      <c r="F181" s="1"/>
      <c r="G181" s="1"/>
      <c r="H181" s="1"/>
      <c r="I181" s="1"/>
    </row>
    <row r="182" spans="2:9" ht="15.75" customHeight="1" x14ac:dyDescent="0.25">
      <c r="B182" s="1"/>
      <c r="C182" s="1"/>
      <c r="D182" s="1"/>
      <c r="E182" s="1"/>
      <c r="F182" s="1"/>
      <c r="G182" s="1"/>
      <c r="H182" s="1"/>
      <c r="I182" s="1"/>
    </row>
    <row r="183" spans="2:9" ht="15.75" customHeight="1" x14ac:dyDescent="0.25">
      <c r="B183" s="1"/>
      <c r="C183" s="1"/>
      <c r="D183" s="1"/>
      <c r="E183" s="1"/>
      <c r="F183" s="1"/>
      <c r="G183" s="1"/>
      <c r="H183" s="1"/>
      <c r="I183" s="1"/>
    </row>
    <row r="184" spans="2:9" ht="15.75" customHeight="1" x14ac:dyDescent="0.25">
      <c r="B184" s="1"/>
      <c r="C184" s="1"/>
      <c r="D184" s="1"/>
      <c r="E184" s="1"/>
      <c r="F184" s="1"/>
      <c r="G184" s="1"/>
      <c r="H184" s="1"/>
      <c r="I184" s="1"/>
    </row>
    <row r="185" spans="2:9" ht="15.75" customHeight="1" x14ac:dyDescent="0.25">
      <c r="B185" s="1"/>
      <c r="C185" s="1"/>
      <c r="D185" s="1"/>
      <c r="E185" s="1"/>
      <c r="F185" s="1"/>
      <c r="G185" s="1"/>
      <c r="H185" s="1"/>
      <c r="I185" s="1"/>
    </row>
    <row r="186" spans="2:9" ht="15.75" customHeight="1" x14ac:dyDescent="0.25">
      <c r="B186" s="1"/>
      <c r="C186" s="1"/>
      <c r="D186" s="1"/>
      <c r="E186" s="1"/>
      <c r="F186" s="1"/>
      <c r="G186" s="1"/>
      <c r="H186" s="1"/>
      <c r="I186" s="1"/>
    </row>
    <row r="187" spans="2:9" ht="15.75" customHeight="1" x14ac:dyDescent="0.25">
      <c r="B187" s="1"/>
      <c r="C187" s="1"/>
      <c r="D187" s="1"/>
      <c r="E187" s="1"/>
      <c r="F187" s="1"/>
      <c r="G187" s="1"/>
      <c r="H187" s="1"/>
      <c r="I187" s="1"/>
    </row>
    <row r="188" spans="2:9" ht="15.75" customHeight="1" x14ac:dyDescent="0.25">
      <c r="B188" s="1"/>
      <c r="C188" s="1"/>
      <c r="D188" s="1"/>
      <c r="E188" s="1"/>
      <c r="F188" s="1"/>
      <c r="G188" s="1"/>
      <c r="H188" s="1"/>
      <c r="I188" s="1"/>
    </row>
    <row r="189" spans="2:9" ht="15.75" customHeight="1" x14ac:dyDescent="0.25">
      <c r="B189" s="1"/>
      <c r="C189" s="1"/>
      <c r="D189" s="1"/>
      <c r="E189" s="1"/>
      <c r="F189" s="1"/>
      <c r="G189" s="1"/>
      <c r="H189" s="1"/>
      <c r="I189" s="1"/>
    </row>
    <row r="190" spans="2:9" ht="15.75" customHeight="1" x14ac:dyDescent="0.25">
      <c r="B190" s="1"/>
      <c r="C190" s="1"/>
      <c r="D190" s="1"/>
      <c r="E190" s="1"/>
      <c r="F190" s="1"/>
      <c r="G190" s="1"/>
      <c r="H190" s="1"/>
      <c r="I190" s="1"/>
    </row>
    <row r="191" spans="2:9" ht="15.75" customHeight="1" x14ac:dyDescent="0.25">
      <c r="B191" s="1"/>
      <c r="C191" s="1"/>
      <c r="D191" s="1"/>
      <c r="E191" s="1"/>
      <c r="F191" s="1"/>
      <c r="G191" s="1"/>
      <c r="H191" s="1"/>
      <c r="I191" s="1"/>
    </row>
    <row r="192" spans="2:9" ht="15.75" customHeight="1" x14ac:dyDescent="0.25">
      <c r="B192" s="1"/>
      <c r="C192" s="1"/>
      <c r="D192" s="1"/>
      <c r="E192" s="1"/>
      <c r="F192" s="1"/>
      <c r="G192" s="1"/>
      <c r="H192" s="1"/>
      <c r="I192" s="1"/>
    </row>
    <row r="193" spans="2:9" ht="15.75" customHeight="1" x14ac:dyDescent="0.25">
      <c r="B193" s="1"/>
      <c r="C193" s="1"/>
      <c r="D193" s="1"/>
      <c r="E193" s="1"/>
      <c r="F193" s="1"/>
      <c r="G193" s="1"/>
      <c r="H193" s="1"/>
      <c r="I193" s="1"/>
    </row>
    <row r="194" spans="2:9" ht="15.75" customHeight="1" x14ac:dyDescent="0.25">
      <c r="B194" s="1"/>
      <c r="C194" s="1"/>
      <c r="D194" s="1"/>
      <c r="E194" s="1"/>
      <c r="F194" s="1"/>
      <c r="G194" s="1"/>
      <c r="H194" s="1"/>
      <c r="I194" s="1"/>
    </row>
    <row r="195" spans="2:9" ht="15.75" customHeight="1" x14ac:dyDescent="0.25">
      <c r="B195" s="1"/>
      <c r="C195" s="1"/>
      <c r="D195" s="1"/>
      <c r="E195" s="1"/>
      <c r="F195" s="1"/>
      <c r="G195" s="1"/>
      <c r="H195" s="1"/>
      <c r="I195" s="1"/>
    </row>
    <row r="196" spans="2:9" ht="15.75" customHeight="1" x14ac:dyDescent="0.25">
      <c r="B196" s="1"/>
      <c r="C196" s="1"/>
      <c r="D196" s="1"/>
      <c r="E196" s="1"/>
      <c r="F196" s="1"/>
      <c r="G196" s="1"/>
      <c r="H196" s="1"/>
      <c r="I196" s="1"/>
    </row>
    <row r="197" spans="2:9" ht="15.75" customHeight="1" x14ac:dyDescent="0.25">
      <c r="B197" s="1"/>
      <c r="C197" s="1"/>
      <c r="D197" s="1"/>
      <c r="E197" s="1"/>
      <c r="F197" s="1"/>
      <c r="G197" s="1"/>
      <c r="H197" s="1"/>
      <c r="I197" s="1"/>
    </row>
    <row r="198" spans="2:9" ht="15.75" customHeight="1" x14ac:dyDescent="0.25">
      <c r="B198" s="1"/>
      <c r="C198" s="1"/>
      <c r="D198" s="1"/>
      <c r="E198" s="1"/>
      <c r="F198" s="1"/>
      <c r="G198" s="1"/>
      <c r="H198" s="1"/>
      <c r="I198" s="1"/>
    </row>
    <row r="199" spans="2:9" ht="15.75" customHeight="1" x14ac:dyDescent="0.25">
      <c r="B199" s="1"/>
      <c r="C199" s="1"/>
      <c r="D199" s="1"/>
      <c r="E199" s="1"/>
      <c r="F199" s="1"/>
      <c r="G199" s="1"/>
      <c r="H199" s="1"/>
      <c r="I199" s="1"/>
    </row>
    <row r="200" spans="2:9" ht="15.75" customHeight="1" x14ac:dyDescent="0.25">
      <c r="B200" s="1"/>
      <c r="C200" s="1"/>
      <c r="D200" s="1"/>
      <c r="E200" s="1"/>
      <c r="F200" s="1"/>
      <c r="G200" s="1"/>
      <c r="H200" s="1"/>
      <c r="I200" s="1"/>
    </row>
    <row r="201" spans="2:9" ht="15.75" customHeight="1" x14ac:dyDescent="0.25">
      <c r="B201" s="1"/>
      <c r="C201" s="1"/>
      <c r="D201" s="1"/>
      <c r="E201" s="1"/>
      <c r="F201" s="1"/>
      <c r="G201" s="1"/>
      <c r="H201" s="1"/>
      <c r="I201" s="1"/>
    </row>
    <row r="202" spans="2:9" ht="15.75" customHeight="1" x14ac:dyDescent="0.25">
      <c r="B202" s="1"/>
      <c r="C202" s="1"/>
      <c r="D202" s="1"/>
      <c r="E202" s="1"/>
      <c r="F202" s="1"/>
      <c r="G202" s="1"/>
      <c r="H202" s="1"/>
      <c r="I202" s="1"/>
    </row>
    <row r="203" spans="2:9" ht="15.75" customHeight="1" x14ac:dyDescent="0.25">
      <c r="B203" s="1"/>
      <c r="C203" s="1"/>
      <c r="D203" s="1"/>
      <c r="E203" s="1"/>
      <c r="F203" s="1"/>
      <c r="G203" s="1"/>
      <c r="H203" s="1"/>
      <c r="I203" s="1"/>
    </row>
    <row r="204" spans="2:9" ht="15.75" customHeight="1" x14ac:dyDescent="0.25">
      <c r="B204" s="1"/>
      <c r="C204" s="1"/>
      <c r="D204" s="1"/>
      <c r="E204" s="1"/>
      <c r="F204" s="1"/>
      <c r="G204" s="1"/>
      <c r="H204" s="1"/>
      <c r="I204" s="1"/>
    </row>
    <row r="205" spans="2:9" ht="15.75" customHeight="1" x14ac:dyDescent="0.25">
      <c r="B205" s="1"/>
      <c r="C205" s="1"/>
      <c r="D205" s="1"/>
      <c r="E205" s="1"/>
      <c r="F205" s="1"/>
      <c r="G205" s="1"/>
      <c r="H205" s="1"/>
      <c r="I205" s="1"/>
    </row>
    <row r="206" spans="2:9" ht="15.75" customHeight="1" x14ac:dyDescent="0.25">
      <c r="B206" s="1"/>
      <c r="C206" s="1"/>
      <c r="D206" s="1"/>
      <c r="E206" s="1"/>
      <c r="F206" s="1"/>
      <c r="G206" s="1"/>
      <c r="H206" s="1"/>
      <c r="I206" s="1"/>
    </row>
    <row r="207" spans="2:9" ht="15.75" customHeight="1" x14ac:dyDescent="0.25">
      <c r="B207" s="1"/>
      <c r="C207" s="1"/>
      <c r="D207" s="1"/>
      <c r="E207" s="1"/>
      <c r="F207" s="1"/>
      <c r="G207" s="1"/>
      <c r="H207" s="1"/>
      <c r="I207" s="1"/>
    </row>
    <row r="208" spans="2:9" ht="15.75" customHeight="1" x14ac:dyDescent="0.25">
      <c r="B208" s="1"/>
      <c r="C208" s="1"/>
      <c r="D208" s="1"/>
      <c r="E208" s="1"/>
      <c r="F208" s="1"/>
      <c r="G208" s="1"/>
      <c r="H208" s="1"/>
      <c r="I208" s="1"/>
    </row>
    <row r="209" spans="2:9" ht="15.75" customHeight="1" x14ac:dyDescent="0.25">
      <c r="B209" s="1"/>
      <c r="C209" s="1"/>
      <c r="D209" s="1"/>
      <c r="E209" s="1"/>
      <c r="F209" s="1"/>
      <c r="G209" s="1"/>
      <c r="H209" s="1"/>
      <c r="I209" s="1"/>
    </row>
    <row r="210" spans="2:9" ht="15.75" customHeight="1" x14ac:dyDescent="0.25">
      <c r="B210" s="1"/>
      <c r="C210" s="1"/>
      <c r="D210" s="1"/>
      <c r="E210" s="1"/>
      <c r="F210" s="1"/>
      <c r="G210" s="1"/>
      <c r="H210" s="1"/>
      <c r="I210" s="1"/>
    </row>
    <row r="211" spans="2:9" ht="15.75" customHeight="1" x14ac:dyDescent="0.25">
      <c r="B211" s="1"/>
      <c r="C211" s="1"/>
      <c r="D211" s="1"/>
      <c r="E211" s="1"/>
      <c r="F211" s="1"/>
      <c r="G211" s="1"/>
      <c r="H211" s="1"/>
      <c r="I211" s="1"/>
    </row>
    <row r="212" spans="2:9" ht="15.75" customHeight="1" x14ac:dyDescent="0.25">
      <c r="B212" s="1"/>
      <c r="C212" s="1"/>
      <c r="D212" s="1"/>
      <c r="E212" s="1"/>
      <c r="F212" s="1"/>
      <c r="G212" s="1"/>
      <c r="H212" s="1"/>
      <c r="I212" s="1"/>
    </row>
    <row r="213" spans="2:9" ht="15.75" customHeight="1" x14ac:dyDescent="0.25">
      <c r="B213" s="1"/>
      <c r="C213" s="1"/>
      <c r="D213" s="1"/>
      <c r="E213" s="1"/>
      <c r="F213" s="1"/>
      <c r="G213" s="1"/>
      <c r="H213" s="1"/>
      <c r="I213" s="1"/>
    </row>
    <row r="214" spans="2:9" ht="15.75" customHeight="1" x14ac:dyDescent="0.25">
      <c r="B214" s="1"/>
      <c r="C214" s="1"/>
      <c r="D214" s="1"/>
      <c r="E214" s="1"/>
      <c r="F214" s="1"/>
      <c r="G214" s="1"/>
      <c r="H214" s="1"/>
      <c r="I214" s="1"/>
    </row>
    <row r="215" spans="2:9" ht="15.75" customHeight="1" x14ac:dyDescent="0.25">
      <c r="B215" s="1"/>
      <c r="C215" s="1"/>
      <c r="D215" s="1"/>
      <c r="E215" s="1"/>
      <c r="F215" s="1"/>
      <c r="G215" s="1"/>
      <c r="H215" s="1"/>
      <c r="I215" s="1"/>
    </row>
    <row r="216" spans="2:9" ht="15.75" customHeight="1" x14ac:dyDescent="0.25">
      <c r="B216" s="1"/>
      <c r="C216" s="1"/>
      <c r="D216" s="1"/>
      <c r="E216" s="1"/>
      <c r="F216" s="1"/>
      <c r="G216" s="1"/>
      <c r="H216" s="1"/>
      <c r="I216" s="1"/>
    </row>
    <row r="217" spans="2:9" ht="15.75" customHeight="1" x14ac:dyDescent="0.25">
      <c r="B217" s="1"/>
      <c r="C217" s="1"/>
      <c r="D217" s="1"/>
      <c r="E217" s="1"/>
      <c r="F217" s="1"/>
      <c r="G217" s="1"/>
      <c r="H217" s="1"/>
      <c r="I217" s="1"/>
    </row>
    <row r="218" spans="2:9" ht="15.75" customHeight="1" x14ac:dyDescent="0.25">
      <c r="B218" s="1"/>
      <c r="C218" s="1"/>
      <c r="D218" s="1"/>
      <c r="E218" s="1"/>
      <c r="F218" s="1"/>
      <c r="G218" s="1"/>
      <c r="H218" s="1"/>
      <c r="I218" s="1"/>
    </row>
    <row r="219" spans="2:9" ht="15.75" customHeight="1" x14ac:dyDescent="0.25">
      <c r="B219" s="1"/>
      <c r="C219" s="1"/>
      <c r="D219" s="1"/>
      <c r="E219" s="1"/>
      <c r="F219" s="1"/>
      <c r="G219" s="1"/>
      <c r="H219" s="1"/>
      <c r="I219" s="1"/>
    </row>
    <row r="220" spans="2:9" ht="15.75" customHeight="1" x14ac:dyDescent="0.25">
      <c r="B220" s="1"/>
      <c r="C220" s="1"/>
      <c r="D220" s="1"/>
      <c r="E220" s="1"/>
      <c r="F220" s="1"/>
      <c r="G220" s="1"/>
      <c r="H220" s="1"/>
      <c r="I220" s="1"/>
    </row>
    <row r="221" spans="2:9" ht="15.75" customHeight="1" x14ac:dyDescent="0.25">
      <c r="B221" s="1"/>
      <c r="C221" s="1"/>
      <c r="D221" s="1"/>
      <c r="E221" s="1"/>
      <c r="F221" s="1"/>
      <c r="G221" s="1"/>
      <c r="H221" s="1"/>
      <c r="I221" s="1"/>
    </row>
    <row r="222" spans="2:9" ht="15.75" customHeight="1" x14ac:dyDescent="0.25">
      <c r="B222" s="1"/>
      <c r="C222" s="1"/>
      <c r="D222" s="1"/>
      <c r="E222" s="1"/>
      <c r="F222" s="1"/>
      <c r="G222" s="1"/>
      <c r="H222" s="1"/>
      <c r="I222" s="1"/>
    </row>
    <row r="223" spans="2:9" ht="15.75" customHeight="1" x14ac:dyDescent="0.25">
      <c r="B223" s="1"/>
      <c r="C223" s="1"/>
      <c r="D223" s="1"/>
      <c r="E223" s="1"/>
      <c r="F223" s="1"/>
      <c r="G223" s="1"/>
      <c r="H223" s="1"/>
      <c r="I223" s="1"/>
    </row>
    <row r="224" spans="2:9" ht="15.75" customHeight="1" x14ac:dyDescent="0.25">
      <c r="B224" s="1"/>
      <c r="C224" s="1"/>
      <c r="D224" s="1"/>
      <c r="E224" s="1"/>
      <c r="F224" s="1"/>
      <c r="G224" s="1"/>
      <c r="H224" s="1"/>
      <c r="I224" s="1"/>
    </row>
    <row r="225" spans="2:9" ht="15.75" customHeight="1" x14ac:dyDescent="0.25">
      <c r="B225" s="1"/>
      <c r="C225" s="1"/>
      <c r="D225" s="1"/>
      <c r="E225" s="1"/>
      <c r="F225" s="1"/>
      <c r="G225" s="1"/>
      <c r="H225" s="1"/>
      <c r="I225" s="1"/>
    </row>
    <row r="226" spans="2:9" ht="15.75" customHeight="1" x14ac:dyDescent="0.25">
      <c r="B226" s="1"/>
      <c r="C226" s="1"/>
      <c r="D226" s="1"/>
      <c r="E226" s="1"/>
      <c r="F226" s="1"/>
      <c r="G226" s="1"/>
      <c r="H226" s="1"/>
      <c r="I226" s="1"/>
    </row>
    <row r="227" spans="2:9" ht="15.75" customHeight="1" x14ac:dyDescent="0.25">
      <c r="B227" s="1"/>
      <c r="C227" s="1"/>
      <c r="D227" s="1"/>
      <c r="E227" s="1"/>
      <c r="F227" s="1"/>
      <c r="G227" s="1"/>
      <c r="H227" s="1"/>
      <c r="I227" s="1"/>
    </row>
    <row r="228" spans="2:9" ht="15.75" customHeight="1" x14ac:dyDescent="0.25">
      <c r="B228" s="1"/>
      <c r="C228" s="1"/>
      <c r="D228" s="1"/>
      <c r="E228" s="1"/>
      <c r="F228" s="1"/>
      <c r="G228" s="1"/>
      <c r="H228" s="1"/>
      <c r="I228" s="1"/>
    </row>
    <row r="229" spans="2:9" ht="15.75" customHeight="1" x14ac:dyDescent="0.25">
      <c r="B229" s="1"/>
      <c r="C229" s="1"/>
      <c r="D229" s="1"/>
      <c r="E229" s="1"/>
      <c r="F229" s="1"/>
      <c r="G229" s="1"/>
      <c r="H229" s="1"/>
      <c r="I229" s="1"/>
    </row>
    <row r="230" spans="2:9" ht="15.75" customHeight="1" x14ac:dyDescent="0.25">
      <c r="B230" s="1"/>
      <c r="C230" s="1"/>
      <c r="D230" s="1"/>
      <c r="E230" s="1"/>
      <c r="F230" s="1"/>
      <c r="G230" s="1"/>
      <c r="H230" s="1"/>
      <c r="I230" s="1"/>
    </row>
    <row r="231" spans="2:9" ht="15.75" customHeight="1" x14ac:dyDescent="0.25">
      <c r="B231" s="1"/>
      <c r="C231" s="1"/>
      <c r="D231" s="1"/>
      <c r="E231" s="1"/>
      <c r="F231" s="1"/>
      <c r="G231" s="1"/>
      <c r="H231" s="1"/>
      <c r="I231" s="1"/>
    </row>
    <row r="232" spans="2:9" ht="15.75" customHeight="1" x14ac:dyDescent="0.25">
      <c r="B232" s="1"/>
      <c r="C232" s="1"/>
      <c r="D232" s="1"/>
      <c r="E232" s="1"/>
      <c r="F232" s="1"/>
      <c r="G232" s="1"/>
      <c r="H232" s="1"/>
      <c r="I232" s="1"/>
    </row>
    <row r="233" spans="2:9" ht="15.75" customHeight="1" x14ac:dyDescent="0.25">
      <c r="B233" s="1"/>
      <c r="C233" s="1"/>
      <c r="D233" s="1"/>
      <c r="E233" s="1"/>
      <c r="F233" s="1"/>
      <c r="G233" s="1"/>
      <c r="H233" s="1"/>
      <c r="I233" s="1"/>
    </row>
    <row r="234" spans="2:9" ht="15.75" customHeight="1" x14ac:dyDescent="0.25">
      <c r="B234" s="1"/>
      <c r="C234" s="1"/>
      <c r="D234" s="1"/>
      <c r="E234" s="1"/>
      <c r="F234" s="1"/>
      <c r="G234" s="1"/>
      <c r="H234" s="1"/>
      <c r="I234" s="1"/>
    </row>
    <row r="235" spans="2:9" ht="15.75" customHeight="1" x14ac:dyDescent="0.25">
      <c r="B235" s="1"/>
      <c r="C235" s="1"/>
      <c r="D235" s="1"/>
      <c r="E235" s="1"/>
      <c r="F235" s="1"/>
      <c r="G235" s="1"/>
      <c r="H235" s="1"/>
      <c r="I235" s="1"/>
    </row>
    <row r="236" spans="2:9" ht="15.75" customHeight="1" x14ac:dyDescent="0.25">
      <c r="B236" s="1"/>
      <c r="C236" s="1"/>
      <c r="D236" s="1"/>
      <c r="E236" s="1"/>
      <c r="F236" s="1"/>
      <c r="G236" s="1"/>
      <c r="H236" s="1"/>
      <c r="I236" s="1"/>
    </row>
    <row r="237" spans="2:9" ht="15.75" customHeight="1" x14ac:dyDescent="0.25">
      <c r="B237" s="1"/>
      <c r="C237" s="1"/>
      <c r="D237" s="1"/>
      <c r="E237" s="1"/>
      <c r="F237" s="1"/>
      <c r="G237" s="1"/>
      <c r="H237" s="1"/>
      <c r="I237" s="1"/>
    </row>
    <row r="238" spans="2:9" ht="15.75" customHeight="1" x14ac:dyDescent="0.25">
      <c r="B238" s="1"/>
      <c r="C238" s="1"/>
      <c r="D238" s="1"/>
      <c r="E238" s="1"/>
      <c r="F238" s="1"/>
      <c r="G238" s="1"/>
      <c r="H238" s="1"/>
      <c r="I238" s="1"/>
    </row>
    <row r="239" spans="2:9" ht="15.75" customHeight="1" x14ac:dyDescent="0.25">
      <c r="B239" s="1"/>
      <c r="C239" s="1"/>
      <c r="D239" s="1"/>
      <c r="E239" s="1"/>
      <c r="F239" s="1"/>
      <c r="G239" s="1"/>
      <c r="H239" s="1"/>
      <c r="I239" s="1"/>
    </row>
    <row r="240" spans="2:9" ht="15.75" customHeight="1" x14ac:dyDescent="0.25">
      <c r="B240" s="1"/>
      <c r="C240" s="1"/>
      <c r="D240" s="1"/>
      <c r="E240" s="1"/>
      <c r="F240" s="1"/>
      <c r="G240" s="1"/>
      <c r="H240" s="1"/>
      <c r="I240" s="1"/>
    </row>
    <row r="241" spans="2:9" ht="15.75" customHeight="1" x14ac:dyDescent="0.25">
      <c r="B241" s="1"/>
      <c r="C241" s="1"/>
      <c r="D241" s="1"/>
      <c r="E241" s="1"/>
      <c r="F241" s="1"/>
      <c r="G241" s="1"/>
      <c r="H241" s="1"/>
      <c r="I241" s="1"/>
    </row>
    <row r="242" spans="2:9" ht="15.75" customHeight="1" x14ac:dyDescent="0.25">
      <c r="B242" s="1"/>
      <c r="C242" s="1"/>
      <c r="D242" s="1"/>
      <c r="E242" s="1"/>
      <c r="F242" s="1"/>
      <c r="G242" s="1"/>
      <c r="H242" s="1"/>
      <c r="I242" s="1"/>
    </row>
    <row r="243" spans="2:9" ht="15.75" customHeight="1" x14ac:dyDescent="0.25">
      <c r="B243" s="1"/>
      <c r="C243" s="1"/>
      <c r="D243" s="1"/>
      <c r="E243" s="1"/>
      <c r="F243" s="1"/>
      <c r="G243" s="1"/>
      <c r="H243" s="1"/>
      <c r="I243" s="1"/>
    </row>
    <row r="244" spans="2:9" ht="15.75" customHeight="1" x14ac:dyDescent="0.25">
      <c r="B244" s="1"/>
      <c r="C244" s="1"/>
      <c r="D244" s="1"/>
      <c r="E244" s="1"/>
      <c r="F244" s="1"/>
      <c r="G244" s="1"/>
      <c r="H244" s="1"/>
      <c r="I244" s="1"/>
    </row>
    <row r="245" spans="2:9" ht="15.75" customHeight="1" x14ac:dyDescent="0.25">
      <c r="B245" s="1"/>
      <c r="C245" s="1"/>
      <c r="D245" s="1"/>
      <c r="E245" s="1"/>
      <c r="F245" s="1"/>
      <c r="G245" s="1"/>
      <c r="H245" s="1"/>
      <c r="I245" s="1"/>
    </row>
    <row r="246" spans="2:9" ht="15.75" customHeight="1" x14ac:dyDescent="0.25">
      <c r="B246" s="1"/>
      <c r="C246" s="1"/>
      <c r="D246" s="1"/>
      <c r="E246" s="1"/>
      <c r="F246" s="1"/>
      <c r="G246" s="1"/>
      <c r="H246" s="1"/>
      <c r="I246" s="1"/>
    </row>
    <row r="247" spans="2:9" ht="15.75" customHeight="1" x14ac:dyDescent="0.25">
      <c r="B247" s="1"/>
      <c r="C247" s="1"/>
      <c r="D247" s="1"/>
      <c r="E247" s="1"/>
      <c r="F247" s="1"/>
      <c r="G247" s="1"/>
      <c r="H247" s="1"/>
      <c r="I247" s="1"/>
    </row>
    <row r="248" spans="2:9" ht="15.75" customHeight="1" x14ac:dyDescent="0.25">
      <c r="B248" s="1"/>
      <c r="C248" s="1"/>
      <c r="D248" s="1"/>
      <c r="E248" s="1"/>
      <c r="F248" s="1"/>
      <c r="G248" s="1"/>
      <c r="H248" s="1"/>
      <c r="I248" s="1"/>
    </row>
    <row r="249" spans="2:9" ht="15.75" customHeight="1" x14ac:dyDescent="0.25">
      <c r="B249" s="1"/>
      <c r="C249" s="1"/>
      <c r="D249" s="1"/>
      <c r="E249" s="1"/>
      <c r="F249" s="1"/>
      <c r="G249" s="1"/>
      <c r="H249" s="1"/>
      <c r="I249" s="1"/>
    </row>
    <row r="250" spans="2:9" ht="15.75" customHeight="1" x14ac:dyDescent="0.25">
      <c r="B250" s="1"/>
      <c r="C250" s="1"/>
      <c r="D250" s="1"/>
      <c r="E250" s="1"/>
      <c r="F250" s="1"/>
      <c r="G250" s="1"/>
      <c r="H250" s="1"/>
      <c r="I250" s="1"/>
    </row>
    <row r="251" spans="2:9" ht="15.75" customHeight="1" x14ac:dyDescent="0.25">
      <c r="B251" s="1"/>
      <c r="C251" s="1"/>
      <c r="D251" s="1"/>
      <c r="E251" s="1"/>
      <c r="F251" s="1"/>
      <c r="G251" s="1"/>
      <c r="H251" s="1"/>
      <c r="I251" s="1"/>
    </row>
    <row r="252" spans="2:9" ht="15.75" customHeight="1" x14ac:dyDescent="0.25">
      <c r="B252" s="1"/>
      <c r="C252" s="1"/>
      <c r="D252" s="1"/>
      <c r="E252" s="1"/>
      <c r="F252" s="1"/>
      <c r="G252" s="1"/>
      <c r="H252" s="1"/>
      <c r="I252" s="1"/>
    </row>
    <row r="253" spans="2:9" ht="15.75" customHeight="1" x14ac:dyDescent="0.25">
      <c r="B253" s="1"/>
      <c r="C253" s="1"/>
      <c r="D253" s="1"/>
      <c r="E253" s="1"/>
      <c r="F253" s="1"/>
      <c r="G253" s="1"/>
      <c r="H253" s="1"/>
      <c r="I253" s="1"/>
    </row>
    <row r="254" spans="2:9" ht="15.75" customHeight="1" x14ac:dyDescent="0.25">
      <c r="B254" s="1"/>
      <c r="C254" s="1"/>
      <c r="D254" s="1"/>
      <c r="E254" s="1"/>
      <c r="F254" s="1"/>
      <c r="G254" s="1"/>
      <c r="H254" s="1"/>
      <c r="I254" s="1"/>
    </row>
    <row r="255" spans="2:9" ht="15.75" customHeight="1" x14ac:dyDescent="0.25">
      <c r="B255" s="1"/>
      <c r="C255" s="1"/>
      <c r="D255" s="1"/>
      <c r="E255" s="1"/>
      <c r="F255" s="1"/>
      <c r="G255" s="1"/>
      <c r="H255" s="1"/>
      <c r="I255" s="1"/>
    </row>
    <row r="256" spans="2:9" ht="15.75" customHeight="1" x14ac:dyDescent="0.25">
      <c r="B256" s="1"/>
      <c r="C256" s="1"/>
      <c r="D256" s="1"/>
      <c r="E256" s="1"/>
      <c r="F256" s="1"/>
      <c r="G256" s="1"/>
      <c r="H256" s="1"/>
      <c r="I256" s="1"/>
    </row>
    <row r="257" spans="2:9" ht="15.75" customHeight="1" x14ac:dyDescent="0.25">
      <c r="B257" s="1"/>
      <c r="C257" s="1"/>
      <c r="D257" s="1"/>
      <c r="E257" s="1"/>
      <c r="F257" s="1"/>
      <c r="G257" s="1"/>
      <c r="H257" s="1"/>
      <c r="I257" s="1"/>
    </row>
    <row r="258" spans="2:9" ht="15.75" customHeight="1" x14ac:dyDescent="0.25">
      <c r="B258" s="1"/>
      <c r="C258" s="1"/>
      <c r="D258" s="1"/>
      <c r="E258" s="1"/>
      <c r="F258" s="1"/>
      <c r="G258" s="1"/>
      <c r="H258" s="1"/>
      <c r="I258" s="1"/>
    </row>
    <row r="259" spans="2:9" ht="15.75" customHeight="1" x14ac:dyDescent="0.25">
      <c r="B259" s="1"/>
      <c r="C259" s="1"/>
      <c r="D259" s="1"/>
      <c r="E259" s="1"/>
      <c r="F259" s="1"/>
      <c r="G259" s="1"/>
      <c r="H259" s="1"/>
      <c r="I259" s="1"/>
    </row>
    <row r="260" spans="2:9" ht="15.75" customHeight="1" x14ac:dyDescent="0.25">
      <c r="B260" s="1"/>
      <c r="C260" s="1"/>
      <c r="D260" s="1"/>
      <c r="E260" s="1"/>
      <c r="F260" s="1"/>
      <c r="G260" s="1"/>
      <c r="H260" s="1"/>
      <c r="I260" s="1"/>
    </row>
    <row r="261" spans="2:9" ht="15.75" customHeight="1" x14ac:dyDescent="0.25">
      <c r="B261" s="1"/>
      <c r="C261" s="1"/>
      <c r="D261" s="1"/>
      <c r="E261" s="1"/>
      <c r="F261" s="1"/>
      <c r="G261" s="1"/>
      <c r="H261" s="1"/>
      <c r="I261" s="1"/>
    </row>
    <row r="262" spans="2:9" ht="15.75" customHeight="1" x14ac:dyDescent="0.25">
      <c r="B262" s="1"/>
      <c r="C262" s="1"/>
      <c r="D262" s="1"/>
      <c r="E262" s="1"/>
      <c r="F262" s="1"/>
      <c r="G262" s="1"/>
      <c r="H262" s="1"/>
      <c r="I262" s="1"/>
    </row>
    <row r="263" spans="2:9" ht="15.75" customHeight="1" x14ac:dyDescent="0.25">
      <c r="B263" s="1"/>
      <c r="C263" s="1"/>
      <c r="D263" s="1"/>
      <c r="E263" s="1"/>
      <c r="F263" s="1"/>
      <c r="G263" s="1"/>
      <c r="H263" s="1"/>
      <c r="I263" s="1"/>
    </row>
    <row r="264" spans="2:9" ht="15.75" customHeight="1" x14ac:dyDescent="0.25">
      <c r="B264" s="1"/>
      <c r="C264" s="1"/>
      <c r="D264" s="1"/>
      <c r="E264" s="1"/>
      <c r="F264" s="1"/>
      <c r="G264" s="1"/>
      <c r="H264" s="1"/>
      <c r="I264" s="1"/>
    </row>
    <row r="265" spans="2:9" ht="15.75" customHeight="1" x14ac:dyDescent="0.25">
      <c r="B265" s="1"/>
      <c r="C265" s="1"/>
      <c r="D265" s="1"/>
      <c r="E265" s="1"/>
      <c r="F265" s="1"/>
      <c r="G265" s="1"/>
      <c r="H265" s="1"/>
      <c r="I265" s="1"/>
    </row>
    <row r="266" spans="2:9" ht="15.75" customHeight="1" x14ac:dyDescent="0.25">
      <c r="B266" s="1"/>
      <c r="C266" s="1"/>
      <c r="D266" s="1"/>
      <c r="E266" s="1"/>
      <c r="F266" s="1"/>
      <c r="G266" s="1"/>
      <c r="H266" s="1"/>
      <c r="I266" s="1"/>
    </row>
    <row r="267" spans="2:9" ht="15.75" customHeight="1" x14ac:dyDescent="0.25">
      <c r="B267" s="1"/>
      <c r="C267" s="1"/>
      <c r="D267" s="1"/>
      <c r="E267" s="1"/>
      <c r="F267" s="1"/>
      <c r="G267" s="1"/>
      <c r="H267" s="1"/>
      <c r="I267" s="1"/>
    </row>
    <row r="268" spans="2:9" ht="15.75" customHeight="1" x14ac:dyDescent="0.25">
      <c r="B268" s="1"/>
      <c r="C268" s="1"/>
      <c r="D268" s="1"/>
      <c r="E268" s="1"/>
      <c r="F268" s="1"/>
      <c r="G268" s="1"/>
      <c r="H268" s="1"/>
      <c r="I268" s="1"/>
    </row>
    <row r="269" spans="2:9" ht="15.75" customHeight="1" x14ac:dyDescent="0.25">
      <c r="B269" s="1"/>
      <c r="C269" s="1"/>
      <c r="D269" s="1"/>
      <c r="E269" s="1"/>
      <c r="F269" s="1"/>
      <c r="G269" s="1"/>
      <c r="H269" s="1"/>
      <c r="I269" s="1"/>
    </row>
    <row r="270" spans="2:9" ht="15.75" customHeight="1" x14ac:dyDescent="0.25">
      <c r="B270" s="1"/>
      <c r="C270" s="1"/>
      <c r="D270" s="1"/>
      <c r="E270" s="1"/>
      <c r="F270" s="1"/>
      <c r="G270" s="1"/>
      <c r="H270" s="1"/>
      <c r="I270" s="1"/>
    </row>
    <row r="271" spans="2:9" ht="15.75" customHeight="1" x14ac:dyDescent="0.25">
      <c r="B271" s="1"/>
      <c r="C271" s="1"/>
      <c r="D271" s="1"/>
      <c r="E271" s="1"/>
      <c r="F271" s="1"/>
      <c r="G271" s="1"/>
      <c r="H271" s="1"/>
      <c r="I271" s="1"/>
    </row>
    <row r="272" spans="2:9" ht="15.75" customHeight="1" x14ac:dyDescent="0.25">
      <c r="B272" s="1"/>
      <c r="C272" s="1"/>
      <c r="D272" s="1"/>
      <c r="E272" s="1"/>
      <c r="F272" s="1"/>
      <c r="G272" s="1"/>
      <c r="H272" s="1"/>
      <c r="I272" s="1"/>
    </row>
    <row r="273" spans="2:9" ht="15.75" customHeight="1" x14ac:dyDescent="0.25">
      <c r="B273" s="1"/>
      <c r="C273" s="1"/>
      <c r="D273" s="1"/>
      <c r="E273" s="1"/>
      <c r="F273" s="1"/>
      <c r="G273" s="1"/>
      <c r="H273" s="1"/>
      <c r="I273" s="1"/>
    </row>
    <row r="274" spans="2:9" ht="15.75" customHeight="1" x14ac:dyDescent="0.25">
      <c r="B274" s="1"/>
      <c r="C274" s="1"/>
      <c r="D274" s="1"/>
      <c r="E274" s="1"/>
      <c r="F274" s="1"/>
      <c r="G274" s="1"/>
      <c r="H274" s="1"/>
      <c r="I274" s="1"/>
    </row>
    <row r="275" spans="2:9" ht="15.75" customHeight="1" x14ac:dyDescent="0.25">
      <c r="B275" s="1"/>
      <c r="C275" s="1"/>
      <c r="D275" s="1"/>
      <c r="E275" s="1"/>
      <c r="F275" s="1"/>
      <c r="G275" s="1"/>
      <c r="H275" s="1"/>
      <c r="I275" s="1"/>
    </row>
    <row r="276" spans="2:9" ht="15.75" customHeight="1" x14ac:dyDescent="0.25">
      <c r="B276" s="1"/>
      <c r="C276" s="1"/>
      <c r="D276" s="1"/>
      <c r="E276" s="1"/>
      <c r="F276" s="1"/>
      <c r="G276" s="1"/>
      <c r="H276" s="1"/>
      <c r="I276" s="1"/>
    </row>
    <row r="277" spans="2:9" ht="15.75" customHeight="1" x14ac:dyDescent="0.25">
      <c r="B277" s="1"/>
      <c r="C277" s="1"/>
      <c r="D277" s="1"/>
      <c r="E277" s="1"/>
      <c r="F277" s="1"/>
      <c r="G277" s="1"/>
      <c r="H277" s="1"/>
      <c r="I277" s="1"/>
    </row>
    <row r="278" spans="2:9" ht="15.75" customHeight="1" x14ac:dyDescent="0.25">
      <c r="B278" s="1"/>
      <c r="C278" s="1"/>
      <c r="D278" s="1"/>
      <c r="E278" s="1"/>
      <c r="F278" s="1"/>
      <c r="G278" s="1"/>
      <c r="H278" s="1"/>
      <c r="I278" s="1"/>
    </row>
    <row r="279" spans="2:9" ht="15.75" customHeight="1" x14ac:dyDescent="0.25">
      <c r="B279" s="1"/>
      <c r="C279" s="1"/>
      <c r="D279" s="1"/>
      <c r="E279" s="1"/>
      <c r="F279" s="1"/>
      <c r="G279" s="1"/>
      <c r="H279" s="1"/>
      <c r="I279" s="1"/>
    </row>
    <row r="280" spans="2:9" ht="15.75" customHeight="1" x14ac:dyDescent="0.25">
      <c r="B280" s="1"/>
      <c r="C280" s="1"/>
      <c r="D280" s="1"/>
      <c r="E280" s="1"/>
      <c r="F280" s="1"/>
      <c r="G280" s="1"/>
      <c r="H280" s="1"/>
      <c r="I280" s="1"/>
    </row>
    <row r="281" spans="2:9" ht="15.75" customHeight="1" x14ac:dyDescent="0.25">
      <c r="B281" s="1"/>
      <c r="C281" s="1"/>
      <c r="D281" s="1"/>
      <c r="E281" s="1"/>
      <c r="F281" s="1"/>
      <c r="G281" s="1"/>
      <c r="H281" s="1"/>
      <c r="I281" s="1"/>
    </row>
    <row r="282" spans="2:9" ht="15.75" customHeight="1" x14ac:dyDescent="0.25">
      <c r="B282" s="1"/>
      <c r="C282" s="1"/>
      <c r="D282" s="1"/>
      <c r="E282" s="1"/>
      <c r="F282" s="1"/>
      <c r="G282" s="1"/>
      <c r="H282" s="1"/>
      <c r="I282" s="1"/>
    </row>
    <row r="283" spans="2:9" ht="15.75" customHeight="1" x14ac:dyDescent="0.25">
      <c r="B283" s="1"/>
      <c r="C283" s="1"/>
      <c r="D283" s="1"/>
      <c r="E283" s="1"/>
      <c r="F283" s="1"/>
      <c r="G283" s="1"/>
      <c r="H283" s="1"/>
      <c r="I283" s="1"/>
    </row>
    <row r="284" spans="2:9" ht="15.75" customHeight="1" x14ac:dyDescent="0.25">
      <c r="B284" s="1"/>
      <c r="C284" s="1"/>
      <c r="D284" s="1"/>
      <c r="E284" s="1"/>
      <c r="F284" s="1"/>
      <c r="G284" s="1"/>
      <c r="H284" s="1"/>
      <c r="I284" s="1"/>
    </row>
    <row r="285" spans="2:9" ht="15.75" customHeight="1" x14ac:dyDescent="0.25">
      <c r="B285" s="1"/>
      <c r="C285" s="1"/>
      <c r="D285" s="1"/>
      <c r="E285" s="1"/>
      <c r="F285" s="1"/>
      <c r="G285" s="1"/>
      <c r="H285" s="1"/>
      <c r="I285" s="1"/>
    </row>
    <row r="286" spans="2:9" ht="15.75" customHeight="1" x14ac:dyDescent="0.25">
      <c r="B286" s="1"/>
      <c r="C286" s="1"/>
      <c r="D286" s="1"/>
      <c r="E286" s="1"/>
      <c r="F286" s="1"/>
      <c r="G286" s="1"/>
      <c r="H286" s="1"/>
      <c r="I286" s="1"/>
    </row>
    <row r="287" spans="2:9" ht="15.75" customHeight="1" x14ac:dyDescent="0.25">
      <c r="B287" s="1"/>
      <c r="C287" s="1"/>
      <c r="D287" s="1"/>
      <c r="E287" s="1"/>
      <c r="F287" s="1"/>
      <c r="G287" s="1"/>
      <c r="H287" s="1"/>
      <c r="I287" s="1"/>
    </row>
    <row r="288" spans="2:9" ht="15.75" customHeight="1" x14ac:dyDescent="0.25">
      <c r="B288" s="1"/>
      <c r="C288" s="1"/>
      <c r="D288" s="1"/>
      <c r="E288" s="1"/>
      <c r="F288" s="1"/>
      <c r="G288" s="1"/>
      <c r="H288" s="1"/>
      <c r="I288" s="1"/>
    </row>
    <row r="289" spans="2:9" ht="15.75" customHeight="1" x14ac:dyDescent="0.25">
      <c r="B289" s="1"/>
      <c r="C289" s="1"/>
      <c r="D289" s="1"/>
      <c r="E289" s="1"/>
      <c r="F289" s="1"/>
      <c r="G289" s="1"/>
      <c r="H289" s="1"/>
      <c r="I289" s="1"/>
    </row>
    <row r="290" spans="2:9" ht="15.75" customHeight="1" x14ac:dyDescent="0.25">
      <c r="B290" s="1"/>
      <c r="C290" s="1"/>
      <c r="D290" s="1"/>
      <c r="E290" s="1"/>
      <c r="F290" s="1"/>
      <c r="G290" s="1"/>
      <c r="H290" s="1"/>
      <c r="I290" s="1"/>
    </row>
    <row r="291" spans="2:9" ht="15.75" customHeight="1" x14ac:dyDescent="0.25">
      <c r="B291" s="1"/>
      <c r="C291" s="1"/>
      <c r="D291" s="1"/>
      <c r="E291" s="1"/>
      <c r="F291" s="1"/>
      <c r="G291" s="1"/>
      <c r="H291" s="1"/>
      <c r="I291" s="1"/>
    </row>
    <row r="292" spans="2:9" ht="15.75" customHeight="1" x14ac:dyDescent="0.25">
      <c r="B292" s="1"/>
      <c r="C292" s="1"/>
      <c r="D292" s="1"/>
      <c r="E292" s="1"/>
      <c r="F292" s="1"/>
      <c r="G292" s="1"/>
      <c r="H292" s="1"/>
      <c r="I292" s="1"/>
    </row>
    <row r="293" spans="2:9" ht="15.75" customHeight="1" x14ac:dyDescent="0.25">
      <c r="B293" s="1"/>
      <c r="C293" s="1"/>
      <c r="D293" s="1"/>
      <c r="E293" s="1"/>
      <c r="F293" s="1"/>
      <c r="G293" s="1"/>
      <c r="H293" s="1"/>
      <c r="I293" s="1"/>
    </row>
    <row r="294" spans="2:9" ht="15.75" customHeight="1" x14ac:dyDescent="0.25">
      <c r="B294" s="1"/>
      <c r="C294" s="1"/>
      <c r="D294" s="1"/>
      <c r="E294" s="1"/>
      <c r="F294" s="1"/>
      <c r="G294" s="1"/>
      <c r="H294" s="1"/>
      <c r="I294" s="1"/>
    </row>
    <row r="295" spans="2:9" ht="15.75" customHeight="1" x14ac:dyDescent="0.25">
      <c r="B295" s="1"/>
      <c r="C295" s="1"/>
      <c r="D295" s="1"/>
      <c r="E295" s="1"/>
      <c r="F295" s="1"/>
      <c r="G295" s="1"/>
      <c r="H295" s="1"/>
      <c r="I295" s="1"/>
    </row>
    <row r="296" spans="2:9" ht="15.75" customHeight="1" x14ac:dyDescent="0.25">
      <c r="B296" s="1"/>
      <c r="C296" s="1"/>
      <c r="D296" s="1"/>
      <c r="E296" s="1"/>
      <c r="F296" s="1"/>
      <c r="G296" s="1"/>
      <c r="H296" s="1"/>
      <c r="I296" s="1"/>
    </row>
    <row r="297" spans="2:9" ht="15.75" customHeight="1" x14ac:dyDescent="0.25">
      <c r="B297" s="1"/>
      <c r="C297" s="1"/>
      <c r="D297" s="1"/>
      <c r="E297" s="1"/>
      <c r="F297" s="1"/>
      <c r="G297" s="1"/>
      <c r="H297" s="1"/>
      <c r="I297" s="1"/>
    </row>
    <row r="298" spans="2:9" ht="15.75" customHeight="1" x14ac:dyDescent="0.25">
      <c r="B298" s="1"/>
      <c r="C298" s="1"/>
      <c r="D298" s="1"/>
      <c r="E298" s="1"/>
      <c r="F298" s="1"/>
      <c r="G298" s="1"/>
      <c r="H298" s="1"/>
      <c r="I298" s="1"/>
    </row>
    <row r="299" spans="2:9" ht="15.75" customHeight="1" x14ac:dyDescent="0.25">
      <c r="B299" s="1"/>
      <c r="C299" s="1"/>
      <c r="D299" s="1"/>
      <c r="E299" s="1"/>
      <c r="F299" s="1"/>
      <c r="G299" s="1"/>
      <c r="H299" s="1"/>
      <c r="I299" s="1"/>
    </row>
    <row r="300" spans="2:9" ht="15.75" customHeight="1" x14ac:dyDescent="0.25">
      <c r="B300" s="1"/>
      <c r="C300" s="1"/>
      <c r="D300" s="1"/>
      <c r="E300" s="1"/>
      <c r="F300" s="1"/>
      <c r="G300" s="1"/>
      <c r="H300" s="1"/>
      <c r="I300" s="1"/>
    </row>
    <row r="301" spans="2:9" ht="15.75" customHeight="1" x14ac:dyDescent="0.25">
      <c r="B301" s="1"/>
      <c r="C301" s="1"/>
      <c r="D301" s="1"/>
      <c r="E301" s="1"/>
      <c r="F301" s="1"/>
      <c r="G301" s="1"/>
      <c r="H301" s="1"/>
      <c r="I301" s="1"/>
    </row>
    <row r="302" spans="2:9" ht="15.75" customHeight="1" x14ac:dyDescent="0.25">
      <c r="B302" s="1"/>
      <c r="C302" s="1"/>
      <c r="D302" s="1"/>
      <c r="E302" s="1"/>
      <c r="F302" s="1"/>
      <c r="G302" s="1"/>
      <c r="H302" s="1"/>
      <c r="I302" s="1"/>
    </row>
    <row r="303" spans="2:9" ht="15.75" customHeight="1" x14ac:dyDescent="0.25">
      <c r="B303" s="1"/>
      <c r="C303" s="1"/>
      <c r="D303" s="1"/>
      <c r="E303" s="1"/>
      <c r="F303" s="1"/>
      <c r="G303" s="1"/>
      <c r="H303" s="1"/>
      <c r="I303" s="1"/>
    </row>
    <row r="304" spans="2:9" ht="15.75" customHeight="1" x14ac:dyDescent="0.25">
      <c r="B304" s="1"/>
      <c r="C304" s="1"/>
      <c r="D304" s="1"/>
      <c r="E304" s="1"/>
      <c r="F304" s="1"/>
      <c r="G304" s="1"/>
      <c r="H304" s="1"/>
      <c r="I304" s="1"/>
    </row>
    <row r="305" spans="2:9" ht="15.75" customHeight="1" x14ac:dyDescent="0.25">
      <c r="B305" s="1"/>
      <c r="C305" s="1"/>
      <c r="D305" s="1"/>
      <c r="E305" s="1"/>
      <c r="F305" s="1"/>
      <c r="G305" s="1"/>
      <c r="H305" s="1"/>
      <c r="I305" s="1"/>
    </row>
    <row r="306" spans="2:9" ht="15.75" customHeight="1" x14ac:dyDescent="0.25">
      <c r="B306" s="1"/>
      <c r="C306" s="1"/>
      <c r="D306" s="1"/>
      <c r="E306" s="1"/>
      <c r="F306" s="1"/>
      <c r="G306" s="1"/>
      <c r="H306" s="1"/>
      <c r="I306" s="1"/>
    </row>
    <row r="307" spans="2:9" ht="15.75" customHeight="1" x14ac:dyDescent="0.25">
      <c r="B307" s="1"/>
      <c r="C307" s="1"/>
      <c r="D307" s="1"/>
      <c r="E307" s="1"/>
      <c r="F307" s="1"/>
      <c r="G307" s="1"/>
      <c r="H307" s="1"/>
      <c r="I307" s="1"/>
    </row>
    <row r="308" spans="2:9" ht="15.75" customHeight="1" x14ac:dyDescent="0.25">
      <c r="B308" s="1"/>
      <c r="C308" s="1"/>
      <c r="D308" s="1"/>
      <c r="E308" s="1"/>
      <c r="F308" s="1"/>
      <c r="G308" s="1"/>
      <c r="H308" s="1"/>
      <c r="I308" s="1"/>
    </row>
    <row r="309" spans="2:9" ht="15.75" customHeight="1" x14ac:dyDescent="0.25">
      <c r="B309" s="1"/>
      <c r="C309" s="1"/>
      <c r="D309" s="1"/>
      <c r="E309" s="1"/>
      <c r="F309" s="1"/>
      <c r="G309" s="1"/>
      <c r="H309" s="1"/>
      <c r="I309" s="1"/>
    </row>
    <row r="310" spans="2:9" ht="15.75" customHeight="1" x14ac:dyDescent="0.25">
      <c r="B310" s="1"/>
      <c r="C310" s="1"/>
      <c r="D310" s="1"/>
      <c r="E310" s="1"/>
      <c r="F310" s="1"/>
      <c r="G310" s="1"/>
      <c r="H310" s="1"/>
      <c r="I310" s="1"/>
    </row>
    <row r="311" spans="2:9" ht="15.75" customHeight="1" x14ac:dyDescent="0.25">
      <c r="B311" s="1"/>
      <c r="C311" s="1"/>
      <c r="D311" s="1"/>
      <c r="E311" s="1"/>
      <c r="F311" s="1"/>
      <c r="G311" s="1"/>
      <c r="H311" s="1"/>
      <c r="I311" s="1"/>
    </row>
    <row r="312" spans="2:9" ht="15.75" customHeight="1" x14ac:dyDescent="0.25">
      <c r="B312" s="1"/>
      <c r="C312" s="1"/>
      <c r="D312" s="1"/>
      <c r="E312" s="1"/>
      <c r="F312" s="1"/>
      <c r="G312" s="1"/>
      <c r="H312" s="1"/>
      <c r="I312" s="1"/>
    </row>
    <row r="313" spans="2:9" ht="15.75" customHeight="1" x14ac:dyDescent="0.25">
      <c r="B313" s="1"/>
      <c r="C313" s="1"/>
      <c r="D313" s="1"/>
      <c r="E313" s="1"/>
      <c r="F313" s="1"/>
      <c r="G313" s="1"/>
      <c r="H313" s="1"/>
      <c r="I313" s="1"/>
    </row>
    <row r="314" spans="2:9" ht="15.75" customHeight="1" x14ac:dyDescent="0.25">
      <c r="B314" s="1"/>
      <c r="C314" s="1"/>
      <c r="D314" s="1"/>
      <c r="E314" s="1"/>
      <c r="F314" s="1"/>
      <c r="G314" s="1"/>
      <c r="H314" s="1"/>
      <c r="I314" s="1"/>
    </row>
    <row r="315" spans="2:9" ht="15.75" customHeight="1" x14ac:dyDescent="0.25">
      <c r="B315" s="1"/>
      <c r="C315" s="1"/>
      <c r="D315" s="1"/>
      <c r="E315" s="1"/>
      <c r="F315" s="1"/>
      <c r="G315" s="1"/>
      <c r="H315" s="1"/>
      <c r="I315" s="1"/>
    </row>
    <row r="316" spans="2:9" ht="15.75" customHeight="1" x14ac:dyDescent="0.25">
      <c r="B316" s="1"/>
      <c r="C316" s="1"/>
      <c r="D316" s="1"/>
      <c r="E316" s="1"/>
      <c r="F316" s="1"/>
      <c r="G316" s="1"/>
      <c r="H316" s="1"/>
      <c r="I316" s="1"/>
    </row>
    <row r="317" spans="2:9" ht="15.75" customHeight="1" x14ac:dyDescent="0.25">
      <c r="B317" s="1"/>
      <c r="C317" s="1"/>
      <c r="D317" s="1"/>
      <c r="E317" s="1"/>
      <c r="F317" s="1"/>
      <c r="G317" s="1"/>
      <c r="H317" s="1"/>
      <c r="I317" s="1"/>
    </row>
    <row r="318" spans="2:9" ht="15.75" customHeight="1" x14ac:dyDescent="0.25">
      <c r="B318" s="1"/>
      <c r="C318" s="1"/>
      <c r="D318" s="1"/>
      <c r="E318" s="1"/>
      <c r="F318" s="1"/>
      <c r="G318" s="1"/>
      <c r="H318" s="1"/>
      <c r="I318" s="1"/>
    </row>
    <row r="319" spans="2:9" ht="15.75" customHeight="1" x14ac:dyDescent="0.25">
      <c r="B319" s="1"/>
      <c r="C319" s="1"/>
      <c r="D319" s="1"/>
      <c r="E319" s="1"/>
      <c r="F319" s="1"/>
      <c r="G319" s="1"/>
      <c r="H319" s="1"/>
      <c r="I319" s="1"/>
    </row>
    <row r="320" spans="2:9" ht="15.75" customHeight="1" x14ac:dyDescent="0.25">
      <c r="B320" s="1"/>
      <c r="C320" s="1"/>
      <c r="D320" s="1"/>
      <c r="E320" s="1"/>
      <c r="F320" s="1"/>
      <c r="G320" s="1"/>
      <c r="H320" s="1"/>
      <c r="I320" s="1"/>
    </row>
    <row r="321" spans="2:9" ht="15.75" customHeight="1" x14ac:dyDescent="0.25">
      <c r="B321" s="1"/>
      <c r="C321" s="1"/>
      <c r="D321" s="1"/>
      <c r="E321" s="1"/>
      <c r="F321" s="1"/>
      <c r="G321" s="1"/>
      <c r="H321" s="1"/>
      <c r="I321" s="1"/>
    </row>
    <row r="322" spans="2:9" ht="15.75" customHeight="1" x14ac:dyDescent="0.25">
      <c r="B322" s="1"/>
      <c r="C322" s="1"/>
      <c r="D322" s="1"/>
      <c r="E322" s="1"/>
      <c r="F322" s="1"/>
      <c r="G322" s="1"/>
      <c r="H322" s="1"/>
      <c r="I322" s="1"/>
    </row>
    <row r="323" spans="2:9" ht="15.75" customHeight="1" x14ac:dyDescent="0.25">
      <c r="B323" s="1"/>
      <c r="C323" s="1"/>
      <c r="D323" s="1"/>
      <c r="E323" s="1"/>
      <c r="F323" s="1"/>
      <c r="G323" s="1"/>
      <c r="H323" s="1"/>
      <c r="I323" s="1"/>
    </row>
    <row r="324" spans="2:9" ht="15.75" customHeight="1" x14ac:dyDescent="0.25">
      <c r="B324" s="1"/>
      <c r="C324" s="1"/>
      <c r="D324" s="1"/>
      <c r="E324" s="1"/>
      <c r="F324" s="1"/>
      <c r="G324" s="1"/>
      <c r="H324" s="1"/>
      <c r="I324" s="1"/>
    </row>
    <row r="325" spans="2:9" ht="15.75" customHeight="1" x14ac:dyDescent="0.25">
      <c r="B325" s="1"/>
      <c r="C325" s="1"/>
      <c r="D325" s="1"/>
      <c r="E325" s="1"/>
      <c r="F325" s="1"/>
      <c r="G325" s="1"/>
      <c r="H325" s="1"/>
      <c r="I325" s="1"/>
    </row>
    <row r="326" spans="2:9" ht="15.75" customHeight="1" x14ac:dyDescent="0.25">
      <c r="B326" s="1"/>
      <c r="C326" s="1"/>
      <c r="D326" s="1"/>
      <c r="E326" s="1"/>
      <c r="F326" s="1"/>
      <c r="G326" s="1"/>
      <c r="H326" s="1"/>
      <c r="I326" s="1"/>
    </row>
    <row r="327" spans="2:9" ht="15.75" customHeight="1" x14ac:dyDescent="0.25">
      <c r="B327" s="1"/>
      <c r="C327" s="1"/>
      <c r="D327" s="1"/>
      <c r="E327" s="1"/>
      <c r="F327" s="1"/>
      <c r="G327" s="1"/>
      <c r="H327" s="1"/>
      <c r="I327" s="1"/>
    </row>
    <row r="328" spans="2:9" ht="15.75" customHeight="1" x14ac:dyDescent="0.25">
      <c r="B328" s="1"/>
      <c r="C328" s="1"/>
      <c r="D328" s="1"/>
      <c r="E328" s="1"/>
      <c r="F328" s="1"/>
      <c r="G328" s="1"/>
      <c r="H328" s="1"/>
      <c r="I328" s="1"/>
    </row>
    <row r="329" spans="2:9" ht="15.75" customHeight="1" x14ac:dyDescent="0.25">
      <c r="B329" s="1"/>
      <c r="C329" s="1"/>
      <c r="D329" s="1"/>
      <c r="E329" s="1"/>
      <c r="F329" s="1"/>
      <c r="G329" s="1"/>
      <c r="H329" s="1"/>
      <c r="I329" s="1"/>
    </row>
    <row r="330" spans="2:9" ht="15.75" customHeight="1" x14ac:dyDescent="0.25">
      <c r="B330" s="1"/>
      <c r="C330" s="1"/>
      <c r="D330" s="1"/>
      <c r="E330" s="1"/>
      <c r="F330" s="1"/>
      <c r="G330" s="1"/>
      <c r="H330" s="1"/>
      <c r="I330" s="1"/>
    </row>
    <row r="331" spans="2:9" ht="15.75" customHeight="1" x14ac:dyDescent="0.25">
      <c r="B331" s="1"/>
      <c r="C331" s="1"/>
      <c r="D331" s="1"/>
      <c r="E331" s="1"/>
      <c r="F331" s="1"/>
      <c r="G331" s="1"/>
      <c r="H331" s="1"/>
      <c r="I331" s="1"/>
    </row>
    <row r="332" spans="2:9" ht="15.75" customHeight="1" x14ac:dyDescent="0.25">
      <c r="B332" s="1"/>
      <c r="C332" s="1"/>
      <c r="D332" s="1"/>
      <c r="E332" s="1"/>
      <c r="F332" s="1"/>
      <c r="G332" s="1"/>
      <c r="H332" s="1"/>
      <c r="I332" s="1"/>
    </row>
    <row r="333" spans="2:9" ht="15.75" customHeight="1" x14ac:dyDescent="0.25">
      <c r="B333" s="1"/>
      <c r="C333" s="1"/>
      <c r="D333" s="1"/>
      <c r="E333" s="1"/>
      <c r="F333" s="1"/>
      <c r="G333" s="1"/>
      <c r="H333" s="1"/>
      <c r="I333" s="1"/>
    </row>
    <row r="334" spans="2:9" ht="15.75" customHeight="1" x14ac:dyDescent="0.25">
      <c r="B334" s="1"/>
      <c r="C334" s="1"/>
      <c r="D334" s="1"/>
      <c r="E334" s="1"/>
      <c r="F334" s="1"/>
      <c r="G334" s="1"/>
      <c r="H334" s="1"/>
      <c r="I334" s="1"/>
    </row>
    <row r="335" spans="2:9" ht="15.75" customHeight="1" x14ac:dyDescent="0.25">
      <c r="B335" s="1"/>
      <c r="C335" s="1"/>
      <c r="D335" s="1"/>
      <c r="E335" s="1"/>
      <c r="F335" s="1"/>
      <c r="G335" s="1"/>
      <c r="H335" s="1"/>
      <c r="I335" s="1"/>
    </row>
    <row r="336" spans="2:9" ht="15.75" customHeight="1" x14ac:dyDescent="0.25">
      <c r="B336" s="1"/>
      <c r="C336" s="1"/>
      <c r="D336" s="1"/>
      <c r="E336" s="1"/>
      <c r="F336" s="1"/>
      <c r="G336" s="1"/>
      <c r="H336" s="1"/>
      <c r="I336" s="1"/>
    </row>
    <row r="337" spans="2:9" ht="15.75" customHeight="1" x14ac:dyDescent="0.25">
      <c r="B337" s="1"/>
      <c r="C337" s="1"/>
      <c r="D337" s="1"/>
      <c r="E337" s="1"/>
      <c r="F337" s="1"/>
      <c r="G337" s="1"/>
      <c r="H337" s="1"/>
      <c r="I337" s="1"/>
    </row>
    <row r="338" spans="2:9" ht="15.75" customHeight="1" x14ac:dyDescent="0.25">
      <c r="B338" s="1"/>
      <c r="C338" s="1"/>
      <c r="D338" s="1"/>
      <c r="E338" s="1"/>
      <c r="F338" s="1"/>
      <c r="G338" s="1"/>
      <c r="H338" s="1"/>
      <c r="I338" s="1"/>
    </row>
    <row r="339" spans="2:9" ht="15.75" customHeight="1" x14ac:dyDescent="0.25">
      <c r="B339" s="1"/>
      <c r="C339" s="1"/>
      <c r="D339" s="1"/>
      <c r="E339" s="1"/>
      <c r="F339" s="1"/>
      <c r="G339" s="1"/>
      <c r="H339" s="1"/>
      <c r="I339" s="1"/>
    </row>
    <row r="340" spans="2:9" ht="15.75" customHeight="1" x14ac:dyDescent="0.25">
      <c r="B340" s="1"/>
      <c r="C340" s="1"/>
      <c r="D340" s="1"/>
      <c r="E340" s="1"/>
      <c r="F340" s="1"/>
      <c r="G340" s="1"/>
      <c r="H340" s="1"/>
      <c r="I340" s="1"/>
    </row>
    <row r="341" spans="2:9" ht="15.75" customHeight="1" x14ac:dyDescent="0.25">
      <c r="B341" s="1"/>
      <c r="C341" s="1"/>
      <c r="D341" s="1"/>
      <c r="E341" s="1"/>
      <c r="F341" s="1"/>
      <c r="G341" s="1"/>
      <c r="H341" s="1"/>
      <c r="I341" s="1"/>
    </row>
    <row r="342" spans="2:9" ht="15.75" customHeight="1" x14ac:dyDescent="0.25">
      <c r="B342" s="1"/>
      <c r="C342" s="1"/>
      <c r="D342" s="1"/>
      <c r="E342" s="1"/>
      <c r="F342" s="1"/>
      <c r="G342" s="1"/>
      <c r="H342" s="1"/>
      <c r="I342" s="1"/>
    </row>
    <row r="343" spans="2:9" ht="15.75" customHeight="1" x14ac:dyDescent="0.25">
      <c r="B343" s="1"/>
      <c r="C343" s="1"/>
      <c r="D343" s="1"/>
      <c r="E343" s="1"/>
      <c r="F343" s="1"/>
      <c r="G343" s="1"/>
      <c r="H343" s="1"/>
      <c r="I343" s="1"/>
    </row>
    <row r="344" spans="2:9" ht="15.75" customHeight="1" x14ac:dyDescent="0.25">
      <c r="B344" s="1"/>
      <c r="C344" s="1"/>
      <c r="D344" s="1"/>
      <c r="E344" s="1"/>
      <c r="F344" s="1"/>
      <c r="G344" s="1"/>
      <c r="H344" s="1"/>
      <c r="I344" s="1"/>
    </row>
    <row r="345" spans="2:9" ht="15.75" customHeight="1" x14ac:dyDescent="0.25">
      <c r="B345" s="1"/>
      <c r="C345" s="1"/>
      <c r="D345" s="1"/>
      <c r="E345" s="1"/>
      <c r="F345" s="1"/>
      <c r="G345" s="1"/>
      <c r="H345" s="1"/>
      <c r="I345" s="1"/>
    </row>
    <row r="346" spans="2:9" ht="15.75" customHeight="1" x14ac:dyDescent="0.25">
      <c r="B346" s="1"/>
      <c r="C346" s="1"/>
      <c r="D346" s="1"/>
      <c r="E346" s="1"/>
      <c r="F346" s="1"/>
      <c r="G346" s="1"/>
      <c r="H346" s="1"/>
      <c r="I346" s="1"/>
    </row>
    <row r="347" spans="2:9" ht="15.75" customHeight="1" x14ac:dyDescent="0.25">
      <c r="B347" s="1"/>
      <c r="C347" s="1"/>
      <c r="D347" s="1"/>
      <c r="E347" s="1"/>
      <c r="F347" s="1"/>
      <c r="G347" s="1"/>
      <c r="H347" s="1"/>
      <c r="I347" s="1"/>
    </row>
    <row r="348" spans="2:9" ht="15.75" customHeight="1" x14ac:dyDescent="0.25">
      <c r="B348" s="1"/>
      <c r="C348" s="1"/>
      <c r="D348" s="1"/>
      <c r="E348" s="1"/>
      <c r="F348" s="1"/>
      <c r="G348" s="1"/>
      <c r="H348" s="1"/>
      <c r="I348" s="1"/>
    </row>
    <row r="349" spans="2:9" ht="15.75" customHeight="1" x14ac:dyDescent="0.25">
      <c r="B349" s="1"/>
      <c r="C349" s="1"/>
      <c r="D349" s="1"/>
      <c r="E349" s="1"/>
      <c r="F349" s="1"/>
      <c r="G349" s="1"/>
      <c r="H349" s="1"/>
      <c r="I349" s="1"/>
    </row>
    <row r="350" spans="2:9" ht="15.75" customHeight="1" x14ac:dyDescent="0.25">
      <c r="B350" s="1"/>
      <c r="C350" s="1"/>
      <c r="D350" s="1"/>
      <c r="E350" s="1"/>
      <c r="F350" s="1"/>
      <c r="G350" s="1"/>
      <c r="H350" s="1"/>
      <c r="I350" s="1"/>
    </row>
    <row r="351" spans="2:9" ht="15.75" customHeight="1" x14ac:dyDescent="0.25">
      <c r="B351" s="1"/>
      <c r="C351" s="1"/>
      <c r="D351" s="1"/>
      <c r="E351" s="1"/>
      <c r="F351" s="1"/>
      <c r="G351" s="1"/>
      <c r="H351" s="1"/>
      <c r="I351" s="1"/>
    </row>
    <row r="352" spans="2:9" ht="15.75" customHeight="1" x14ac:dyDescent="0.25">
      <c r="B352" s="1"/>
      <c r="C352" s="1"/>
      <c r="D352" s="1"/>
      <c r="E352" s="1"/>
      <c r="F352" s="1"/>
      <c r="G352" s="1"/>
      <c r="H352" s="1"/>
      <c r="I352" s="1"/>
    </row>
    <row r="353" spans="2:9" ht="15.75" customHeight="1" x14ac:dyDescent="0.25">
      <c r="B353" s="1"/>
      <c r="C353" s="1"/>
      <c r="D353" s="1"/>
      <c r="E353" s="1"/>
      <c r="F353" s="1"/>
      <c r="G353" s="1"/>
      <c r="H353" s="1"/>
      <c r="I353" s="1"/>
    </row>
    <row r="354" spans="2:9" ht="15.75" customHeight="1" x14ac:dyDescent="0.25">
      <c r="B354" s="1"/>
      <c r="C354" s="1"/>
      <c r="D354" s="1"/>
      <c r="E354" s="1"/>
      <c r="F354" s="1"/>
      <c r="G354" s="1"/>
      <c r="H354" s="1"/>
      <c r="I354" s="1"/>
    </row>
    <row r="355" spans="2:9" ht="15.75" customHeight="1" x14ac:dyDescent="0.25">
      <c r="B355" s="1"/>
      <c r="C355" s="1"/>
      <c r="D355" s="1"/>
      <c r="E355" s="1"/>
      <c r="F355" s="1"/>
      <c r="G355" s="1"/>
      <c r="H355" s="1"/>
      <c r="I355" s="1"/>
    </row>
    <row r="356" spans="2:9" ht="15.75" customHeight="1" x14ac:dyDescent="0.25">
      <c r="B356" s="1"/>
      <c r="C356" s="1"/>
      <c r="D356" s="1"/>
      <c r="E356" s="1"/>
      <c r="F356" s="1"/>
      <c r="G356" s="1"/>
      <c r="H356" s="1"/>
      <c r="I356" s="1"/>
    </row>
    <row r="357" spans="2:9" ht="15.75" customHeight="1" x14ac:dyDescent="0.25">
      <c r="B357" s="1"/>
      <c r="C357" s="1"/>
      <c r="D357" s="1"/>
      <c r="E357" s="1"/>
      <c r="F357" s="1"/>
      <c r="G357" s="1"/>
      <c r="H357" s="1"/>
      <c r="I357" s="1"/>
    </row>
    <row r="358" spans="2:9" ht="15.75" customHeight="1" x14ac:dyDescent="0.25">
      <c r="B358" s="1"/>
      <c r="C358" s="1"/>
      <c r="D358" s="1"/>
      <c r="E358" s="1"/>
      <c r="F358" s="1"/>
      <c r="G358" s="1"/>
      <c r="H358" s="1"/>
      <c r="I358" s="1"/>
    </row>
    <row r="359" spans="2:9" ht="15.75" customHeight="1" x14ac:dyDescent="0.25">
      <c r="B359" s="1"/>
      <c r="C359" s="1"/>
      <c r="D359" s="1"/>
      <c r="E359" s="1"/>
      <c r="F359" s="1"/>
      <c r="G359" s="1"/>
      <c r="H359" s="1"/>
      <c r="I359" s="1"/>
    </row>
    <row r="360" spans="2:9" ht="15.75" customHeight="1" x14ac:dyDescent="0.25">
      <c r="B360" s="1"/>
      <c r="C360" s="1"/>
      <c r="D360" s="1"/>
      <c r="E360" s="1"/>
      <c r="F360" s="1"/>
      <c r="G360" s="1"/>
      <c r="H360" s="1"/>
      <c r="I360" s="1"/>
    </row>
    <row r="361" spans="2:9" ht="15.75" customHeight="1" x14ac:dyDescent="0.25">
      <c r="B361" s="1"/>
      <c r="C361" s="1"/>
      <c r="D361" s="1"/>
      <c r="E361" s="1"/>
      <c r="F361" s="1"/>
      <c r="G361" s="1"/>
      <c r="H361" s="1"/>
      <c r="I361" s="1"/>
    </row>
    <row r="362" spans="2:9" ht="15.75" customHeight="1" x14ac:dyDescent="0.25">
      <c r="B362" s="1"/>
      <c r="C362" s="1"/>
      <c r="D362" s="1"/>
      <c r="E362" s="1"/>
      <c r="F362" s="1"/>
      <c r="G362" s="1"/>
      <c r="H362" s="1"/>
      <c r="I362" s="1"/>
    </row>
    <row r="363" spans="2:9" ht="15.75" customHeight="1" x14ac:dyDescent="0.25">
      <c r="B363" s="1"/>
      <c r="C363" s="1"/>
      <c r="D363" s="1"/>
      <c r="E363" s="1"/>
      <c r="F363" s="1"/>
      <c r="G363" s="1"/>
      <c r="H363" s="1"/>
      <c r="I363" s="1"/>
    </row>
    <row r="364" spans="2:9" ht="15.75" customHeight="1" x14ac:dyDescent="0.25">
      <c r="B364" s="1"/>
      <c r="C364" s="1"/>
      <c r="D364" s="1"/>
      <c r="E364" s="1"/>
      <c r="F364" s="1"/>
      <c r="G364" s="1"/>
      <c r="H364" s="1"/>
      <c r="I364" s="1"/>
    </row>
    <row r="365" spans="2:9" ht="15.75" customHeight="1" x14ac:dyDescent="0.25">
      <c r="B365" s="1"/>
      <c r="C365" s="1"/>
      <c r="D365" s="1"/>
      <c r="E365" s="1"/>
      <c r="F365" s="1"/>
      <c r="G365" s="1"/>
      <c r="H365" s="1"/>
      <c r="I365" s="1"/>
    </row>
    <row r="366" spans="2:9" ht="15.75" customHeight="1" x14ac:dyDescent="0.25">
      <c r="B366" s="1"/>
      <c r="C366" s="1"/>
      <c r="D366" s="1"/>
      <c r="E366" s="1"/>
      <c r="F366" s="1"/>
      <c r="G366" s="1"/>
      <c r="H366" s="1"/>
      <c r="I366" s="1"/>
    </row>
    <row r="367" spans="2:9" ht="15.75" customHeight="1" x14ac:dyDescent="0.25">
      <c r="B367" s="1"/>
      <c r="C367" s="1"/>
      <c r="D367" s="1"/>
      <c r="E367" s="1"/>
      <c r="F367" s="1"/>
      <c r="G367" s="1"/>
      <c r="H367" s="1"/>
      <c r="I367" s="1"/>
    </row>
    <row r="368" spans="2:9" ht="15.75" customHeight="1" x14ac:dyDescent="0.25">
      <c r="B368" s="1"/>
      <c r="C368" s="1"/>
      <c r="D368" s="1"/>
      <c r="E368" s="1"/>
      <c r="F368" s="1"/>
      <c r="G368" s="1"/>
      <c r="H368" s="1"/>
      <c r="I368" s="1"/>
    </row>
    <row r="369" spans="2:9" ht="15.75" customHeight="1" x14ac:dyDescent="0.25">
      <c r="B369" s="1"/>
      <c r="C369" s="1"/>
      <c r="D369" s="1"/>
      <c r="E369" s="1"/>
      <c r="F369" s="1"/>
      <c r="G369" s="1"/>
      <c r="H369" s="1"/>
      <c r="I369" s="1"/>
    </row>
    <row r="370" spans="2:9" ht="15.75" customHeight="1" x14ac:dyDescent="0.25">
      <c r="B370" s="1"/>
      <c r="C370" s="1"/>
      <c r="D370" s="1"/>
      <c r="E370" s="1"/>
      <c r="F370" s="1"/>
      <c r="G370" s="1"/>
      <c r="H370" s="1"/>
      <c r="I370" s="1"/>
    </row>
    <row r="371" spans="2:9" ht="15.75" customHeight="1" x14ac:dyDescent="0.25">
      <c r="B371" s="1"/>
      <c r="C371" s="1"/>
      <c r="D371" s="1"/>
      <c r="E371" s="1"/>
      <c r="F371" s="1"/>
      <c r="G371" s="1"/>
      <c r="H371" s="1"/>
      <c r="I371" s="1"/>
    </row>
    <row r="372" spans="2:9" ht="15.75" customHeight="1" x14ac:dyDescent="0.25">
      <c r="B372" s="1"/>
      <c r="C372" s="1"/>
      <c r="D372" s="1"/>
      <c r="E372" s="1"/>
      <c r="F372" s="1"/>
      <c r="G372" s="1"/>
      <c r="H372" s="1"/>
      <c r="I372" s="1"/>
    </row>
    <row r="373" spans="2:9" ht="15.75" customHeight="1" x14ac:dyDescent="0.25">
      <c r="B373" s="1"/>
      <c r="C373" s="1"/>
      <c r="D373" s="1"/>
      <c r="E373" s="1"/>
      <c r="F373" s="1"/>
      <c r="G373" s="1"/>
      <c r="H373" s="1"/>
      <c r="I373" s="1"/>
    </row>
    <row r="374" spans="2:9" ht="15.75" customHeight="1" x14ac:dyDescent="0.25">
      <c r="B374" s="1"/>
      <c r="C374" s="1"/>
      <c r="D374" s="1"/>
      <c r="E374" s="1"/>
      <c r="F374" s="1"/>
      <c r="G374" s="1"/>
      <c r="H374" s="1"/>
      <c r="I374" s="1"/>
    </row>
    <row r="375" spans="2:9" ht="15.75" customHeight="1" x14ac:dyDescent="0.25">
      <c r="B375" s="1"/>
      <c r="C375" s="1"/>
      <c r="D375" s="1"/>
      <c r="E375" s="1"/>
      <c r="F375" s="1"/>
      <c r="G375" s="1"/>
      <c r="H375" s="1"/>
      <c r="I375" s="1"/>
    </row>
    <row r="376" spans="2:9" ht="15.75" customHeight="1" x14ac:dyDescent="0.25">
      <c r="B376" s="1"/>
      <c r="C376" s="1"/>
      <c r="D376" s="1"/>
      <c r="E376" s="1"/>
      <c r="F376" s="1"/>
      <c r="G376" s="1"/>
      <c r="H376" s="1"/>
      <c r="I376" s="1"/>
    </row>
    <row r="377" spans="2:9" ht="15.75" customHeight="1" x14ac:dyDescent="0.25">
      <c r="B377" s="1"/>
      <c r="C377" s="1"/>
      <c r="D377" s="1"/>
      <c r="E377" s="1"/>
      <c r="F377" s="1"/>
      <c r="G377" s="1"/>
      <c r="H377" s="1"/>
      <c r="I377" s="1"/>
    </row>
    <row r="378" spans="2:9" ht="15.75" customHeight="1" x14ac:dyDescent="0.25">
      <c r="B378" s="1"/>
      <c r="C378" s="1"/>
      <c r="D378" s="1"/>
      <c r="E378" s="1"/>
      <c r="F378" s="1"/>
      <c r="G378" s="1"/>
      <c r="H378" s="1"/>
      <c r="I378" s="1"/>
    </row>
    <row r="379" spans="2:9" ht="15.75" customHeight="1" x14ac:dyDescent="0.25">
      <c r="B379" s="1"/>
      <c r="C379" s="1"/>
      <c r="D379" s="1"/>
      <c r="E379" s="1"/>
      <c r="F379" s="1"/>
      <c r="G379" s="1"/>
      <c r="H379" s="1"/>
      <c r="I379" s="1"/>
    </row>
    <row r="380" spans="2:9" ht="15.75" customHeight="1" x14ac:dyDescent="0.25">
      <c r="B380" s="1"/>
      <c r="C380" s="1"/>
      <c r="D380" s="1"/>
      <c r="E380" s="1"/>
      <c r="F380" s="1"/>
      <c r="G380" s="1"/>
      <c r="H380" s="1"/>
      <c r="I380" s="1"/>
    </row>
    <row r="381" spans="2:9" ht="15.75" customHeight="1" x14ac:dyDescent="0.25">
      <c r="B381" s="1"/>
      <c r="C381" s="1"/>
      <c r="D381" s="1"/>
      <c r="E381" s="1"/>
      <c r="F381" s="1"/>
      <c r="G381" s="1"/>
      <c r="H381" s="1"/>
      <c r="I381" s="1"/>
    </row>
    <row r="382" spans="2:9" ht="15.75" customHeight="1" x14ac:dyDescent="0.25">
      <c r="B382" s="1"/>
      <c r="C382" s="1"/>
      <c r="D382" s="1"/>
      <c r="E382" s="1"/>
      <c r="F382" s="1"/>
      <c r="G382" s="1"/>
      <c r="H382" s="1"/>
      <c r="I382" s="1"/>
    </row>
    <row r="383" spans="2:9" ht="15.75" customHeight="1" x14ac:dyDescent="0.25">
      <c r="B383" s="1"/>
      <c r="C383" s="1"/>
      <c r="D383" s="1"/>
      <c r="E383" s="1"/>
      <c r="F383" s="1"/>
      <c r="G383" s="1"/>
      <c r="H383" s="1"/>
      <c r="I383" s="1"/>
    </row>
    <row r="384" spans="2:9" ht="15.75" customHeight="1" x14ac:dyDescent="0.25">
      <c r="B384" s="1"/>
      <c r="C384" s="1"/>
      <c r="D384" s="1"/>
      <c r="E384" s="1"/>
      <c r="F384" s="1"/>
      <c r="G384" s="1"/>
      <c r="H384" s="1"/>
      <c r="I384" s="1"/>
    </row>
    <row r="385" spans="2:9" ht="15.75" customHeight="1" x14ac:dyDescent="0.25">
      <c r="B385" s="1"/>
      <c r="C385" s="1"/>
      <c r="D385" s="1"/>
      <c r="E385" s="1"/>
      <c r="F385" s="1"/>
      <c r="G385" s="1"/>
      <c r="H385" s="1"/>
      <c r="I385" s="1"/>
    </row>
    <row r="386" spans="2:9" ht="15.75" customHeight="1" x14ac:dyDescent="0.25">
      <c r="B386" s="1"/>
      <c r="C386" s="1"/>
      <c r="D386" s="1"/>
      <c r="E386" s="1"/>
      <c r="F386" s="1"/>
      <c r="G386" s="1"/>
      <c r="H386" s="1"/>
      <c r="I386" s="1"/>
    </row>
    <row r="387" spans="2:9" ht="15.75" customHeight="1" x14ac:dyDescent="0.25">
      <c r="B387" s="1"/>
      <c r="C387" s="1"/>
      <c r="D387" s="1"/>
      <c r="E387" s="1"/>
      <c r="F387" s="1"/>
      <c r="G387" s="1"/>
      <c r="H387" s="1"/>
      <c r="I387" s="1"/>
    </row>
    <row r="388" spans="2:9" ht="15.75" customHeight="1" x14ac:dyDescent="0.25">
      <c r="B388" s="1"/>
      <c r="C388" s="1"/>
      <c r="D388" s="1"/>
      <c r="E388" s="1"/>
      <c r="F388" s="1"/>
      <c r="G388" s="1"/>
      <c r="H388" s="1"/>
      <c r="I388" s="1"/>
    </row>
    <row r="389" spans="2:9" ht="15.75" customHeight="1" x14ac:dyDescent="0.25">
      <c r="B389" s="1"/>
      <c r="C389" s="1"/>
      <c r="D389" s="1"/>
      <c r="E389" s="1"/>
      <c r="F389" s="1"/>
      <c r="G389" s="1"/>
      <c r="H389" s="1"/>
      <c r="I389" s="1"/>
    </row>
    <row r="390" spans="2:9" ht="15.75" customHeight="1" x14ac:dyDescent="0.25">
      <c r="B390" s="1"/>
      <c r="C390" s="1"/>
      <c r="D390" s="1"/>
      <c r="E390" s="1"/>
      <c r="F390" s="1"/>
      <c r="G390" s="1"/>
      <c r="H390" s="1"/>
      <c r="I390" s="1"/>
    </row>
    <row r="391" spans="2:9" ht="15.75" customHeight="1" x14ac:dyDescent="0.25">
      <c r="B391" s="1"/>
      <c r="C391" s="1"/>
      <c r="D391" s="1"/>
      <c r="E391" s="1"/>
      <c r="F391" s="1"/>
      <c r="G391" s="1"/>
      <c r="H391" s="1"/>
      <c r="I391" s="1"/>
    </row>
    <row r="392" spans="2:9" ht="15.75" customHeight="1" x14ac:dyDescent="0.25">
      <c r="B392" s="1"/>
      <c r="C392" s="1"/>
      <c r="D392" s="1"/>
      <c r="E392" s="1"/>
      <c r="F392" s="1"/>
      <c r="G392" s="1"/>
      <c r="H392" s="1"/>
      <c r="I392" s="1"/>
    </row>
    <row r="393" spans="2:9" ht="15.75" customHeight="1" x14ac:dyDescent="0.25">
      <c r="B393" s="1"/>
      <c r="C393" s="1"/>
      <c r="D393" s="1"/>
      <c r="E393" s="1"/>
      <c r="F393" s="1"/>
      <c r="G393" s="1"/>
      <c r="H393" s="1"/>
      <c r="I393" s="1"/>
    </row>
    <row r="394" spans="2:9" ht="15.75" customHeight="1" x14ac:dyDescent="0.25">
      <c r="B394" s="1"/>
      <c r="C394" s="1"/>
      <c r="D394" s="1"/>
      <c r="E394" s="1"/>
      <c r="F394" s="1"/>
      <c r="G394" s="1"/>
      <c r="H394" s="1"/>
      <c r="I394" s="1"/>
    </row>
    <row r="395" spans="2:9" ht="15.75" customHeight="1" x14ac:dyDescent="0.25">
      <c r="B395" s="1"/>
      <c r="C395" s="1"/>
      <c r="D395" s="1"/>
      <c r="E395" s="1"/>
      <c r="F395" s="1"/>
      <c r="G395" s="1"/>
      <c r="H395" s="1"/>
      <c r="I395" s="1"/>
    </row>
    <row r="396" spans="2:9" ht="15.75" customHeight="1" x14ac:dyDescent="0.25">
      <c r="B396" s="1"/>
      <c r="C396" s="1"/>
      <c r="D396" s="1"/>
      <c r="E396" s="1"/>
      <c r="F396" s="1"/>
      <c r="G396" s="1"/>
      <c r="H396" s="1"/>
      <c r="I396" s="1"/>
    </row>
    <row r="397" spans="2:9" ht="15.75" customHeight="1" x14ac:dyDescent="0.25">
      <c r="B397" s="1"/>
      <c r="C397" s="1"/>
      <c r="D397" s="1"/>
      <c r="E397" s="1"/>
      <c r="F397" s="1"/>
      <c r="G397" s="1"/>
      <c r="H397" s="1"/>
      <c r="I397" s="1"/>
    </row>
    <row r="398" spans="2:9" ht="15.75" customHeight="1" x14ac:dyDescent="0.25">
      <c r="B398" s="1"/>
      <c r="C398" s="1"/>
      <c r="D398" s="1"/>
      <c r="E398" s="1"/>
      <c r="F398" s="1"/>
      <c r="G398" s="1"/>
      <c r="H398" s="1"/>
      <c r="I398" s="1"/>
    </row>
    <row r="399" spans="2:9" ht="15.75" customHeight="1" x14ac:dyDescent="0.25">
      <c r="B399" s="1"/>
      <c r="C399" s="1"/>
      <c r="D399" s="1"/>
      <c r="E399" s="1"/>
      <c r="F399" s="1"/>
      <c r="G399" s="1"/>
      <c r="H399" s="1"/>
      <c r="I399" s="1"/>
    </row>
    <row r="400" spans="2:9" ht="15.75" customHeight="1" x14ac:dyDescent="0.25">
      <c r="B400" s="1"/>
      <c r="C400" s="1"/>
      <c r="D400" s="1"/>
      <c r="E400" s="1"/>
      <c r="F400" s="1"/>
      <c r="G400" s="1"/>
      <c r="H400" s="1"/>
      <c r="I400" s="1"/>
    </row>
    <row r="401" spans="2:9" ht="15.75" customHeight="1" x14ac:dyDescent="0.25">
      <c r="B401" s="1"/>
      <c r="C401" s="1"/>
      <c r="D401" s="1"/>
      <c r="E401" s="1"/>
      <c r="F401" s="1"/>
      <c r="G401" s="1"/>
      <c r="H401" s="1"/>
      <c r="I401" s="1"/>
    </row>
    <row r="402" spans="2:9" ht="15.75" customHeight="1" x14ac:dyDescent="0.25">
      <c r="B402" s="1"/>
      <c r="C402" s="1"/>
      <c r="D402" s="1"/>
      <c r="E402" s="1"/>
      <c r="F402" s="1"/>
      <c r="G402" s="1"/>
      <c r="H402" s="1"/>
      <c r="I402" s="1"/>
    </row>
    <row r="403" spans="2:9" ht="15.75" customHeight="1" x14ac:dyDescent="0.25">
      <c r="B403" s="1"/>
      <c r="C403" s="1"/>
      <c r="D403" s="1"/>
      <c r="E403" s="1"/>
      <c r="F403" s="1"/>
      <c r="G403" s="1"/>
      <c r="H403" s="1"/>
      <c r="I403" s="1"/>
    </row>
    <row r="404" spans="2:9" ht="15.75" customHeight="1" x14ac:dyDescent="0.25">
      <c r="B404" s="1"/>
      <c r="C404" s="1"/>
      <c r="D404" s="1"/>
      <c r="E404" s="1"/>
      <c r="F404" s="1"/>
      <c r="G404" s="1"/>
      <c r="H404" s="1"/>
      <c r="I404" s="1"/>
    </row>
    <row r="405" spans="2:9" ht="15.75" customHeight="1" x14ac:dyDescent="0.25">
      <c r="B405" s="1"/>
      <c r="C405" s="1"/>
      <c r="D405" s="1"/>
      <c r="E405" s="1"/>
      <c r="F405" s="1"/>
      <c r="G405" s="1"/>
      <c r="H405" s="1"/>
      <c r="I405" s="1"/>
    </row>
    <row r="406" spans="2:9" ht="15.75" customHeight="1" x14ac:dyDescent="0.25">
      <c r="B406" s="1"/>
      <c r="C406" s="1"/>
      <c r="D406" s="1"/>
      <c r="E406" s="1"/>
      <c r="F406" s="1"/>
      <c r="G406" s="1"/>
      <c r="H406" s="1"/>
      <c r="I406" s="1"/>
    </row>
    <row r="407" spans="2:9" ht="15.75" customHeight="1" x14ac:dyDescent="0.25">
      <c r="B407" s="1"/>
      <c r="C407" s="1"/>
      <c r="D407" s="1"/>
      <c r="E407" s="1"/>
      <c r="F407" s="1"/>
      <c r="G407" s="1"/>
      <c r="H407" s="1"/>
      <c r="I407" s="1"/>
    </row>
    <row r="408" spans="2:9" ht="15.75" customHeight="1" x14ac:dyDescent="0.25">
      <c r="B408" s="1"/>
      <c r="C408" s="1"/>
      <c r="D408" s="1"/>
      <c r="E408" s="1"/>
      <c r="F408" s="1"/>
      <c r="G408" s="1"/>
      <c r="H408" s="1"/>
      <c r="I408" s="1"/>
    </row>
    <row r="409" spans="2:9" ht="15.75" customHeight="1" x14ac:dyDescent="0.25">
      <c r="B409" s="1"/>
      <c r="C409" s="1"/>
      <c r="D409" s="1"/>
      <c r="E409" s="1"/>
      <c r="F409" s="1"/>
      <c r="G409" s="1"/>
      <c r="H409" s="1"/>
      <c r="I409" s="1"/>
    </row>
    <row r="410" spans="2:9" ht="15.75" customHeight="1" x14ac:dyDescent="0.25">
      <c r="B410" s="1"/>
      <c r="C410" s="1"/>
      <c r="D410" s="1"/>
      <c r="E410" s="1"/>
      <c r="F410" s="1"/>
      <c r="G410" s="1"/>
      <c r="H410" s="1"/>
      <c r="I410" s="1"/>
    </row>
    <row r="411" spans="2:9" ht="15.75" customHeight="1" x14ac:dyDescent="0.25">
      <c r="B411" s="1"/>
      <c r="C411" s="1"/>
      <c r="D411" s="1"/>
      <c r="E411" s="1"/>
      <c r="F411" s="1"/>
      <c r="G411" s="1"/>
      <c r="H411" s="1"/>
      <c r="I411" s="1"/>
    </row>
    <row r="412" spans="2:9" ht="15.75" customHeight="1" x14ac:dyDescent="0.25">
      <c r="B412" s="1"/>
      <c r="C412" s="1"/>
      <c r="D412" s="1"/>
      <c r="E412" s="1"/>
      <c r="F412" s="1"/>
      <c r="G412" s="1"/>
      <c r="H412" s="1"/>
      <c r="I412" s="1"/>
    </row>
    <row r="413" spans="2:9" ht="15.75" customHeight="1" x14ac:dyDescent="0.25">
      <c r="B413" s="1"/>
      <c r="C413" s="1"/>
      <c r="D413" s="1"/>
      <c r="E413" s="1"/>
      <c r="F413" s="1"/>
      <c r="G413" s="1"/>
      <c r="H413" s="1"/>
      <c r="I413" s="1"/>
    </row>
    <row r="414" spans="2:9" ht="15.75" customHeight="1" x14ac:dyDescent="0.25">
      <c r="B414" s="1"/>
      <c r="C414" s="1"/>
      <c r="D414" s="1"/>
      <c r="E414" s="1"/>
      <c r="F414" s="1"/>
      <c r="G414" s="1"/>
      <c r="H414" s="1"/>
      <c r="I414" s="1"/>
    </row>
    <row r="415" spans="2:9" ht="15.75" customHeight="1" x14ac:dyDescent="0.25">
      <c r="B415" s="1"/>
      <c r="C415" s="1"/>
      <c r="D415" s="1"/>
      <c r="E415" s="1"/>
      <c r="F415" s="1"/>
      <c r="G415" s="1"/>
      <c r="H415" s="1"/>
      <c r="I415" s="1"/>
    </row>
    <row r="416" spans="2:9" ht="15.75" customHeight="1" x14ac:dyDescent="0.25">
      <c r="B416" s="1"/>
      <c r="C416" s="1"/>
      <c r="D416" s="1"/>
      <c r="E416" s="1"/>
      <c r="F416" s="1"/>
      <c r="G416" s="1"/>
      <c r="H416" s="1"/>
      <c r="I416" s="1"/>
    </row>
    <row r="417" spans="2:9" ht="15.75" customHeight="1" x14ac:dyDescent="0.25">
      <c r="B417" s="1"/>
      <c r="C417" s="1"/>
      <c r="D417" s="1"/>
      <c r="E417" s="1"/>
      <c r="F417" s="1"/>
      <c r="G417" s="1"/>
      <c r="H417" s="1"/>
      <c r="I417" s="1"/>
    </row>
    <row r="418" spans="2:9" ht="15.75" customHeight="1" x14ac:dyDescent="0.25">
      <c r="B418" s="1"/>
      <c r="C418" s="1"/>
      <c r="D418" s="1"/>
      <c r="E418" s="1"/>
      <c r="F418" s="1"/>
      <c r="G418" s="1"/>
      <c r="H418" s="1"/>
      <c r="I418" s="1"/>
    </row>
    <row r="419" spans="2:9" ht="15.75" customHeight="1" x14ac:dyDescent="0.25">
      <c r="B419" s="1"/>
      <c r="C419" s="1"/>
      <c r="D419" s="1"/>
      <c r="E419" s="1"/>
      <c r="F419" s="1"/>
      <c r="G419" s="1"/>
      <c r="H419" s="1"/>
      <c r="I419" s="1"/>
    </row>
    <row r="420" spans="2:9" ht="15.75" customHeight="1" x14ac:dyDescent="0.25">
      <c r="B420" s="1"/>
      <c r="C420" s="1"/>
      <c r="D420" s="1"/>
      <c r="E420" s="1"/>
      <c r="F420" s="1"/>
      <c r="G420" s="1"/>
      <c r="H420" s="1"/>
      <c r="I420" s="1"/>
    </row>
    <row r="421" spans="2:9" ht="15.75" customHeight="1" x14ac:dyDescent="0.25">
      <c r="B421" s="1"/>
      <c r="C421" s="1"/>
      <c r="D421" s="1"/>
      <c r="E421" s="1"/>
      <c r="F421" s="1"/>
      <c r="G421" s="1"/>
      <c r="H421" s="1"/>
      <c r="I421" s="1"/>
    </row>
    <row r="422" spans="2:9" ht="15.75" customHeight="1" x14ac:dyDescent="0.25">
      <c r="B422" s="1"/>
      <c r="C422" s="1"/>
      <c r="D422" s="1"/>
      <c r="E422" s="1"/>
      <c r="F422" s="1"/>
      <c r="G422" s="1"/>
      <c r="H422" s="1"/>
      <c r="I422" s="1"/>
    </row>
    <row r="423" spans="2:9" ht="15.75" customHeight="1" x14ac:dyDescent="0.25">
      <c r="B423" s="1"/>
      <c r="C423" s="1"/>
      <c r="D423" s="1"/>
      <c r="E423" s="1"/>
      <c r="F423" s="1"/>
      <c r="G423" s="1"/>
      <c r="H423" s="1"/>
      <c r="I423" s="1"/>
    </row>
    <row r="424" spans="2:9" ht="15.75" customHeight="1" x14ac:dyDescent="0.25">
      <c r="B424" s="1"/>
      <c r="C424" s="1"/>
      <c r="D424" s="1"/>
      <c r="E424" s="1"/>
      <c r="F424" s="1"/>
      <c r="G424" s="1"/>
      <c r="H424" s="1"/>
      <c r="I424" s="1"/>
    </row>
    <row r="425" spans="2:9" ht="15.75" customHeight="1" x14ac:dyDescent="0.25">
      <c r="B425" s="1"/>
      <c r="C425" s="1"/>
      <c r="D425" s="1"/>
      <c r="E425" s="1"/>
      <c r="F425" s="1"/>
      <c r="G425" s="1"/>
      <c r="H425" s="1"/>
      <c r="I425" s="1"/>
    </row>
    <row r="426" spans="2:9" ht="15.75" customHeight="1" x14ac:dyDescent="0.25">
      <c r="B426" s="1"/>
      <c r="C426" s="1"/>
      <c r="D426" s="1"/>
      <c r="E426" s="1"/>
      <c r="F426" s="1"/>
      <c r="G426" s="1"/>
      <c r="H426" s="1"/>
      <c r="I426" s="1"/>
    </row>
    <row r="427" spans="2:9" ht="15.75" customHeight="1" x14ac:dyDescent="0.25">
      <c r="B427" s="1"/>
      <c r="C427" s="1"/>
      <c r="D427" s="1"/>
      <c r="E427" s="1"/>
      <c r="F427" s="1"/>
      <c r="G427" s="1"/>
      <c r="H427" s="1"/>
      <c r="I427" s="1"/>
    </row>
    <row r="428" spans="2:9" ht="15.75" customHeight="1" x14ac:dyDescent="0.25">
      <c r="B428" s="1"/>
      <c r="C428" s="1"/>
      <c r="D428" s="1"/>
      <c r="E428" s="1"/>
      <c r="F428" s="1"/>
      <c r="G428" s="1"/>
      <c r="H428" s="1"/>
      <c r="I428" s="1"/>
    </row>
    <row r="429" spans="2:9" ht="15.75" customHeight="1" x14ac:dyDescent="0.25">
      <c r="B429" s="1"/>
      <c r="C429" s="1"/>
      <c r="D429" s="1"/>
      <c r="E429" s="1"/>
      <c r="F429" s="1"/>
      <c r="G429" s="1"/>
      <c r="H429" s="1"/>
      <c r="I429" s="1"/>
    </row>
    <row r="430" spans="2:9" ht="15.75" customHeight="1" x14ac:dyDescent="0.25">
      <c r="B430" s="1"/>
      <c r="C430" s="1"/>
      <c r="D430" s="1"/>
      <c r="E430" s="1"/>
      <c r="F430" s="1"/>
      <c r="G430" s="1"/>
      <c r="H430" s="1"/>
      <c r="I430" s="1"/>
    </row>
    <row r="431" spans="2:9" ht="15.75" customHeight="1" x14ac:dyDescent="0.25">
      <c r="B431" s="1"/>
      <c r="C431" s="1"/>
      <c r="D431" s="1"/>
      <c r="E431" s="1"/>
      <c r="F431" s="1"/>
      <c r="G431" s="1"/>
      <c r="H431" s="1"/>
      <c r="I431" s="1"/>
    </row>
    <row r="432" spans="2:9" ht="15.75" customHeight="1" x14ac:dyDescent="0.25">
      <c r="B432" s="1"/>
      <c r="C432" s="1"/>
      <c r="D432" s="1"/>
      <c r="E432" s="1"/>
      <c r="F432" s="1"/>
      <c r="G432" s="1"/>
      <c r="H432" s="1"/>
      <c r="I432" s="1"/>
    </row>
    <row r="433" spans="2:9" ht="15.75" customHeight="1" x14ac:dyDescent="0.25">
      <c r="B433" s="1"/>
      <c r="C433" s="1"/>
      <c r="D433" s="1"/>
      <c r="E433" s="1"/>
      <c r="F433" s="1"/>
      <c r="G433" s="1"/>
      <c r="H433" s="1"/>
      <c r="I433" s="1"/>
    </row>
    <row r="434" spans="2:9" ht="15.75" customHeight="1" x14ac:dyDescent="0.25">
      <c r="B434" s="1"/>
      <c r="C434" s="1"/>
      <c r="D434" s="1"/>
      <c r="E434" s="1"/>
      <c r="F434" s="1"/>
      <c r="G434" s="1"/>
      <c r="H434" s="1"/>
      <c r="I434" s="1"/>
    </row>
    <row r="435" spans="2:9" ht="15.75" customHeight="1" x14ac:dyDescent="0.25">
      <c r="B435" s="1"/>
      <c r="C435" s="1"/>
      <c r="D435" s="1"/>
      <c r="E435" s="1"/>
      <c r="F435" s="1"/>
      <c r="G435" s="1"/>
      <c r="H435" s="1"/>
      <c r="I435" s="1"/>
    </row>
    <row r="436" spans="2:9" ht="15.75" customHeight="1" x14ac:dyDescent="0.25">
      <c r="B436" s="1"/>
      <c r="C436" s="1"/>
      <c r="D436" s="1"/>
      <c r="E436" s="1"/>
      <c r="F436" s="1"/>
      <c r="G436" s="1"/>
      <c r="H436" s="1"/>
      <c r="I436" s="1"/>
    </row>
    <row r="437" spans="2:9" ht="15.75" customHeight="1" x14ac:dyDescent="0.25">
      <c r="B437" s="1"/>
      <c r="C437" s="1"/>
      <c r="D437" s="1"/>
      <c r="E437" s="1"/>
      <c r="F437" s="1"/>
      <c r="G437" s="1"/>
      <c r="H437" s="1"/>
      <c r="I437" s="1"/>
    </row>
    <row r="438" spans="2:9" ht="15.75" customHeight="1" x14ac:dyDescent="0.25">
      <c r="B438" s="1"/>
      <c r="C438" s="1"/>
      <c r="D438" s="1"/>
      <c r="E438" s="1"/>
      <c r="F438" s="1"/>
      <c r="G438" s="1"/>
      <c r="H438" s="1"/>
      <c r="I438" s="1"/>
    </row>
    <row r="439" spans="2:9" ht="15.75" customHeight="1" x14ac:dyDescent="0.25">
      <c r="B439" s="1"/>
      <c r="C439" s="1"/>
      <c r="D439" s="1"/>
      <c r="E439" s="1"/>
      <c r="F439" s="1"/>
      <c r="G439" s="1"/>
      <c r="H439" s="1"/>
      <c r="I439" s="1"/>
    </row>
    <row r="440" spans="2:9" ht="15.75" customHeight="1" x14ac:dyDescent="0.25">
      <c r="B440" s="1"/>
      <c r="C440" s="1"/>
      <c r="D440" s="1"/>
      <c r="E440" s="1"/>
      <c r="F440" s="1"/>
      <c r="G440" s="1"/>
      <c r="H440" s="1"/>
      <c r="I440" s="1"/>
    </row>
    <row r="441" spans="2:9" ht="15.75" customHeight="1" x14ac:dyDescent="0.25">
      <c r="B441" s="1"/>
      <c r="C441" s="1"/>
      <c r="D441" s="1"/>
      <c r="E441" s="1"/>
      <c r="F441" s="1"/>
      <c r="G441" s="1"/>
      <c r="H441" s="1"/>
      <c r="I441" s="1"/>
    </row>
    <row r="442" spans="2:9" ht="15.75" customHeight="1" x14ac:dyDescent="0.25">
      <c r="B442" s="1"/>
      <c r="C442" s="1"/>
      <c r="D442" s="1"/>
      <c r="E442" s="1"/>
      <c r="F442" s="1"/>
      <c r="G442" s="1"/>
      <c r="H442" s="1"/>
      <c r="I442" s="1"/>
    </row>
    <row r="443" spans="2:9" ht="15.75" customHeight="1" x14ac:dyDescent="0.25">
      <c r="B443" s="1"/>
      <c r="C443" s="1"/>
      <c r="D443" s="1"/>
      <c r="E443" s="1"/>
      <c r="F443" s="1"/>
      <c r="G443" s="1"/>
      <c r="H443" s="1"/>
      <c r="I443" s="1"/>
    </row>
    <row r="444" spans="2:9" ht="15.75" customHeight="1" x14ac:dyDescent="0.25">
      <c r="B444" s="1"/>
      <c r="C444" s="1"/>
      <c r="D444" s="1"/>
      <c r="E444" s="1"/>
      <c r="F444" s="1"/>
      <c r="G444" s="1"/>
      <c r="H444" s="1"/>
      <c r="I444" s="1"/>
    </row>
    <row r="445" spans="2:9" ht="15.75" customHeight="1" x14ac:dyDescent="0.25">
      <c r="B445" s="1"/>
      <c r="C445" s="1"/>
      <c r="D445" s="1"/>
      <c r="E445" s="1"/>
      <c r="F445" s="1"/>
      <c r="G445" s="1"/>
      <c r="H445" s="1"/>
      <c r="I445" s="1"/>
    </row>
    <row r="446" spans="2:9" ht="15.75" customHeight="1" x14ac:dyDescent="0.25">
      <c r="B446" s="1"/>
      <c r="C446" s="1"/>
      <c r="D446" s="1"/>
      <c r="E446" s="1"/>
      <c r="F446" s="1"/>
      <c r="G446" s="1"/>
      <c r="H446" s="1"/>
      <c r="I446" s="1"/>
    </row>
    <row r="447" spans="2:9" ht="15.75" customHeight="1" x14ac:dyDescent="0.25">
      <c r="B447" s="1"/>
      <c r="C447" s="1"/>
      <c r="D447" s="1"/>
      <c r="E447" s="1"/>
      <c r="F447" s="1"/>
      <c r="G447" s="1"/>
      <c r="H447" s="1"/>
      <c r="I447" s="1"/>
    </row>
    <row r="448" spans="2:9" ht="15.75" customHeight="1" x14ac:dyDescent="0.25">
      <c r="B448" s="1"/>
      <c r="C448" s="1"/>
      <c r="D448" s="1"/>
      <c r="E448" s="1"/>
      <c r="F448" s="1"/>
      <c r="G448" s="1"/>
      <c r="H448" s="1"/>
      <c r="I448" s="1"/>
    </row>
    <row r="449" spans="2:9" ht="15.75" customHeight="1" x14ac:dyDescent="0.25">
      <c r="B449" s="1"/>
      <c r="C449" s="1"/>
      <c r="D449" s="1"/>
      <c r="E449" s="1"/>
      <c r="F449" s="1"/>
      <c r="G449" s="1"/>
      <c r="H449" s="1"/>
      <c r="I449" s="1"/>
    </row>
    <row r="450" spans="2:9" ht="15.75" customHeight="1" x14ac:dyDescent="0.25">
      <c r="B450" s="1"/>
      <c r="C450" s="1"/>
      <c r="D450" s="1"/>
      <c r="E450" s="1"/>
      <c r="F450" s="1"/>
      <c r="G450" s="1"/>
      <c r="H450" s="1"/>
      <c r="I450" s="1"/>
    </row>
    <row r="451" spans="2:9" ht="15.75" customHeight="1" x14ac:dyDescent="0.25">
      <c r="B451" s="1"/>
      <c r="C451" s="1"/>
      <c r="D451" s="1"/>
      <c r="E451" s="1"/>
      <c r="F451" s="1"/>
      <c r="G451" s="1"/>
      <c r="H451" s="1"/>
      <c r="I451" s="1"/>
    </row>
    <row r="452" spans="2:9" ht="15.75" customHeight="1" x14ac:dyDescent="0.25">
      <c r="B452" s="1"/>
      <c r="C452" s="1"/>
      <c r="D452" s="1"/>
      <c r="E452" s="1"/>
      <c r="F452" s="1"/>
      <c r="G452" s="1"/>
      <c r="H452" s="1"/>
      <c r="I452" s="1"/>
    </row>
    <row r="453" spans="2:9" ht="15.75" customHeight="1" x14ac:dyDescent="0.25">
      <c r="B453" s="1"/>
      <c r="C453" s="1"/>
      <c r="D453" s="1"/>
      <c r="E453" s="1"/>
      <c r="F453" s="1"/>
      <c r="G453" s="1"/>
      <c r="H453" s="1"/>
      <c r="I453" s="1"/>
    </row>
    <row r="454" spans="2:9" ht="15.75" customHeight="1" x14ac:dyDescent="0.25">
      <c r="B454" s="1"/>
      <c r="C454" s="1"/>
      <c r="D454" s="1"/>
      <c r="E454" s="1"/>
      <c r="F454" s="1"/>
      <c r="G454" s="1"/>
      <c r="H454" s="1"/>
      <c r="I454" s="1"/>
    </row>
    <row r="455" spans="2:9" ht="15.75" customHeight="1" x14ac:dyDescent="0.25">
      <c r="B455" s="1"/>
      <c r="C455" s="1"/>
      <c r="D455" s="1"/>
      <c r="E455" s="1"/>
      <c r="F455" s="1"/>
      <c r="G455" s="1"/>
      <c r="H455" s="1"/>
      <c r="I455" s="1"/>
    </row>
    <row r="456" spans="2:9" ht="15.75" customHeight="1" x14ac:dyDescent="0.25">
      <c r="B456" s="1"/>
      <c r="C456" s="1"/>
      <c r="D456" s="1"/>
      <c r="E456" s="1"/>
      <c r="F456" s="1"/>
      <c r="G456" s="1"/>
      <c r="H456" s="1"/>
      <c r="I456" s="1"/>
    </row>
    <row r="457" spans="2:9" ht="15.75" customHeight="1" x14ac:dyDescent="0.25">
      <c r="B457" s="1"/>
      <c r="C457" s="1"/>
      <c r="D457" s="1"/>
      <c r="E457" s="1"/>
      <c r="F457" s="1"/>
      <c r="G457" s="1"/>
      <c r="H457" s="1"/>
      <c r="I457" s="1"/>
    </row>
    <row r="458" spans="2:9" ht="15.75" customHeight="1" x14ac:dyDescent="0.25">
      <c r="B458" s="1"/>
      <c r="C458" s="1"/>
      <c r="D458" s="1"/>
      <c r="E458" s="1"/>
      <c r="F458" s="1"/>
      <c r="G458" s="1"/>
      <c r="H458" s="1"/>
      <c r="I458" s="1"/>
    </row>
    <row r="459" spans="2:9" ht="15.75" customHeight="1" x14ac:dyDescent="0.25">
      <c r="B459" s="1"/>
      <c r="C459" s="1"/>
      <c r="D459" s="1"/>
      <c r="E459" s="1"/>
      <c r="F459" s="1"/>
      <c r="G459" s="1"/>
      <c r="H459" s="1"/>
      <c r="I459" s="1"/>
    </row>
    <row r="460" spans="2:9" ht="15.75" customHeight="1" x14ac:dyDescent="0.25">
      <c r="B460" s="1"/>
      <c r="C460" s="1"/>
      <c r="D460" s="1"/>
      <c r="E460" s="1"/>
      <c r="F460" s="1"/>
      <c r="G460" s="1"/>
      <c r="H460" s="1"/>
      <c r="I460" s="1"/>
    </row>
    <row r="461" spans="2:9" ht="15.75" customHeight="1" x14ac:dyDescent="0.25">
      <c r="B461" s="1"/>
      <c r="C461" s="1"/>
      <c r="D461" s="1"/>
      <c r="E461" s="1"/>
      <c r="F461" s="1"/>
      <c r="G461" s="1"/>
      <c r="H461" s="1"/>
      <c r="I461" s="1"/>
    </row>
    <row r="462" spans="2:9" ht="15.75" customHeight="1" x14ac:dyDescent="0.25">
      <c r="B462" s="1"/>
      <c r="C462" s="1"/>
      <c r="D462" s="1"/>
      <c r="E462" s="1"/>
      <c r="F462" s="1"/>
      <c r="G462" s="1"/>
      <c r="H462" s="1"/>
      <c r="I462" s="1"/>
    </row>
    <row r="463" spans="2:9" ht="15.75" customHeight="1" x14ac:dyDescent="0.25">
      <c r="B463" s="1"/>
      <c r="C463" s="1"/>
      <c r="D463" s="1"/>
      <c r="E463" s="1"/>
      <c r="F463" s="1"/>
      <c r="G463" s="1"/>
      <c r="H463" s="1"/>
      <c r="I463" s="1"/>
    </row>
    <row r="464" spans="2:9" ht="15.75" customHeight="1" x14ac:dyDescent="0.25">
      <c r="B464" s="1"/>
      <c r="C464" s="1"/>
      <c r="D464" s="1"/>
      <c r="E464" s="1"/>
      <c r="F464" s="1"/>
      <c r="G464" s="1"/>
      <c r="H464" s="1"/>
      <c r="I464" s="1"/>
    </row>
    <row r="465" spans="2:9" ht="15.75" customHeight="1" x14ac:dyDescent="0.25">
      <c r="B465" s="1"/>
      <c r="C465" s="1"/>
      <c r="D465" s="1"/>
      <c r="E465" s="1"/>
      <c r="F465" s="1"/>
      <c r="G465" s="1"/>
      <c r="H465" s="1"/>
      <c r="I465" s="1"/>
    </row>
    <row r="466" spans="2:9" ht="15.75" customHeight="1" x14ac:dyDescent="0.25">
      <c r="B466" s="1"/>
      <c r="C466" s="1"/>
      <c r="D466" s="1"/>
      <c r="E466" s="1"/>
      <c r="F466" s="1"/>
      <c r="G466" s="1"/>
      <c r="H466" s="1"/>
      <c r="I466" s="1"/>
    </row>
    <row r="467" spans="2:9" ht="15.75" customHeight="1" x14ac:dyDescent="0.25">
      <c r="B467" s="1"/>
      <c r="C467" s="1"/>
      <c r="D467" s="1"/>
      <c r="E467" s="1"/>
      <c r="F467" s="1"/>
      <c r="G467" s="1"/>
      <c r="H467" s="1"/>
      <c r="I467" s="1"/>
    </row>
    <row r="468" spans="2:9" ht="15.75" customHeight="1" x14ac:dyDescent="0.25">
      <c r="B468" s="1"/>
      <c r="C468" s="1"/>
      <c r="D468" s="1"/>
      <c r="E468" s="1"/>
      <c r="F468" s="1"/>
      <c r="G468" s="1"/>
      <c r="H468" s="1"/>
      <c r="I468" s="1"/>
    </row>
    <row r="469" spans="2:9" ht="15.75" customHeight="1" x14ac:dyDescent="0.25">
      <c r="B469" s="1"/>
      <c r="C469" s="1"/>
      <c r="D469" s="1"/>
      <c r="E469" s="1"/>
      <c r="F469" s="1"/>
      <c r="G469" s="1"/>
      <c r="H469" s="1"/>
      <c r="I469" s="1"/>
    </row>
    <row r="470" spans="2:9" ht="15.75" customHeight="1" x14ac:dyDescent="0.25">
      <c r="B470" s="1"/>
      <c r="C470" s="1"/>
      <c r="D470" s="1"/>
      <c r="E470" s="1"/>
      <c r="F470" s="1"/>
      <c r="G470" s="1"/>
      <c r="H470" s="1"/>
      <c r="I470" s="1"/>
    </row>
    <row r="471" spans="2:9" ht="15.75" customHeight="1" x14ac:dyDescent="0.25">
      <c r="B471" s="1"/>
      <c r="C471" s="1"/>
      <c r="D471" s="1"/>
      <c r="E471" s="1"/>
      <c r="F471" s="1"/>
      <c r="G471" s="1"/>
      <c r="H471" s="1"/>
      <c r="I471" s="1"/>
    </row>
    <row r="472" spans="2:9" ht="15.75" customHeight="1" x14ac:dyDescent="0.25">
      <c r="B472" s="1"/>
      <c r="C472" s="1"/>
      <c r="D472" s="1"/>
      <c r="E472" s="1"/>
      <c r="F472" s="1"/>
      <c r="G472" s="1"/>
      <c r="H472" s="1"/>
      <c r="I472" s="1"/>
    </row>
    <row r="473" spans="2:9" ht="15.75" customHeight="1" x14ac:dyDescent="0.25">
      <c r="B473" s="1"/>
      <c r="C473" s="1"/>
      <c r="D473" s="1"/>
      <c r="E473" s="1"/>
      <c r="F473" s="1"/>
      <c r="G473" s="1"/>
      <c r="H473" s="1"/>
      <c r="I473" s="1"/>
    </row>
    <row r="474" spans="2:9" ht="15.75" customHeight="1" x14ac:dyDescent="0.25">
      <c r="B474" s="1"/>
      <c r="C474" s="1"/>
      <c r="D474" s="1"/>
      <c r="E474" s="1"/>
      <c r="F474" s="1"/>
      <c r="G474" s="1"/>
      <c r="H474" s="1"/>
      <c r="I474" s="1"/>
    </row>
    <row r="475" spans="2:9" ht="15.75" customHeight="1" x14ac:dyDescent="0.25">
      <c r="B475" s="1"/>
      <c r="C475" s="1"/>
      <c r="D475" s="1"/>
      <c r="E475" s="1"/>
      <c r="F475" s="1"/>
      <c r="G475" s="1"/>
      <c r="H475" s="1"/>
      <c r="I475" s="1"/>
    </row>
    <row r="476" spans="2:9" ht="15.75" customHeight="1" x14ac:dyDescent="0.25">
      <c r="B476" s="1"/>
      <c r="C476" s="1"/>
      <c r="D476" s="1"/>
      <c r="E476" s="1"/>
      <c r="F476" s="1"/>
      <c r="G476" s="1"/>
      <c r="H476" s="1"/>
      <c r="I476" s="1"/>
    </row>
    <row r="477" spans="2:9" ht="15.75" customHeight="1" x14ac:dyDescent="0.25">
      <c r="B477" s="1"/>
      <c r="C477" s="1"/>
      <c r="D477" s="1"/>
      <c r="E477" s="1"/>
      <c r="F477" s="1"/>
      <c r="G477" s="1"/>
      <c r="H477" s="1"/>
      <c r="I477" s="1"/>
    </row>
    <row r="478" spans="2:9" ht="15.75" customHeight="1" x14ac:dyDescent="0.25">
      <c r="B478" s="1"/>
      <c r="C478" s="1"/>
      <c r="D478" s="1"/>
      <c r="E478" s="1"/>
      <c r="F478" s="1"/>
      <c r="G478" s="1"/>
      <c r="H478" s="1"/>
      <c r="I478" s="1"/>
    </row>
    <row r="479" spans="2:9" ht="15.75" customHeight="1" x14ac:dyDescent="0.25">
      <c r="B479" s="1"/>
      <c r="C479" s="1"/>
      <c r="D479" s="1"/>
      <c r="E479" s="1"/>
      <c r="F479" s="1"/>
      <c r="G479" s="1"/>
      <c r="H479" s="1"/>
      <c r="I479" s="1"/>
    </row>
    <row r="480" spans="2:9" ht="15.75" customHeight="1" x14ac:dyDescent="0.25">
      <c r="B480" s="1"/>
      <c r="C480" s="1"/>
      <c r="D480" s="1"/>
      <c r="E480" s="1"/>
      <c r="F480" s="1"/>
      <c r="G480" s="1"/>
      <c r="H480" s="1"/>
      <c r="I480" s="1"/>
    </row>
    <row r="481" spans="2:9" ht="15.75" customHeight="1" x14ac:dyDescent="0.25">
      <c r="B481" s="1"/>
      <c r="C481" s="1"/>
      <c r="D481" s="1"/>
      <c r="E481" s="1"/>
      <c r="F481" s="1"/>
      <c r="G481" s="1"/>
      <c r="H481" s="1"/>
      <c r="I481" s="1"/>
    </row>
    <row r="482" spans="2:9" ht="15.75" customHeight="1" x14ac:dyDescent="0.25">
      <c r="B482" s="1"/>
      <c r="C482" s="1"/>
      <c r="D482" s="1"/>
      <c r="E482" s="1"/>
      <c r="F482" s="1"/>
      <c r="G482" s="1"/>
      <c r="H482" s="1"/>
      <c r="I482" s="1"/>
    </row>
    <row r="483" spans="2:9" ht="15.75" customHeight="1" x14ac:dyDescent="0.25">
      <c r="B483" s="1"/>
      <c r="C483" s="1"/>
      <c r="D483" s="1"/>
      <c r="E483" s="1"/>
      <c r="F483" s="1"/>
      <c r="G483" s="1"/>
      <c r="H483" s="1"/>
      <c r="I483" s="1"/>
    </row>
    <row r="484" spans="2:9" ht="15.75" customHeight="1" x14ac:dyDescent="0.25">
      <c r="B484" s="1"/>
      <c r="C484" s="1"/>
      <c r="D484" s="1"/>
      <c r="E484" s="1"/>
      <c r="F484" s="1"/>
      <c r="G484" s="1"/>
      <c r="H484" s="1"/>
      <c r="I484" s="1"/>
    </row>
    <row r="485" spans="2:9" ht="15.75" customHeight="1" x14ac:dyDescent="0.25">
      <c r="B485" s="1"/>
      <c r="C485" s="1"/>
      <c r="D485" s="1"/>
      <c r="E485" s="1"/>
      <c r="F485" s="1"/>
      <c r="G485" s="1"/>
      <c r="H485" s="1"/>
      <c r="I485" s="1"/>
    </row>
    <row r="486" spans="2:9" ht="15.75" customHeight="1" x14ac:dyDescent="0.25">
      <c r="B486" s="1"/>
      <c r="C486" s="1"/>
      <c r="D486" s="1"/>
      <c r="E486" s="1"/>
      <c r="F486" s="1"/>
      <c r="G486" s="1"/>
      <c r="H486" s="1"/>
      <c r="I486" s="1"/>
    </row>
    <row r="487" spans="2:9" ht="15.75" customHeight="1" x14ac:dyDescent="0.25">
      <c r="B487" s="1"/>
      <c r="C487" s="1"/>
      <c r="D487" s="1"/>
      <c r="E487" s="1"/>
      <c r="F487" s="1"/>
      <c r="G487" s="1"/>
      <c r="H487" s="1"/>
      <c r="I487" s="1"/>
    </row>
    <row r="488" spans="2:9" ht="15.75" customHeight="1" x14ac:dyDescent="0.25">
      <c r="B488" s="1"/>
      <c r="C488" s="1"/>
      <c r="D488" s="1"/>
      <c r="E488" s="1"/>
      <c r="F488" s="1"/>
      <c r="G488" s="1"/>
      <c r="H488" s="1"/>
      <c r="I488" s="1"/>
    </row>
    <row r="489" spans="2:9" ht="15.75" customHeight="1" x14ac:dyDescent="0.25">
      <c r="B489" s="1"/>
      <c r="C489" s="1"/>
      <c r="D489" s="1"/>
      <c r="E489" s="1"/>
      <c r="F489" s="1"/>
      <c r="G489" s="1"/>
      <c r="H489" s="1"/>
      <c r="I489" s="1"/>
    </row>
    <row r="490" spans="2:9" ht="15.75" customHeight="1" x14ac:dyDescent="0.25">
      <c r="B490" s="1"/>
      <c r="C490" s="1"/>
      <c r="D490" s="1"/>
      <c r="E490" s="1"/>
      <c r="F490" s="1"/>
      <c r="G490" s="1"/>
      <c r="H490" s="1"/>
      <c r="I490" s="1"/>
    </row>
    <row r="491" spans="2:9" ht="15.75" customHeight="1" x14ac:dyDescent="0.25">
      <c r="B491" s="1"/>
      <c r="C491" s="1"/>
      <c r="D491" s="1"/>
      <c r="E491" s="1"/>
      <c r="F491" s="1"/>
      <c r="G491" s="1"/>
      <c r="H491" s="1"/>
      <c r="I491" s="1"/>
    </row>
    <row r="492" spans="2:9" ht="15.75" customHeight="1" x14ac:dyDescent="0.25">
      <c r="B492" s="1"/>
      <c r="C492" s="1"/>
      <c r="D492" s="1"/>
      <c r="E492" s="1"/>
      <c r="F492" s="1"/>
      <c r="G492" s="1"/>
      <c r="H492" s="1"/>
      <c r="I492" s="1"/>
    </row>
    <row r="493" spans="2:9" ht="15.75" customHeight="1" x14ac:dyDescent="0.25">
      <c r="B493" s="1"/>
      <c r="C493" s="1"/>
      <c r="D493" s="1"/>
      <c r="E493" s="1"/>
      <c r="F493" s="1"/>
      <c r="G493" s="1"/>
      <c r="H493" s="1"/>
      <c r="I493" s="1"/>
    </row>
    <row r="494" spans="2:9" ht="15.75" customHeight="1" x14ac:dyDescent="0.25">
      <c r="B494" s="1"/>
      <c r="C494" s="1"/>
      <c r="D494" s="1"/>
      <c r="E494" s="1"/>
      <c r="F494" s="1"/>
      <c r="G494" s="1"/>
      <c r="H494" s="1"/>
      <c r="I494" s="1"/>
    </row>
    <row r="495" spans="2:9" ht="15.75" customHeight="1" x14ac:dyDescent="0.25">
      <c r="B495" s="1"/>
      <c r="C495" s="1"/>
      <c r="D495" s="1"/>
      <c r="E495" s="1"/>
      <c r="F495" s="1"/>
      <c r="G495" s="1"/>
      <c r="H495" s="1"/>
      <c r="I495" s="1"/>
    </row>
    <row r="496" spans="2:9" ht="15.75" customHeight="1" x14ac:dyDescent="0.25">
      <c r="B496" s="1"/>
      <c r="C496" s="1"/>
      <c r="D496" s="1"/>
      <c r="E496" s="1"/>
      <c r="F496" s="1"/>
      <c r="G496" s="1"/>
      <c r="H496" s="1"/>
      <c r="I496" s="1"/>
    </row>
    <row r="497" spans="2:9" ht="15.75" customHeight="1" x14ac:dyDescent="0.25">
      <c r="B497" s="1"/>
      <c r="C497" s="1"/>
      <c r="D497" s="1"/>
      <c r="E497" s="1"/>
      <c r="F497" s="1"/>
      <c r="G497" s="1"/>
      <c r="H497" s="1"/>
      <c r="I497" s="1"/>
    </row>
    <row r="498" spans="2:9" ht="15.75" customHeight="1" x14ac:dyDescent="0.25">
      <c r="B498" s="1"/>
      <c r="C498" s="1"/>
      <c r="D498" s="1"/>
      <c r="E498" s="1"/>
      <c r="F498" s="1"/>
      <c r="G498" s="1"/>
      <c r="H498" s="1"/>
      <c r="I498" s="1"/>
    </row>
    <row r="499" spans="2:9" ht="15.75" customHeight="1" x14ac:dyDescent="0.25">
      <c r="B499" s="1"/>
      <c r="C499" s="1"/>
      <c r="D499" s="1"/>
      <c r="E499" s="1"/>
      <c r="F499" s="1"/>
      <c r="G499" s="1"/>
      <c r="H499" s="1"/>
      <c r="I499" s="1"/>
    </row>
    <row r="500" spans="2:9" ht="15.75" customHeight="1" x14ac:dyDescent="0.25">
      <c r="B500" s="1"/>
      <c r="C500" s="1"/>
      <c r="D500" s="1"/>
      <c r="E500" s="1"/>
      <c r="F500" s="1"/>
      <c r="G500" s="1"/>
      <c r="H500" s="1"/>
      <c r="I500" s="1"/>
    </row>
    <row r="501" spans="2:9" ht="15.75" customHeight="1" x14ac:dyDescent="0.25">
      <c r="B501" s="1"/>
      <c r="C501" s="1"/>
      <c r="D501" s="1"/>
      <c r="E501" s="1"/>
      <c r="F501" s="1"/>
      <c r="G501" s="1"/>
      <c r="H501" s="1"/>
      <c r="I501" s="1"/>
    </row>
    <row r="502" spans="2:9" ht="15.75" customHeight="1" x14ac:dyDescent="0.25">
      <c r="B502" s="1"/>
      <c r="C502" s="1"/>
      <c r="D502" s="1"/>
      <c r="E502" s="1"/>
      <c r="F502" s="1"/>
      <c r="G502" s="1"/>
      <c r="H502" s="1"/>
      <c r="I502" s="1"/>
    </row>
    <row r="503" spans="2:9" ht="15.75" customHeight="1" x14ac:dyDescent="0.25">
      <c r="B503" s="1"/>
      <c r="C503" s="1"/>
      <c r="D503" s="1"/>
      <c r="E503" s="1"/>
      <c r="F503" s="1"/>
      <c r="G503" s="1"/>
      <c r="H503" s="1"/>
      <c r="I503" s="1"/>
    </row>
    <row r="504" spans="2:9" ht="15.75" customHeight="1" x14ac:dyDescent="0.25">
      <c r="B504" s="1"/>
      <c r="C504" s="1"/>
      <c r="D504" s="1"/>
      <c r="E504" s="1"/>
      <c r="F504" s="1"/>
      <c r="G504" s="1"/>
      <c r="H504" s="1"/>
      <c r="I504" s="1"/>
    </row>
    <row r="505" spans="2:9" ht="15.75" customHeight="1" x14ac:dyDescent="0.25">
      <c r="B505" s="1"/>
      <c r="C505" s="1"/>
      <c r="D505" s="1"/>
      <c r="E505" s="1"/>
      <c r="F505" s="1"/>
      <c r="G505" s="1"/>
      <c r="H505" s="1"/>
      <c r="I505" s="1"/>
    </row>
    <row r="506" spans="2:9" ht="15.75" customHeight="1" x14ac:dyDescent="0.25">
      <c r="B506" s="1"/>
      <c r="C506" s="1"/>
      <c r="D506" s="1"/>
      <c r="E506" s="1"/>
      <c r="F506" s="1"/>
      <c r="G506" s="1"/>
      <c r="H506" s="1"/>
      <c r="I506" s="1"/>
    </row>
    <row r="507" spans="2:9" ht="15.75" customHeight="1" x14ac:dyDescent="0.25">
      <c r="B507" s="1"/>
      <c r="C507" s="1"/>
      <c r="D507" s="1"/>
      <c r="E507" s="1"/>
      <c r="F507" s="1"/>
      <c r="G507" s="1"/>
      <c r="H507" s="1"/>
      <c r="I507" s="1"/>
    </row>
    <row r="508" spans="2:9" ht="15.75" customHeight="1" x14ac:dyDescent="0.25">
      <c r="B508" s="1"/>
      <c r="C508" s="1"/>
      <c r="D508" s="1"/>
      <c r="E508" s="1"/>
      <c r="F508" s="1"/>
      <c r="G508" s="1"/>
      <c r="H508" s="1"/>
      <c r="I508" s="1"/>
    </row>
    <row r="509" spans="2:9" ht="15.75" customHeight="1" x14ac:dyDescent="0.25">
      <c r="B509" s="1"/>
      <c r="C509" s="1"/>
      <c r="D509" s="1"/>
      <c r="E509" s="1"/>
      <c r="F509" s="1"/>
      <c r="G509" s="1"/>
      <c r="H509" s="1"/>
      <c r="I509" s="1"/>
    </row>
    <row r="510" spans="2:9" ht="15.75" customHeight="1" x14ac:dyDescent="0.25">
      <c r="B510" s="1"/>
      <c r="C510" s="1"/>
      <c r="D510" s="1"/>
      <c r="E510" s="1"/>
      <c r="F510" s="1"/>
      <c r="G510" s="1"/>
      <c r="H510" s="1"/>
      <c r="I510" s="1"/>
    </row>
    <row r="511" spans="2:9" ht="15.75" customHeight="1" x14ac:dyDescent="0.25">
      <c r="B511" s="1"/>
      <c r="C511" s="1"/>
      <c r="D511" s="1"/>
      <c r="E511" s="1"/>
      <c r="F511" s="1"/>
      <c r="G511" s="1"/>
      <c r="H511" s="1"/>
      <c r="I511" s="1"/>
    </row>
    <row r="512" spans="2:9" ht="15.75" customHeight="1" x14ac:dyDescent="0.25">
      <c r="B512" s="1"/>
      <c r="C512" s="1"/>
      <c r="D512" s="1"/>
      <c r="E512" s="1"/>
      <c r="F512" s="1"/>
      <c r="G512" s="1"/>
      <c r="H512" s="1"/>
      <c r="I512" s="1"/>
    </row>
    <row r="513" spans="2:9" ht="15.75" customHeight="1" x14ac:dyDescent="0.25">
      <c r="B513" s="1"/>
      <c r="C513" s="1"/>
      <c r="D513" s="1"/>
      <c r="E513" s="1"/>
      <c r="F513" s="1"/>
      <c r="G513" s="1"/>
      <c r="H513" s="1"/>
      <c r="I513" s="1"/>
    </row>
    <row r="514" spans="2:9" ht="15.75" customHeight="1" x14ac:dyDescent="0.25">
      <c r="B514" s="1"/>
      <c r="C514" s="1"/>
      <c r="D514" s="1"/>
      <c r="E514" s="1"/>
      <c r="F514" s="1"/>
      <c r="G514" s="1"/>
      <c r="H514" s="1"/>
      <c r="I514" s="1"/>
    </row>
    <row r="515" spans="2:9" ht="15.75" customHeight="1" x14ac:dyDescent="0.25">
      <c r="B515" s="1"/>
      <c r="C515" s="1"/>
      <c r="D515" s="1"/>
      <c r="E515" s="1"/>
      <c r="F515" s="1"/>
      <c r="G515" s="1"/>
      <c r="H515" s="1"/>
      <c r="I515" s="1"/>
    </row>
    <row r="516" spans="2:9" ht="15.75" customHeight="1" x14ac:dyDescent="0.25">
      <c r="B516" s="1"/>
      <c r="C516" s="1"/>
      <c r="D516" s="1"/>
      <c r="E516" s="1"/>
      <c r="F516" s="1"/>
      <c r="G516" s="1"/>
      <c r="H516" s="1"/>
      <c r="I516" s="1"/>
    </row>
    <row r="517" spans="2:9" ht="15.75" customHeight="1" x14ac:dyDescent="0.25">
      <c r="B517" s="1"/>
      <c r="C517" s="1"/>
      <c r="D517" s="1"/>
      <c r="E517" s="1"/>
      <c r="F517" s="1"/>
      <c r="G517" s="1"/>
      <c r="H517" s="1"/>
      <c r="I517" s="1"/>
    </row>
    <row r="518" spans="2:9" ht="15.75" customHeight="1" x14ac:dyDescent="0.25">
      <c r="B518" s="1"/>
      <c r="C518" s="1"/>
      <c r="D518" s="1"/>
      <c r="E518" s="1"/>
      <c r="F518" s="1"/>
      <c r="G518" s="1"/>
      <c r="H518" s="1"/>
      <c r="I518" s="1"/>
    </row>
    <row r="519" spans="2:9" ht="15.75" customHeight="1" x14ac:dyDescent="0.25">
      <c r="B519" s="1"/>
      <c r="C519" s="1"/>
      <c r="D519" s="1"/>
      <c r="E519" s="1"/>
      <c r="F519" s="1"/>
      <c r="G519" s="1"/>
      <c r="H519" s="1"/>
      <c r="I519" s="1"/>
    </row>
    <row r="520" spans="2:9" ht="15.75" customHeight="1" x14ac:dyDescent="0.25">
      <c r="B520" s="1"/>
      <c r="C520" s="1"/>
      <c r="D520" s="1"/>
      <c r="E520" s="1"/>
      <c r="F520" s="1"/>
      <c r="G520" s="1"/>
      <c r="H520" s="1"/>
      <c r="I520" s="1"/>
    </row>
    <row r="521" spans="2:9" ht="15.75" customHeight="1" x14ac:dyDescent="0.25">
      <c r="B521" s="1"/>
      <c r="C521" s="1"/>
      <c r="D521" s="1"/>
      <c r="E521" s="1"/>
      <c r="F521" s="1"/>
      <c r="G521" s="1"/>
      <c r="H521" s="1"/>
      <c r="I521" s="1"/>
    </row>
    <row r="522" spans="2:9" ht="15.75" customHeight="1" x14ac:dyDescent="0.25">
      <c r="B522" s="1"/>
      <c r="C522" s="1"/>
      <c r="D522" s="1"/>
      <c r="E522" s="1"/>
      <c r="F522" s="1"/>
      <c r="G522" s="1"/>
      <c r="H522" s="1"/>
      <c r="I522" s="1"/>
    </row>
    <row r="523" spans="2:9" ht="15.75" customHeight="1" x14ac:dyDescent="0.25">
      <c r="B523" s="1"/>
      <c r="C523" s="1"/>
      <c r="D523" s="1"/>
      <c r="E523" s="1"/>
      <c r="F523" s="1"/>
      <c r="G523" s="1"/>
      <c r="H523" s="1"/>
      <c r="I523" s="1"/>
    </row>
    <row r="524" spans="2:9" ht="15.75" customHeight="1" x14ac:dyDescent="0.25">
      <c r="B524" s="1"/>
      <c r="C524" s="1"/>
      <c r="D524" s="1"/>
      <c r="E524" s="1"/>
      <c r="F524" s="1"/>
      <c r="G524" s="1"/>
      <c r="H524" s="1"/>
      <c r="I524" s="1"/>
    </row>
    <row r="525" spans="2:9" ht="15.75" customHeight="1" x14ac:dyDescent="0.25">
      <c r="B525" s="1"/>
      <c r="C525" s="1"/>
      <c r="D525" s="1"/>
      <c r="E525" s="1"/>
      <c r="F525" s="1"/>
      <c r="G525" s="1"/>
      <c r="H525" s="1"/>
      <c r="I525" s="1"/>
    </row>
    <row r="526" spans="2:9" ht="15.75" customHeight="1" x14ac:dyDescent="0.25">
      <c r="B526" s="1"/>
      <c r="C526" s="1"/>
      <c r="D526" s="1"/>
      <c r="E526" s="1"/>
      <c r="F526" s="1"/>
      <c r="G526" s="1"/>
      <c r="H526" s="1"/>
      <c r="I526" s="1"/>
    </row>
    <row r="527" spans="2:9" ht="15.75" customHeight="1" x14ac:dyDescent="0.25">
      <c r="B527" s="1"/>
      <c r="C527" s="1"/>
      <c r="D527" s="1"/>
      <c r="E527" s="1"/>
      <c r="F527" s="1"/>
      <c r="G527" s="1"/>
      <c r="H527" s="1"/>
      <c r="I527" s="1"/>
    </row>
    <row r="528" spans="2:9" ht="15.75" customHeight="1" x14ac:dyDescent="0.25">
      <c r="B528" s="1"/>
      <c r="C528" s="1"/>
      <c r="D528" s="1"/>
      <c r="E528" s="1"/>
      <c r="F528" s="1"/>
      <c r="G528" s="1"/>
      <c r="H528" s="1"/>
      <c r="I528" s="1"/>
    </row>
    <row r="529" spans="2:9" ht="15.75" customHeight="1" x14ac:dyDescent="0.25">
      <c r="B529" s="1"/>
      <c r="C529" s="1"/>
      <c r="D529" s="1"/>
      <c r="E529" s="1"/>
      <c r="F529" s="1"/>
      <c r="G529" s="1"/>
      <c r="H529" s="1"/>
      <c r="I529" s="1"/>
    </row>
    <row r="530" spans="2:9" ht="15.75" customHeight="1" x14ac:dyDescent="0.25">
      <c r="B530" s="1"/>
      <c r="C530" s="1"/>
      <c r="D530" s="1"/>
      <c r="E530" s="1"/>
      <c r="F530" s="1"/>
      <c r="G530" s="1"/>
      <c r="H530" s="1"/>
      <c r="I530" s="1"/>
    </row>
    <row r="531" spans="2:9" ht="15.75" customHeight="1" x14ac:dyDescent="0.25">
      <c r="B531" s="1"/>
      <c r="C531" s="1"/>
      <c r="D531" s="1"/>
      <c r="E531" s="1"/>
      <c r="F531" s="1"/>
      <c r="G531" s="1"/>
      <c r="H531" s="1"/>
      <c r="I531" s="1"/>
    </row>
    <row r="532" spans="2:9" ht="15.75" customHeight="1" x14ac:dyDescent="0.25">
      <c r="B532" s="1"/>
      <c r="C532" s="1"/>
      <c r="D532" s="1"/>
      <c r="E532" s="1"/>
      <c r="F532" s="1"/>
      <c r="G532" s="1"/>
      <c r="H532" s="1"/>
      <c r="I532" s="1"/>
    </row>
    <row r="533" spans="2:9" ht="15.75" customHeight="1" x14ac:dyDescent="0.25">
      <c r="B533" s="1"/>
      <c r="C533" s="1"/>
      <c r="D533" s="1"/>
      <c r="E533" s="1"/>
      <c r="F533" s="1"/>
      <c r="G533" s="1"/>
      <c r="H533" s="1"/>
      <c r="I533" s="1"/>
    </row>
    <row r="534" spans="2:9" ht="15.75" customHeight="1" x14ac:dyDescent="0.25">
      <c r="B534" s="1"/>
      <c r="C534" s="1"/>
      <c r="D534" s="1"/>
      <c r="E534" s="1"/>
      <c r="F534" s="1"/>
      <c r="G534" s="1"/>
      <c r="H534" s="1"/>
      <c r="I534" s="1"/>
    </row>
    <row r="535" spans="2:9" ht="15.75" customHeight="1" x14ac:dyDescent="0.25">
      <c r="B535" s="1"/>
      <c r="C535" s="1"/>
      <c r="D535" s="1"/>
      <c r="E535" s="1"/>
      <c r="F535" s="1"/>
      <c r="G535" s="1"/>
      <c r="H535" s="1"/>
      <c r="I535" s="1"/>
    </row>
    <row r="536" spans="2:9" ht="15.75" customHeight="1" x14ac:dyDescent="0.25">
      <c r="B536" s="1"/>
      <c r="C536" s="1"/>
      <c r="D536" s="1"/>
      <c r="E536" s="1"/>
      <c r="F536" s="1"/>
      <c r="G536" s="1"/>
      <c r="H536" s="1"/>
      <c r="I536" s="1"/>
    </row>
    <row r="537" spans="2:9" ht="15.75" customHeight="1" x14ac:dyDescent="0.25">
      <c r="B537" s="1"/>
      <c r="C537" s="1"/>
      <c r="D537" s="1"/>
      <c r="E537" s="1"/>
      <c r="F537" s="1"/>
      <c r="G537" s="1"/>
      <c r="H537" s="1"/>
      <c r="I537" s="1"/>
    </row>
    <row r="538" spans="2:9" ht="15.75" customHeight="1" x14ac:dyDescent="0.25">
      <c r="B538" s="1"/>
      <c r="C538" s="1"/>
      <c r="D538" s="1"/>
      <c r="E538" s="1"/>
      <c r="F538" s="1"/>
      <c r="G538" s="1"/>
      <c r="H538" s="1"/>
      <c r="I538" s="1"/>
    </row>
    <row r="539" spans="2:9" ht="15.75" customHeight="1" x14ac:dyDescent="0.25">
      <c r="B539" s="1"/>
      <c r="C539" s="1"/>
      <c r="D539" s="1"/>
      <c r="E539" s="1"/>
      <c r="F539" s="1"/>
      <c r="G539" s="1"/>
      <c r="H539" s="1"/>
      <c r="I539" s="1"/>
    </row>
    <row r="540" spans="2:9" ht="15.75" customHeight="1" x14ac:dyDescent="0.25">
      <c r="B540" s="1"/>
      <c r="C540" s="1"/>
      <c r="D540" s="1"/>
      <c r="E540" s="1"/>
      <c r="F540" s="1"/>
      <c r="G540" s="1"/>
      <c r="H540" s="1"/>
      <c r="I540" s="1"/>
    </row>
    <row r="541" spans="2:9" ht="15.75" customHeight="1" x14ac:dyDescent="0.25">
      <c r="B541" s="1"/>
      <c r="C541" s="1"/>
      <c r="D541" s="1"/>
      <c r="E541" s="1"/>
      <c r="F541" s="1"/>
      <c r="G541" s="1"/>
      <c r="H541" s="1"/>
      <c r="I541" s="1"/>
    </row>
    <row r="542" spans="2:9" ht="15.75" customHeight="1" x14ac:dyDescent="0.25">
      <c r="B542" s="1"/>
      <c r="C542" s="1"/>
      <c r="D542" s="1"/>
      <c r="E542" s="1"/>
      <c r="F542" s="1"/>
      <c r="G542" s="1"/>
      <c r="H542" s="1"/>
      <c r="I542" s="1"/>
    </row>
    <row r="543" spans="2:9" ht="15.75" customHeight="1" x14ac:dyDescent="0.25">
      <c r="B543" s="1"/>
      <c r="C543" s="1"/>
      <c r="D543" s="1"/>
      <c r="E543" s="1"/>
      <c r="F543" s="1"/>
      <c r="G543" s="1"/>
      <c r="H543" s="1"/>
      <c r="I543" s="1"/>
    </row>
    <row r="544" spans="2:9" ht="15.75" customHeight="1" x14ac:dyDescent="0.25">
      <c r="B544" s="1"/>
      <c r="C544" s="1"/>
      <c r="D544" s="1"/>
      <c r="E544" s="1"/>
      <c r="F544" s="1"/>
      <c r="G544" s="1"/>
      <c r="H544" s="1"/>
      <c r="I544" s="1"/>
    </row>
    <row r="545" spans="2:9" ht="15.75" customHeight="1" x14ac:dyDescent="0.25">
      <c r="B545" s="1"/>
      <c r="C545" s="1"/>
      <c r="D545" s="1"/>
      <c r="E545" s="1"/>
      <c r="F545" s="1"/>
      <c r="G545" s="1"/>
      <c r="H545" s="1"/>
      <c r="I545" s="1"/>
    </row>
    <row r="546" spans="2:9" ht="15.75" customHeight="1" x14ac:dyDescent="0.25">
      <c r="B546" s="1"/>
      <c r="C546" s="1"/>
      <c r="D546" s="1"/>
      <c r="E546" s="1"/>
      <c r="F546" s="1"/>
      <c r="G546" s="1"/>
      <c r="H546" s="1"/>
      <c r="I546" s="1"/>
    </row>
    <row r="547" spans="2:9" ht="15.75" customHeight="1" x14ac:dyDescent="0.25">
      <c r="B547" s="1"/>
      <c r="C547" s="1"/>
      <c r="D547" s="1"/>
      <c r="E547" s="1"/>
      <c r="F547" s="1"/>
      <c r="G547" s="1"/>
      <c r="H547" s="1"/>
      <c r="I547" s="1"/>
    </row>
    <row r="548" spans="2:9" ht="15.75" customHeight="1" x14ac:dyDescent="0.25">
      <c r="B548" s="1"/>
      <c r="C548" s="1"/>
      <c r="D548" s="1"/>
      <c r="E548" s="1"/>
      <c r="F548" s="1"/>
      <c r="G548" s="1"/>
      <c r="H548" s="1"/>
      <c r="I548" s="1"/>
    </row>
    <row r="549" spans="2:9" ht="15.75" customHeight="1" x14ac:dyDescent="0.25">
      <c r="B549" s="1"/>
      <c r="C549" s="1"/>
      <c r="D549" s="1"/>
      <c r="E549" s="1"/>
      <c r="F549" s="1"/>
      <c r="G549" s="1"/>
      <c r="H549" s="1"/>
      <c r="I549" s="1"/>
    </row>
    <row r="550" spans="2:9" ht="15.75" customHeight="1" x14ac:dyDescent="0.25">
      <c r="B550" s="1"/>
      <c r="C550" s="1"/>
      <c r="D550" s="1"/>
      <c r="E550" s="1"/>
      <c r="F550" s="1"/>
      <c r="G550" s="1"/>
      <c r="H550" s="1"/>
      <c r="I550" s="1"/>
    </row>
    <row r="551" spans="2:9" ht="15.75" customHeight="1" x14ac:dyDescent="0.25">
      <c r="B551" s="1"/>
      <c r="C551" s="1"/>
      <c r="D551" s="1"/>
      <c r="E551" s="1"/>
      <c r="F551" s="1"/>
      <c r="G551" s="1"/>
      <c r="H551" s="1"/>
      <c r="I551" s="1"/>
    </row>
    <row r="552" spans="2:9" ht="15.75" customHeight="1" x14ac:dyDescent="0.25">
      <c r="B552" s="1"/>
      <c r="C552" s="1"/>
      <c r="D552" s="1"/>
      <c r="E552" s="1"/>
      <c r="F552" s="1"/>
      <c r="G552" s="1"/>
      <c r="H552" s="1"/>
      <c r="I552" s="1"/>
    </row>
    <row r="553" spans="2:9" ht="15.75" customHeight="1" x14ac:dyDescent="0.25">
      <c r="B553" s="1"/>
      <c r="C553" s="1"/>
      <c r="D553" s="1"/>
      <c r="E553" s="1"/>
      <c r="F553" s="1"/>
      <c r="G553" s="1"/>
      <c r="H553" s="1"/>
      <c r="I553" s="1"/>
    </row>
    <row r="554" spans="2:9" ht="15.75" customHeight="1" x14ac:dyDescent="0.25">
      <c r="B554" s="1"/>
      <c r="C554" s="1"/>
      <c r="D554" s="1"/>
      <c r="E554" s="1"/>
      <c r="F554" s="1"/>
      <c r="G554" s="1"/>
      <c r="H554" s="1"/>
      <c r="I554" s="1"/>
    </row>
    <row r="555" spans="2:9" ht="15.75" customHeight="1" x14ac:dyDescent="0.25">
      <c r="B555" s="1"/>
      <c r="C555" s="1"/>
      <c r="D555" s="1"/>
      <c r="E555" s="1"/>
      <c r="F555" s="1"/>
      <c r="G555" s="1"/>
      <c r="H555" s="1"/>
      <c r="I555" s="1"/>
    </row>
    <row r="556" spans="2:9" ht="15.75" customHeight="1" x14ac:dyDescent="0.25">
      <c r="B556" s="1"/>
      <c r="C556" s="1"/>
      <c r="D556" s="1"/>
      <c r="E556" s="1"/>
      <c r="F556" s="1"/>
      <c r="G556" s="1"/>
      <c r="H556" s="1"/>
      <c r="I556" s="1"/>
    </row>
    <row r="557" spans="2:9" ht="15.75" customHeight="1" x14ac:dyDescent="0.25">
      <c r="B557" s="1"/>
      <c r="C557" s="1"/>
      <c r="D557" s="1"/>
      <c r="E557" s="1"/>
      <c r="F557" s="1"/>
      <c r="G557" s="1"/>
      <c r="H557" s="1"/>
      <c r="I557" s="1"/>
    </row>
    <row r="558" spans="2:9" ht="15.75" customHeight="1" x14ac:dyDescent="0.25">
      <c r="B558" s="1"/>
      <c r="C558" s="1"/>
      <c r="D558" s="1"/>
      <c r="E558" s="1"/>
      <c r="F558" s="1"/>
      <c r="G558" s="1"/>
      <c r="H558" s="1"/>
      <c r="I558" s="1"/>
    </row>
    <row r="559" spans="2:9" ht="15.75" customHeight="1" x14ac:dyDescent="0.25">
      <c r="B559" s="1"/>
      <c r="C559" s="1"/>
      <c r="D559" s="1"/>
      <c r="E559" s="1"/>
      <c r="F559" s="1"/>
      <c r="G559" s="1"/>
      <c r="H559" s="1"/>
      <c r="I559" s="1"/>
    </row>
    <row r="560" spans="2:9" ht="15.75" customHeight="1" x14ac:dyDescent="0.25">
      <c r="B560" s="1"/>
      <c r="C560" s="1"/>
      <c r="D560" s="1"/>
      <c r="E560" s="1"/>
      <c r="F560" s="1"/>
      <c r="G560" s="1"/>
      <c r="H560" s="1"/>
      <c r="I560" s="1"/>
    </row>
    <row r="561" spans="2:9" ht="15.75" customHeight="1" x14ac:dyDescent="0.25">
      <c r="B561" s="1"/>
      <c r="C561" s="1"/>
      <c r="D561" s="1"/>
      <c r="E561" s="1"/>
      <c r="F561" s="1"/>
      <c r="G561" s="1"/>
      <c r="H561" s="1"/>
      <c r="I561" s="1"/>
    </row>
    <row r="562" spans="2:9" ht="15.75" customHeight="1" x14ac:dyDescent="0.25">
      <c r="B562" s="1"/>
      <c r="C562" s="1"/>
      <c r="D562" s="1"/>
      <c r="E562" s="1"/>
      <c r="F562" s="1"/>
      <c r="G562" s="1"/>
      <c r="H562" s="1"/>
      <c r="I562" s="1"/>
    </row>
    <row r="563" spans="2:9" ht="15.75" customHeight="1" x14ac:dyDescent="0.25">
      <c r="B563" s="1"/>
      <c r="C563" s="1"/>
      <c r="D563" s="1"/>
      <c r="E563" s="1"/>
      <c r="F563" s="1"/>
      <c r="G563" s="1"/>
      <c r="H563" s="1"/>
      <c r="I563" s="1"/>
    </row>
    <row r="564" spans="2:9" ht="15.75" customHeight="1" x14ac:dyDescent="0.25">
      <c r="B564" s="1"/>
      <c r="C564" s="1"/>
      <c r="D564" s="1"/>
      <c r="E564" s="1"/>
      <c r="F564" s="1"/>
      <c r="G564" s="1"/>
      <c r="H564" s="1"/>
      <c r="I564" s="1"/>
    </row>
    <row r="565" spans="2:9" ht="15.75" customHeight="1" x14ac:dyDescent="0.25">
      <c r="B565" s="1"/>
      <c r="C565" s="1"/>
      <c r="D565" s="1"/>
      <c r="E565" s="1"/>
      <c r="F565" s="1"/>
      <c r="G565" s="1"/>
      <c r="H565" s="1"/>
      <c r="I565" s="1"/>
    </row>
    <row r="566" spans="2:9" ht="15.75" customHeight="1" x14ac:dyDescent="0.25">
      <c r="B566" s="1"/>
      <c r="C566" s="1"/>
      <c r="D566" s="1"/>
      <c r="E566" s="1"/>
      <c r="F566" s="1"/>
      <c r="G566" s="1"/>
      <c r="H566" s="1"/>
      <c r="I566" s="1"/>
    </row>
    <row r="567" spans="2:9" ht="15.75" customHeight="1" x14ac:dyDescent="0.25">
      <c r="B567" s="1"/>
      <c r="C567" s="1"/>
      <c r="D567" s="1"/>
      <c r="E567" s="1"/>
      <c r="F567" s="1"/>
      <c r="G567" s="1"/>
      <c r="H567" s="1"/>
      <c r="I567" s="1"/>
    </row>
    <row r="568" spans="2:9" ht="15.75" customHeight="1" x14ac:dyDescent="0.25">
      <c r="B568" s="1"/>
      <c r="C568" s="1"/>
      <c r="D568" s="1"/>
      <c r="E568" s="1"/>
      <c r="F568" s="1"/>
      <c r="G568" s="1"/>
      <c r="H568" s="1"/>
      <c r="I568" s="1"/>
    </row>
    <row r="569" spans="2:9" ht="15.75" customHeight="1" x14ac:dyDescent="0.25">
      <c r="B569" s="1"/>
      <c r="C569" s="1"/>
      <c r="D569" s="1"/>
      <c r="E569" s="1"/>
      <c r="F569" s="1"/>
      <c r="G569" s="1"/>
      <c r="H569" s="1"/>
      <c r="I569" s="1"/>
    </row>
    <row r="570" spans="2:9" ht="15.75" customHeight="1" x14ac:dyDescent="0.25">
      <c r="B570" s="1"/>
      <c r="C570" s="1"/>
      <c r="D570" s="1"/>
      <c r="E570" s="1"/>
      <c r="F570" s="1"/>
      <c r="G570" s="1"/>
      <c r="H570" s="1"/>
      <c r="I570" s="1"/>
    </row>
    <row r="571" spans="2:9" ht="15.75" customHeight="1" x14ac:dyDescent="0.25">
      <c r="B571" s="1"/>
      <c r="C571" s="1"/>
      <c r="D571" s="1"/>
      <c r="E571" s="1"/>
      <c r="F571" s="1"/>
      <c r="G571" s="1"/>
      <c r="H571" s="1"/>
      <c r="I571" s="1"/>
    </row>
    <row r="572" spans="2:9" ht="15.75" customHeight="1" x14ac:dyDescent="0.25">
      <c r="B572" s="1"/>
      <c r="C572" s="1"/>
      <c r="D572" s="1"/>
      <c r="E572" s="1"/>
      <c r="F572" s="1"/>
      <c r="G572" s="1"/>
      <c r="H572" s="1"/>
      <c r="I572" s="1"/>
    </row>
    <row r="573" spans="2:9" ht="15.75" customHeight="1" x14ac:dyDescent="0.25">
      <c r="B573" s="1"/>
      <c r="C573" s="1"/>
      <c r="D573" s="1"/>
      <c r="E573" s="1"/>
      <c r="F573" s="1"/>
      <c r="G573" s="1"/>
      <c r="H573" s="1"/>
      <c r="I573" s="1"/>
    </row>
    <row r="574" spans="2:9" ht="15.75" customHeight="1" x14ac:dyDescent="0.25">
      <c r="B574" s="1"/>
      <c r="C574" s="1"/>
      <c r="D574" s="1"/>
      <c r="E574" s="1"/>
      <c r="F574" s="1"/>
      <c r="G574" s="1"/>
      <c r="H574" s="1"/>
      <c r="I574" s="1"/>
    </row>
    <row r="575" spans="2:9" ht="15.75" customHeight="1" x14ac:dyDescent="0.25">
      <c r="B575" s="1"/>
      <c r="C575" s="1"/>
      <c r="D575" s="1"/>
      <c r="E575" s="1"/>
      <c r="F575" s="1"/>
      <c r="G575" s="1"/>
      <c r="H575" s="1"/>
      <c r="I575" s="1"/>
    </row>
    <row r="576" spans="2:9" ht="15.75" customHeight="1" x14ac:dyDescent="0.25">
      <c r="B576" s="1"/>
      <c r="C576" s="1"/>
      <c r="D576" s="1"/>
      <c r="E576" s="1"/>
      <c r="F576" s="1"/>
      <c r="G576" s="1"/>
      <c r="H576" s="1"/>
      <c r="I576" s="1"/>
    </row>
    <row r="577" spans="2:9" ht="15.75" customHeight="1" x14ac:dyDescent="0.25">
      <c r="B577" s="1"/>
      <c r="C577" s="1"/>
      <c r="D577" s="1"/>
      <c r="E577" s="1"/>
      <c r="F577" s="1"/>
      <c r="G577" s="1"/>
      <c r="H577" s="1"/>
      <c r="I577" s="1"/>
    </row>
    <row r="578" spans="2:9" ht="15.75" customHeight="1" x14ac:dyDescent="0.25">
      <c r="B578" s="1"/>
      <c r="C578" s="1"/>
      <c r="D578" s="1"/>
      <c r="E578" s="1"/>
      <c r="F578" s="1"/>
      <c r="G578" s="1"/>
      <c r="H578" s="1"/>
      <c r="I578" s="1"/>
    </row>
    <row r="579" spans="2:9" ht="15.75" customHeight="1" x14ac:dyDescent="0.25">
      <c r="B579" s="1"/>
      <c r="C579" s="1"/>
      <c r="D579" s="1"/>
      <c r="E579" s="1"/>
      <c r="F579" s="1"/>
      <c r="G579" s="1"/>
      <c r="H579" s="1"/>
      <c r="I579" s="1"/>
    </row>
    <row r="580" spans="2:9" ht="15.75" customHeight="1" x14ac:dyDescent="0.25">
      <c r="B580" s="1"/>
      <c r="C580" s="1"/>
      <c r="D580" s="1"/>
      <c r="E580" s="1"/>
      <c r="F580" s="1"/>
      <c r="G580" s="1"/>
      <c r="H580" s="1"/>
      <c r="I580" s="1"/>
    </row>
    <row r="581" spans="2:9" ht="15.75" customHeight="1" x14ac:dyDescent="0.25">
      <c r="B581" s="1"/>
      <c r="C581" s="1"/>
      <c r="D581" s="1"/>
      <c r="E581" s="1"/>
      <c r="F581" s="1"/>
      <c r="G581" s="1"/>
      <c r="H581" s="1"/>
      <c r="I581" s="1"/>
    </row>
    <row r="582" spans="2:9" ht="15.75" customHeight="1" x14ac:dyDescent="0.25">
      <c r="B582" s="1"/>
      <c r="C582" s="1"/>
      <c r="D582" s="1"/>
      <c r="E582" s="1"/>
      <c r="F582" s="1"/>
      <c r="G582" s="1"/>
      <c r="H582" s="1"/>
      <c r="I582" s="1"/>
    </row>
    <row r="583" spans="2:9" ht="15.75" customHeight="1" x14ac:dyDescent="0.25">
      <c r="B583" s="1"/>
      <c r="C583" s="1"/>
      <c r="D583" s="1"/>
      <c r="E583" s="1"/>
      <c r="F583" s="1"/>
      <c r="G583" s="1"/>
      <c r="H583" s="1"/>
      <c r="I583" s="1"/>
    </row>
    <row r="584" spans="2:9" ht="15.75" customHeight="1" x14ac:dyDescent="0.25">
      <c r="B584" s="1"/>
      <c r="C584" s="1"/>
      <c r="D584" s="1"/>
      <c r="E584" s="1"/>
      <c r="F584" s="1"/>
      <c r="G584" s="1"/>
      <c r="H584" s="1"/>
      <c r="I584" s="1"/>
    </row>
    <row r="585" spans="2:9" ht="15.75" customHeight="1" x14ac:dyDescent="0.25">
      <c r="B585" s="1"/>
      <c r="C585" s="1"/>
      <c r="D585" s="1"/>
      <c r="E585" s="1"/>
      <c r="F585" s="1"/>
      <c r="G585" s="1"/>
      <c r="H585" s="1"/>
      <c r="I585" s="1"/>
    </row>
    <row r="586" spans="2:9" ht="15.75" customHeight="1" x14ac:dyDescent="0.25">
      <c r="B586" s="1"/>
      <c r="C586" s="1"/>
      <c r="D586" s="1"/>
      <c r="E586" s="1"/>
      <c r="F586" s="1"/>
      <c r="G586" s="1"/>
      <c r="H586" s="1"/>
      <c r="I586" s="1"/>
    </row>
    <row r="587" spans="2:9" ht="15.75" customHeight="1" x14ac:dyDescent="0.25">
      <c r="B587" s="1"/>
      <c r="C587" s="1"/>
      <c r="D587" s="1"/>
      <c r="E587" s="1"/>
      <c r="F587" s="1"/>
      <c r="G587" s="1"/>
      <c r="H587" s="1"/>
      <c r="I587" s="1"/>
    </row>
    <row r="588" spans="2:9" ht="15.75" customHeight="1" x14ac:dyDescent="0.25">
      <c r="B588" s="1"/>
      <c r="C588" s="1"/>
      <c r="D588" s="1"/>
      <c r="E588" s="1"/>
      <c r="F588" s="1"/>
      <c r="G588" s="1"/>
      <c r="H588" s="1"/>
      <c r="I588" s="1"/>
    </row>
    <row r="589" spans="2:9" ht="15.75" customHeight="1" x14ac:dyDescent="0.25">
      <c r="B589" s="1"/>
      <c r="C589" s="1"/>
      <c r="D589" s="1"/>
      <c r="E589" s="1"/>
      <c r="F589" s="1"/>
      <c r="G589" s="1"/>
      <c r="H589" s="1"/>
      <c r="I589" s="1"/>
    </row>
    <row r="590" spans="2:9" ht="15.75" customHeight="1" x14ac:dyDescent="0.25">
      <c r="B590" s="1"/>
      <c r="C590" s="1"/>
      <c r="D590" s="1"/>
      <c r="E590" s="1"/>
      <c r="F590" s="1"/>
      <c r="G590" s="1"/>
      <c r="H590" s="1"/>
      <c r="I590" s="1"/>
    </row>
    <row r="591" spans="2:9" ht="15.75" customHeight="1" x14ac:dyDescent="0.25">
      <c r="B591" s="1"/>
      <c r="C591" s="1"/>
      <c r="D591" s="1"/>
      <c r="E591" s="1"/>
      <c r="F591" s="1"/>
      <c r="G591" s="1"/>
      <c r="H591" s="1"/>
      <c r="I591" s="1"/>
    </row>
    <row r="592" spans="2:9" ht="15.75" customHeight="1" x14ac:dyDescent="0.25">
      <c r="B592" s="1"/>
      <c r="C592" s="1"/>
      <c r="D592" s="1"/>
      <c r="E592" s="1"/>
      <c r="F592" s="1"/>
      <c r="G592" s="1"/>
      <c r="H592" s="1"/>
      <c r="I592" s="1"/>
    </row>
    <row r="593" spans="2:9" ht="15.75" customHeight="1" x14ac:dyDescent="0.25">
      <c r="B593" s="1"/>
      <c r="C593" s="1"/>
      <c r="D593" s="1"/>
      <c r="E593" s="1"/>
      <c r="F593" s="1"/>
      <c r="G593" s="1"/>
      <c r="H593" s="1"/>
      <c r="I593" s="1"/>
    </row>
    <row r="594" spans="2:9" ht="15.75" customHeight="1" x14ac:dyDescent="0.25">
      <c r="B594" s="1"/>
      <c r="C594" s="1"/>
      <c r="D594" s="1"/>
      <c r="E594" s="1"/>
      <c r="F594" s="1"/>
      <c r="G594" s="1"/>
      <c r="H594" s="1"/>
      <c r="I594" s="1"/>
    </row>
    <row r="595" spans="2:9" ht="15.75" customHeight="1" x14ac:dyDescent="0.25">
      <c r="B595" s="1"/>
      <c r="C595" s="1"/>
      <c r="D595" s="1"/>
      <c r="E595" s="1"/>
      <c r="F595" s="1"/>
      <c r="G595" s="1"/>
      <c r="H595" s="1"/>
      <c r="I595" s="1"/>
    </row>
    <row r="596" spans="2:9" ht="15.75" customHeight="1" x14ac:dyDescent="0.25">
      <c r="B596" s="1"/>
      <c r="C596" s="1"/>
      <c r="D596" s="1"/>
      <c r="E596" s="1"/>
      <c r="F596" s="1"/>
      <c r="G596" s="1"/>
      <c r="H596" s="1"/>
      <c r="I596" s="1"/>
    </row>
    <row r="597" spans="2:9" ht="15.75" customHeight="1" x14ac:dyDescent="0.25">
      <c r="B597" s="1"/>
      <c r="C597" s="1"/>
      <c r="D597" s="1"/>
      <c r="E597" s="1"/>
      <c r="F597" s="1"/>
      <c r="G597" s="1"/>
      <c r="H597" s="1"/>
      <c r="I597" s="1"/>
    </row>
    <row r="598" spans="2:9" ht="15.75" customHeight="1" x14ac:dyDescent="0.25">
      <c r="B598" s="1"/>
      <c r="C598" s="1"/>
      <c r="D598" s="1"/>
      <c r="E598" s="1"/>
      <c r="F598" s="1"/>
      <c r="G598" s="1"/>
      <c r="H598" s="1"/>
      <c r="I598" s="1"/>
    </row>
    <row r="599" spans="2:9" ht="15.75" customHeight="1" x14ac:dyDescent="0.25">
      <c r="B599" s="1"/>
      <c r="C599" s="1"/>
      <c r="D599" s="1"/>
      <c r="E599" s="1"/>
      <c r="F599" s="1"/>
      <c r="G599" s="1"/>
      <c r="H599" s="1"/>
      <c r="I599" s="1"/>
    </row>
    <row r="600" spans="2:9" ht="15.75" customHeight="1" x14ac:dyDescent="0.25">
      <c r="B600" s="1"/>
      <c r="C600" s="1"/>
      <c r="D600" s="1"/>
      <c r="E600" s="1"/>
      <c r="F600" s="1"/>
      <c r="G600" s="1"/>
      <c r="H600" s="1"/>
      <c r="I600" s="1"/>
    </row>
    <row r="601" spans="2:9" ht="15.75" customHeight="1" x14ac:dyDescent="0.25">
      <c r="B601" s="1"/>
      <c r="C601" s="1"/>
      <c r="D601" s="1"/>
      <c r="E601" s="1"/>
      <c r="F601" s="1"/>
      <c r="G601" s="1"/>
      <c r="H601" s="1"/>
      <c r="I601" s="1"/>
    </row>
    <row r="602" spans="2:9" ht="15.75" customHeight="1" x14ac:dyDescent="0.25">
      <c r="B602" s="1"/>
      <c r="C602" s="1"/>
      <c r="D602" s="1"/>
      <c r="E602" s="1"/>
      <c r="F602" s="1"/>
      <c r="G602" s="1"/>
      <c r="H602" s="1"/>
      <c r="I602" s="1"/>
    </row>
    <row r="603" spans="2:9" ht="15.75" customHeight="1" x14ac:dyDescent="0.25">
      <c r="B603" s="1"/>
      <c r="C603" s="1"/>
      <c r="D603" s="1"/>
      <c r="E603" s="1"/>
      <c r="F603" s="1"/>
      <c r="G603" s="1"/>
      <c r="H603" s="1"/>
      <c r="I603" s="1"/>
    </row>
    <row r="604" spans="2:9" ht="15.75" customHeight="1" x14ac:dyDescent="0.25">
      <c r="B604" s="1"/>
      <c r="C604" s="1"/>
      <c r="D604" s="1"/>
      <c r="E604" s="1"/>
      <c r="F604" s="1"/>
      <c r="G604" s="1"/>
      <c r="H604" s="1"/>
      <c r="I604" s="1"/>
    </row>
    <row r="605" spans="2:9" ht="15.75" customHeight="1" x14ac:dyDescent="0.25">
      <c r="B605" s="1"/>
      <c r="C605" s="1"/>
      <c r="D605" s="1"/>
      <c r="E605" s="1"/>
      <c r="F605" s="1"/>
      <c r="G605" s="1"/>
      <c r="H605" s="1"/>
      <c r="I605" s="1"/>
    </row>
    <row r="606" spans="2:9" ht="15.75" customHeight="1" x14ac:dyDescent="0.25">
      <c r="B606" s="1"/>
      <c r="C606" s="1"/>
      <c r="D606" s="1"/>
      <c r="E606" s="1"/>
      <c r="F606" s="1"/>
      <c r="G606" s="1"/>
      <c r="H606" s="1"/>
      <c r="I606" s="1"/>
    </row>
    <row r="607" spans="2:9" ht="15.75" customHeight="1" x14ac:dyDescent="0.25">
      <c r="B607" s="1"/>
      <c r="C607" s="1"/>
      <c r="D607" s="1"/>
      <c r="E607" s="1"/>
      <c r="F607" s="1"/>
      <c r="G607" s="1"/>
      <c r="H607" s="1"/>
      <c r="I607" s="1"/>
    </row>
    <row r="608" spans="2:9" ht="15.75" customHeight="1" x14ac:dyDescent="0.25">
      <c r="B608" s="1"/>
      <c r="C608" s="1"/>
      <c r="D608" s="1"/>
      <c r="E608" s="1"/>
      <c r="F608" s="1"/>
      <c r="G608" s="1"/>
      <c r="H608" s="1"/>
      <c r="I608" s="1"/>
    </row>
    <row r="609" spans="2:9" ht="15.75" customHeight="1" x14ac:dyDescent="0.25">
      <c r="B609" s="1"/>
      <c r="C609" s="1"/>
      <c r="D609" s="1"/>
      <c r="E609" s="1"/>
      <c r="F609" s="1"/>
      <c r="G609" s="1"/>
      <c r="H609" s="1"/>
      <c r="I609" s="1"/>
    </row>
    <row r="610" spans="2:9" ht="15.75" customHeight="1" x14ac:dyDescent="0.25">
      <c r="B610" s="1"/>
      <c r="C610" s="1"/>
      <c r="D610" s="1"/>
      <c r="E610" s="1"/>
      <c r="F610" s="1"/>
      <c r="G610" s="1"/>
      <c r="H610" s="1"/>
      <c r="I610" s="1"/>
    </row>
    <row r="611" spans="2:9" ht="15.75" customHeight="1" x14ac:dyDescent="0.25">
      <c r="B611" s="1"/>
      <c r="C611" s="1"/>
      <c r="D611" s="1"/>
      <c r="E611" s="1"/>
      <c r="F611" s="1"/>
      <c r="G611" s="1"/>
      <c r="H611" s="1"/>
      <c r="I611" s="1"/>
    </row>
    <row r="612" spans="2:9" ht="15.75" customHeight="1" x14ac:dyDescent="0.25">
      <c r="B612" s="1"/>
      <c r="C612" s="1"/>
      <c r="D612" s="1"/>
      <c r="E612" s="1"/>
      <c r="F612" s="1"/>
      <c r="G612" s="1"/>
      <c r="H612" s="1"/>
      <c r="I612" s="1"/>
    </row>
    <row r="613" spans="2:9" ht="15.75" customHeight="1" x14ac:dyDescent="0.25">
      <c r="B613" s="1"/>
      <c r="C613" s="1"/>
      <c r="D613" s="1"/>
      <c r="E613" s="1"/>
      <c r="F613" s="1"/>
      <c r="G613" s="1"/>
      <c r="H613" s="1"/>
      <c r="I613" s="1"/>
    </row>
    <row r="614" spans="2:9" ht="15.75" customHeight="1" x14ac:dyDescent="0.25">
      <c r="B614" s="1"/>
      <c r="C614" s="1"/>
      <c r="D614" s="1"/>
      <c r="E614" s="1"/>
      <c r="F614" s="1"/>
      <c r="G614" s="1"/>
      <c r="H614" s="1"/>
      <c r="I614" s="1"/>
    </row>
    <row r="615" spans="2:9" ht="15.75" customHeight="1" x14ac:dyDescent="0.25">
      <c r="B615" s="1"/>
      <c r="C615" s="1"/>
      <c r="D615" s="1"/>
      <c r="E615" s="1"/>
      <c r="F615" s="1"/>
      <c r="G615" s="1"/>
      <c r="H615" s="1"/>
      <c r="I615" s="1"/>
    </row>
    <row r="616" spans="2:9" ht="15.75" customHeight="1" x14ac:dyDescent="0.25">
      <c r="B616" s="1"/>
      <c r="C616" s="1"/>
      <c r="D616" s="1"/>
      <c r="E616" s="1"/>
      <c r="F616" s="1"/>
      <c r="G616" s="1"/>
      <c r="H616" s="1"/>
      <c r="I616" s="1"/>
    </row>
    <row r="617" spans="2:9" ht="15.75" customHeight="1" x14ac:dyDescent="0.25">
      <c r="B617" s="1"/>
      <c r="C617" s="1"/>
      <c r="D617" s="1"/>
      <c r="E617" s="1"/>
      <c r="F617" s="1"/>
      <c r="G617" s="1"/>
      <c r="H617" s="1"/>
      <c r="I617" s="1"/>
    </row>
    <row r="618" spans="2:9" ht="15.75" customHeight="1" x14ac:dyDescent="0.25">
      <c r="B618" s="1"/>
      <c r="C618" s="1"/>
      <c r="D618" s="1"/>
      <c r="E618" s="1"/>
      <c r="F618" s="1"/>
      <c r="G618" s="1"/>
      <c r="H618" s="1"/>
      <c r="I618" s="1"/>
    </row>
    <row r="619" spans="2:9" ht="15.75" customHeight="1" x14ac:dyDescent="0.25">
      <c r="B619" s="1"/>
      <c r="C619" s="1"/>
      <c r="D619" s="1"/>
      <c r="E619" s="1"/>
      <c r="F619" s="1"/>
      <c r="G619" s="1"/>
      <c r="H619" s="1"/>
      <c r="I619" s="1"/>
    </row>
    <row r="620" spans="2:9" ht="15.75" customHeight="1" x14ac:dyDescent="0.25">
      <c r="B620" s="1"/>
      <c r="C620" s="1"/>
      <c r="D620" s="1"/>
      <c r="E620" s="1"/>
      <c r="F620" s="1"/>
      <c r="G620" s="1"/>
      <c r="H620" s="1"/>
      <c r="I620" s="1"/>
    </row>
    <row r="621" spans="2:9" ht="15.75" customHeight="1" x14ac:dyDescent="0.25">
      <c r="B621" s="1"/>
      <c r="C621" s="1"/>
      <c r="D621" s="1"/>
      <c r="E621" s="1"/>
      <c r="F621" s="1"/>
      <c r="G621" s="1"/>
      <c r="H621" s="1"/>
      <c r="I621" s="1"/>
    </row>
    <row r="622" spans="2:9" ht="15.75" customHeight="1" x14ac:dyDescent="0.25">
      <c r="B622" s="1"/>
      <c r="C622" s="1"/>
      <c r="D622" s="1"/>
      <c r="E622" s="1"/>
      <c r="F622" s="1"/>
      <c r="G622" s="1"/>
      <c r="H622" s="1"/>
      <c r="I622" s="1"/>
    </row>
    <row r="623" spans="2:9" ht="15.75" customHeight="1" x14ac:dyDescent="0.25">
      <c r="B623" s="1"/>
      <c r="C623" s="1"/>
      <c r="D623" s="1"/>
      <c r="E623" s="1"/>
      <c r="F623" s="1"/>
      <c r="G623" s="1"/>
      <c r="H623" s="1"/>
      <c r="I623" s="1"/>
    </row>
    <row r="624" spans="2:9" ht="15.75" customHeight="1" x14ac:dyDescent="0.25">
      <c r="B624" s="1"/>
      <c r="C624" s="1"/>
      <c r="D624" s="1"/>
      <c r="E624" s="1"/>
      <c r="F624" s="1"/>
      <c r="G624" s="1"/>
      <c r="H624" s="1"/>
      <c r="I624" s="1"/>
    </row>
    <row r="625" spans="2:9" ht="15.75" customHeight="1" x14ac:dyDescent="0.25">
      <c r="B625" s="1"/>
      <c r="C625" s="1"/>
      <c r="D625" s="1"/>
      <c r="E625" s="1"/>
      <c r="F625" s="1"/>
      <c r="G625" s="1"/>
      <c r="H625" s="1"/>
      <c r="I625" s="1"/>
    </row>
    <row r="626" spans="2:9" ht="15.75" customHeight="1" x14ac:dyDescent="0.25">
      <c r="B626" s="1"/>
      <c r="C626" s="1"/>
      <c r="D626" s="1"/>
      <c r="E626" s="1"/>
      <c r="F626" s="1"/>
      <c r="G626" s="1"/>
      <c r="H626" s="1"/>
      <c r="I626" s="1"/>
    </row>
    <row r="627" spans="2:9" ht="15.75" customHeight="1" x14ac:dyDescent="0.25">
      <c r="B627" s="1"/>
      <c r="C627" s="1"/>
      <c r="D627" s="1"/>
      <c r="E627" s="1"/>
      <c r="F627" s="1"/>
      <c r="G627" s="1"/>
      <c r="H627" s="1"/>
      <c r="I627" s="1"/>
    </row>
    <row r="628" spans="2:9" ht="15.75" customHeight="1" x14ac:dyDescent="0.25">
      <c r="B628" s="1"/>
      <c r="C628" s="1"/>
      <c r="D628" s="1"/>
      <c r="E628" s="1"/>
      <c r="F628" s="1"/>
      <c r="G628" s="1"/>
      <c r="H628" s="1"/>
      <c r="I628" s="1"/>
    </row>
    <row r="629" spans="2:9" ht="15.75" customHeight="1" x14ac:dyDescent="0.25">
      <c r="B629" s="1"/>
      <c r="C629" s="1"/>
      <c r="D629" s="1"/>
      <c r="E629" s="1"/>
      <c r="F629" s="1"/>
      <c r="G629" s="1"/>
      <c r="H629" s="1"/>
      <c r="I629" s="1"/>
    </row>
    <row r="630" spans="2:9" ht="15.75" customHeight="1" x14ac:dyDescent="0.25">
      <c r="B630" s="1"/>
      <c r="C630" s="1"/>
      <c r="D630" s="1"/>
      <c r="E630" s="1"/>
      <c r="F630" s="1"/>
      <c r="G630" s="1"/>
      <c r="H630" s="1"/>
      <c r="I630" s="1"/>
    </row>
    <row r="631" spans="2:9" ht="15.75" customHeight="1" x14ac:dyDescent="0.25">
      <c r="B631" s="1"/>
      <c r="C631" s="1"/>
      <c r="D631" s="1"/>
      <c r="E631" s="1"/>
      <c r="F631" s="1"/>
      <c r="G631" s="1"/>
      <c r="H631" s="1"/>
      <c r="I631" s="1"/>
    </row>
    <row r="632" spans="2:9" ht="15.75" customHeight="1" x14ac:dyDescent="0.25">
      <c r="B632" s="1"/>
      <c r="C632" s="1"/>
      <c r="D632" s="1"/>
      <c r="E632" s="1"/>
      <c r="F632" s="1"/>
      <c r="G632" s="1"/>
      <c r="H632" s="1"/>
      <c r="I632" s="1"/>
    </row>
    <row r="633" spans="2:9" ht="15.75" customHeight="1" x14ac:dyDescent="0.25">
      <c r="B633" s="1"/>
      <c r="C633" s="1"/>
      <c r="D633" s="1"/>
      <c r="E633" s="1"/>
      <c r="F633" s="1"/>
      <c r="G633" s="1"/>
      <c r="H633" s="1"/>
      <c r="I633" s="1"/>
    </row>
    <row r="634" spans="2:9" ht="15.75" customHeight="1" x14ac:dyDescent="0.25">
      <c r="B634" s="1"/>
      <c r="C634" s="1"/>
      <c r="D634" s="1"/>
      <c r="E634" s="1"/>
      <c r="F634" s="1"/>
      <c r="G634" s="1"/>
      <c r="H634" s="1"/>
      <c r="I634" s="1"/>
    </row>
    <row r="635" spans="2:9" ht="15.75" customHeight="1" x14ac:dyDescent="0.25">
      <c r="B635" s="1"/>
      <c r="C635" s="1"/>
      <c r="D635" s="1"/>
      <c r="E635" s="1"/>
      <c r="F635" s="1"/>
      <c r="G635" s="1"/>
      <c r="H635" s="1"/>
      <c r="I635" s="1"/>
    </row>
    <row r="636" spans="2:9" ht="15.75" customHeight="1" x14ac:dyDescent="0.25">
      <c r="B636" s="1"/>
      <c r="C636" s="1"/>
      <c r="D636" s="1"/>
      <c r="E636" s="1"/>
      <c r="F636" s="1"/>
      <c r="G636" s="1"/>
      <c r="H636" s="1"/>
      <c r="I636" s="1"/>
    </row>
    <row r="637" spans="2:9" ht="15.75" customHeight="1" x14ac:dyDescent="0.25">
      <c r="B637" s="1"/>
      <c r="C637" s="1"/>
      <c r="D637" s="1"/>
      <c r="E637" s="1"/>
      <c r="F637" s="1"/>
      <c r="G637" s="1"/>
      <c r="H637" s="1"/>
      <c r="I637" s="1"/>
    </row>
    <row r="638" spans="2:9" ht="15.75" customHeight="1" x14ac:dyDescent="0.25">
      <c r="B638" s="1"/>
      <c r="C638" s="1"/>
      <c r="D638" s="1"/>
      <c r="E638" s="1"/>
      <c r="F638" s="1"/>
      <c r="G638" s="1"/>
      <c r="H638" s="1"/>
      <c r="I638" s="1"/>
    </row>
    <row r="639" spans="2:9" ht="15.75" customHeight="1" x14ac:dyDescent="0.25">
      <c r="B639" s="1"/>
      <c r="C639" s="1"/>
      <c r="D639" s="1"/>
      <c r="E639" s="1"/>
      <c r="F639" s="1"/>
      <c r="G639" s="1"/>
      <c r="H639" s="1"/>
      <c r="I639" s="1"/>
    </row>
    <row r="640" spans="2:9" ht="15.75" customHeight="1" x14ac:dyDescent="0.25">
      <c r="B640" s="1"/>
      <c r="C640" s="1"/>
      <c r="D640" s="1"/>
      <c r="E640" s="1"/>
      <c r="F640" s="1"/>
      <c r="G640" s="1"/>
      <c r="H640" s="1"/>
      <c r="I640" s="1"/>
    </row>
    <row r="641" spans="2:9" ht="15.75" customHeight="1" x14ac:dyDescent="0.25">
      <c r="B641" s="1"/>
      <c r="C641" s="1"/>
      <c r="D641" s="1"/>
      <c r="E641" s="1"/>
      <c r="F641" s="1"/>
      <c r="G641" s="1"/>
      <c r="H641" s="1"/>
      <c r="I641" s="1"/>
    </row>
    <row r="642" spans="2:9" ht="15.75" customHeight="1" x14ac:dyDescent="0.25">
      <c r="B642" s="1"/>
      <c r="C642" s="1"/>
      <c r="D642" s="1"/>
      <c r="E642" s="1"/>
      <c r="F642" s="1"/>
      <c r="G642" s="1"/>
      <c r="H642" s="1"/>
      <c r="I642" s="1"/>
    </row>
    <row r="643" spans="2:9" ht="15.75" customHeight="1" x14ac:dyDescent="0.25">
      <c r="B643" s="1"/>
      <c r="C643" s="1"/>
      <c r="D643" s="1"/>
      <c r="E643" s="1"/>
      <c r="F643" s="1"/>
      <c r="G643" s="1"/>
      <c r="H643" s="1"/>
      <c r="I643" s="1"/>
    </row>
    <row r="644" spans="2:9" ht="15.75" customHeight="1" x14ac:dyDescent="0.25">
      <c r="B644" s="1"/>
      <c r="C644" s="1"/>
      <c r="D644" s="1"/>
      <c r="E644" s="1"/>
      <c r="F644" s="1"/>
      <c r="G644" s="1"/>
      <c r="H644" s="1"/>
      <c r="I644" s="1"/>
    </row>
    <row r="645" spans="2:9" ht="15.75" customHeight="1" x14ac:dyDescent="0.25">
      <c r="B645" s="1"/>
      <c r="C645" s="1"/>
      <c r="D645" s="1"/>
      <c r="E645" s="1"/>
      <c r="F645" s="1"/>
      <c r="G645" s="1"/>
      <c r="H645" s="1"/>
      <c r="I645" s="1"/>
    </row>
    <row r="646" spans="2:9" ht="15.75" customHeight="1" x14ac:dyDescent="0.25">
      <c r="B646" s="1"/>
      <c r="C646" s="1"/>
      <c r="D646" s="1"/>
      <c r="E646" s="1"/>
      <c r="F646" s="1"/>
      <c r="G646" s="1"/>
      <c r="H646" s="1"/>
      <c r="I646" s="1"/>
    </row>
    <row r="647" spans="2:9" ht="15.75" customHeight="1" x14ac:dyDescent="0.25">
      <c r="B647" s="1"/>
      <c r="C647" s="1"/>
      <c r="D647" s="1"/>
      <c r="E647" s="1"/>
      <c r="F647" s="1"/>
      <c r="G647" s="1"/>
      <c r="H647" s="1"/>
      <c r="I647" s="1"/>
    </row>
    <row r="648" spans="2:9" ht="15.75" customHeight="1" x14ac:dyDescent="0.25">
      <c r="B648" s="1"/>
      <c r="C648" s="1"/>
      <c r="D648" s="1"/>
      <c r="E648" s="1"/>
      <c r="F648" s="1"/>
      <c r="G648" s="1"/>
      <c r="H648" s="1"/>
      <c r="I648" s="1"/>
    </row>
    <row r="649" spans="2:9" ht="15.75" customHeight="1" x14ac:dyDescent="0.25">
      <c r="B649" s="1"/>
      <c r="C649" s="1"/>
      <c r="D649" s="1"/>
      <c r="E649" s="1"/>
      <c r="F649" s="1"/>
      <c r="G649" s="1"/>
      <c r="H649" s="1"/>
      <c r="I649" s="1"/>
    </row>
    <row r="650" spans="2:9" ht="15.75" customHeight="1" x14ac:dyDescent="0.25">
      <c r="B650" s="1"/>
      <c r="C650" s="1"/>
      <c r="D650" s="1"/>
      <c r="E650" s="1"/>
      <c r="F650" s="1"/>
      <c r="G650" s="1"/>
      <c r="H650" s="1"/>
      <c r="I650" s="1"/>
    </row>
    <row r="651" spans="2:9" ht="15.75" customHeight="1" x14ac:dyDescent="0.25">
      <c r="B651" s="1"/>
      <c r="C651" s="1"/>
      <c r="D651" s="1"/>
      <c r="E651" s="1"/>
      <c r="F651" s="1"/>
      <c r="G651" s="1"/>
      <c r="H651" s="1"/>
      <c r="I651" s="1"/>
    </row>
    <row r="652" spans="2:9" ht="15.75" customHeight="1" x14ac:dyDescent="0.25">
      <c r="B652" s="1"/>
      <c r="C652" s="1"/>
      <c r="D652" s="1"/>
      <c r="E652" s="1"/>
      <c r="F652" s="1"/>
      <c r="G652" s="1"/>
      <c r="H652" s="1"/>
      <c r="I652" s="1"/>
    </row>
    <row r="653" spans="2:9" ht="15.75" customHeight="1" x14ac:dyDescent="0.25">
      <c r="B653" s="1"/>
      <c r="C653" s="1"/>
      <c r="D653" s="1"/>
      <c r="E653" s="1"/>
      <c r="F653" s="1"/>
      <c r="G653" s="1"/>
      <c r="H653" s="1"/>
      <c r="I653" s="1"/>
    </row>
    <row r="654" spans="2:9" ht="15.75" customHeight="1" x14ac:dyDescent="0.25">
      <c r="B654" s="1"/>
      <c r="C654" s="1"/>
      <c r="D654" s="1"/>
      <c r="E654" s="1"/>
      <c r="F654" s="1"/>
      <c r="G654" s="1"/>
      <c r="H654" s="1"/>
      <c r="I654" s="1"/>
    </row>
    <row r="655" spans="2:9" ht="15.75" customHeight="1" x14ac:dyDescent="0.25">
      <c r="B655" s="1"/>
      <c r="C655" s="1"/>
      <c r="D655" s="1"/>
      <c r="E655" s="1"/>
      <c r="F655" s="1"/>
      <c r="G655" s="1"/>
      <c r="H655" s="1"/>
      <c r="I655" s="1"/>
    </row>
    <row r="656" spans="2:9" ht="15.75" customHeight="1" x14ac:dyDescent="0.25">
      <c r="B656" s="1"/>
      <c r="C656" s="1"/>
      <c r="D656" s="1"/>
      <c r="E656" s="1"/>
      <c r="F656" s="1"/>
      <c r="G656" s="1"/>
      <c r="H656" s="1"/>
      <c r="I656" s="1"/>
    </row>
    <row r="657" spans="2:9" ht="15.75" customHeight="1" x14ac:dyDescent="0.25">
      <c r="B657" s="1"/>
      <c r="C657" s="1"/>
      <c r="D657" s="1"/>
      <c r="E657" s="1"/>
      <c r="F657" s="1"/>
      <c r="G657" s="1"/>
      <c r="H657" s="1"/>
      <c r="I657" s="1"/>
    </row>
    <row r="658" spans="2:9" ht="15.75" customHeight="1" x14ac:dyDescent="0.25">
      <c r="B658" s="1"/>
      <c r="C658" s="1"/>
      <c r="D658" s="1"/>
      <c r="E658" s="1"/>
      <c r="F658" s="1"/>
      <c r="G658" s="1"/>
      <c r="H658" s="1"/>
      <c r="I658" s="1"/>
    </row>
    <row r="659" spans="2:9" ht="15.75" customHeight="1" x14ac:dyDescent="0.25">
      <c r="B659" s="1"/>
      <c r="C659" s="1"/>
      <c r="D659" s="1"/>
      <c r="E659" s="1"/>
      <c r="F659" s="1"/>
      <c r="G659" s="1"/>
      <c r="H659" s="1"/>
      <c r="I659" s="1"/>
    </row>
    <row r="660" spans="2:9" ht="15.75" customHeight="1" x14ac:dyDescent="0.25">
      <c r="B660" s="1"/>
      <c r="C660" s="1"/>
      <c r="D660" s="1"/>
      <c r="E660" s="1"/>
      <c r="F660" s="1"/>
      <c r="G660" s="1"/>
      <c r="H660" s="1"/>
      <c r="I660" s="1"/>
    </row>
    <row r="661" spans="2:9" ht="15.75" customHeight="1" x14ac:dyDescent="0.25">
      <c r="B661" s="1"/>
      <c r="C661" s="1"/>
      <c r="D661" s="1"/>
      <c r="E661" s="1"/>
      <c r="F661" s="1"/>
      <c r="G661" s="1"/>
      <c r="H661" s="1"/>
      <c r="I661" s="1"/>
    </row>
    <row r="662" spans="2:9" ht="15.75" customHeight="1" x14ac:dyDescent="0.25">
      <c r="B662" s="1"/>
      <c r="C662" s="1"/>
      <c r="D662" s="1"/>
      <c r="E662" s="1"/>
      <c r="F662" s="1"/>
      <c r="G662" s="1"/>
      <c r="H662" s="1"/>
      <c r="I662" s="1"/>
    </row>
    <row r="663" spans="2:9" ht="15.75" customHeight="1" x14ac:dyDescent="0.25">
      <c r="B663" s="1"/>
      <c r="C663" s="1"/>
      <c r="D663" s="1"/>
      <c r="E663" s="1"/>
      <c r="F663" s="1"/>
      <c r="G663" s="1"/>
      <c r="H663" s="1"/>
      <c r="I663" s="1"/>
    </row>
    <row r="664" spans="2:9" ht="15.75" customHeight="1" x14ac:dyDescent="0.25">
      <c r="B664" s="1"/>
      <c r="C664" s="1"/>
      <c r="D664" s="1"/>
      <c r="E664" s="1"/>
      <c r="F664" s="1"/>
      <c r="G664" s="1"/>
      <c r="H664" s="1"/>
      <c r="I664" s="1"/>
    </row>
    <row r="665" spans="2:9" ht="15.75" customHeight="1" x14ac:dyDescent="0.25">
      <c r="B665" s="1"/>
      <c r="C665" s="1"/>
      <c r="D665" s="1"/>
      <c r="E665" s="1"/>
      <c r="F665" s="1"/>
      <c r="G665" s="1"/>
      <c r="H665" s="1"/>
      <c r="I665" s="1"/>
    </row>
    <row r="666" spans="2:9" ht="15.75" customHeight="1" x14ac:dyDescent="0.25">
      <c r="B666" s="1"/>
      <c r="C666" s="1"/>
      <c r="D666" s="1"/>
      <c r="E666" s="1"/>
      <c r="F666" s="1"/>
      <c r="G666" s="1"/>
      <c r="H666" s="1"/>
      <c r="I666" s="1"/>
    </row>
    <row r="667" spans="2:9" ht="15.75" customHeight="1" x14ac:dyDescent="0.25">
      <c r="B667" s="1"/>
      <c r="C667" s="1"/>
      <c r="D667" s="1"/>
      <c r="E667" s="1"/>
      <c r="F667" s="1"/>
      <c r="G667" s="1"/>
      <c r="H667" s="1"/>
      <c r="I667" s="1"/>
    </row>
    <row r="668" spans="2:9" ht="15.75" customHeight="1" x14ac:dyDescent="0.25">
      <c r="B668" s="1"/>
      <c r="C668" s="1"/>
      <c r="D668" s="1"/>
      <c r="E668" s="1"/>
      <c r="F668" s="1"/>
      <c r="G668" s="1"/>
      <c r="H668" s="1"/>
      <c r="I668" s="1"/>
    </row>
    <row r="669" spans="2:9" ht="15.75" customHeight="1" x14ac:dyDescent="0.25">
      <c r="B669" s="1"/>
      <c r="C669" s="1"/>
      <c r="D669" s="1"/>
      <c r="E669" s="1"/>
      <c r="F669" s="1"/>
      <c r="G669" s="1"/>
      <c r="H669" s="1"/>
      <c r="I669" s="1"/>
    </row>
    <row r="670" spans="2:9" ht="15.75" customHeight="1" x14ac:dyDescent="0.25">
      <c r="B670" s="1"/>
      <c r="C670" s="1"/>
      <c r="D670" s="1"/>
      <c r="E670" s="1"/>
      <c r="F670" s="1"/>
      <c r="G670" s="1"/>
      <c r="H670" s="1"/>
      <c r="I670" s="1"/>
    </row>
    <row r="671" spans="2:9" ht="15.75" customHeight="1" x14ac:dyDescent="0.25">
      <c r="B671" s="1"/>
      <c r="C671" s="1"/>
      <c r="D671" s="1"/>
      <c r="E671" s="1"/>
      <c r="F671" s="1"/>
      <c r="G671" s="1"/>
      <c r="H671" s="1"/>
      <c r="I671" s="1"/>
    </row>
    <row r="672" spans="2:9" ht="15.75" customHeight="1" x14ac:dyDescent="0.25">
      <c r="B672" s="1"/>
      <c r="C672" s="1"/>
      <c r="D672" s="1"/>
      <c r="E672" s="1"/>
      <c r="F672" s="1"/>
      <c r="G672" s="1"/>
      <c r="H672" s="1"/>
      <c r="I672" s="1"/>
    </row>
    <row r="673" spans="2:9" ht="15.75" customHeight="1" x14ac:dyDescent="0.25">
      <c r="B673" s="1"/>
      <c r="C673" s="1"/>
      <c r="D673" s="1"/>
      <c r="E673" s="1"/>
      <c r="F673" s="1"/>
      <c r="G673" s="1"/>
      <c r="H673" s="1"/>
      <c r="I673" s="1"/>
    </row>
    <row r="674" spans="2:9" ht="15.75" customHeight="1" x14ac:dyDescent="0.25">
      <c r="B674" s="1"/>
      <c r="C674" s="1"/>
      <c r="D674" s="1"/>
      <c r="E674" s="1"/>
      <c r="F674" s="1"/>
      <c r="G674" s="1"/>
      <c r="H674" s="1"/>
      <c r="I674" s="1"/>
    </row>
    <row r="675" spans="2:9" ht="15.75" customHeight="1" x14ac:dyDescent="0.25">
      <c r="B675" s="1"/>
      <c r="C675" s="1"/>
      <c r="D675" s="1"/>
      <c r="E675" s="1"/>
      <c r="F675" s="1"/>
      <c r="G675" s="1"/>
      <c r="H675" s="1"/>
      <c r="I675" s="1"/>
    </row>
    <row r="676" spans="2:9" ht="15.75" customHeight="1" x14ac:dyDescent="0.25">
      <c r="B676" s="1"/>
      <c r="C676" s="1"/>
      <c r="D676" s="1"/>
      <c r="E676" s="1"/>
      <c r="F676" s="1"/>
      <c r="G676" s="1"/>
      <c r="H676" s="1"/>
      <c r="I676" s="1"/>
    </row>
    <row r="677" spans="2:9" ht="15.75" customHeight="1" x14ac:dyDescent="0.25">
      <c r="B677" s="1"/>
      <c r="C677" s="1"/>
      <c r="D677" s="1"/>
      <c r="E677" s="1"/>
      <c r="F677" s="1"/>
      <c r="G677" s="1"/>
      <c r="H677" s="1"/>
      <c r="I677" s="1"/>
    </row>
    <row r="678" spans="2:9" ht="15.75" customHeight="1" x14ac:dyDescent="0.25">
      <c r="B678" s="1"/>
      <c r="C678" s="1"/>
      <c r="D678" s="1"/>
      <c r="E678" s="1"/>
      <c r="F678" s="1"/>
      <c r="G678" s="1"/>
      <c r="H678" s="1"/>
      <c r="I678" s="1"/>
    </row>
    <row r="679" spans="2:9" ht="15.75" customHeight="1" x14ac:dyDescent="0.25">
      <c r="B679" s="1"/>
      <c r="C679" s="1"/>
      <c r="D679" s="1"/>
      <c r="E679" s="1"/>
      <c r="F679" s="1"/>
      <c r="G679" s="1"/>
      <c r="H679" s="1"/>
      <c r="I679" s="1"/>
    </row>
    <row r="680" spans="2:9" ht="15.75" customHeight="1" x14ac:dyDescent="0.25">
      <c r="B680" s="1"/>
      <c r="C680" s="1"/>
      <c r="D680" s="1"/>
      <c r="E680" s="1"/>
      <c r="F680" s="1"/>
      <c r="G680" s="1"/>
      <c r="H680" s="1"/>
      <c r="I680" s="1"/>
    </row>
    <row r="681" spans="2:9" ht="15.75" customHeight="1" x14ac:dyDescent="0.25">
      <c r="B681" s="1"/>
      <c r="C681" s="1"/>
      <c r="D681" s="1"/>
      <c r="E681" s="1"/>
      <c r="F681" s="1"/>
      <c r="G681" s="1"/>
      <c r="H681" s="1"/>
      <c r="I681" s="1"/>
    </row>
    <row r="682" spans="2:9" ht="15.75" customHeight="1" x14ac:dyDescent="0.25">
      <c r="B682" s="1"/>
      <c r="C682" s="1"/>
      <c r="D682" s="1"/>
      <c r="E682" s="1"/>
      <c r="F682" s="1"/>
      <c r="G682" s="1"/>
      <c r="H682" s="1"/>
      <c r="I682" s="1"/>
    </row>
    <row r="683" spans="2:9" ht="15.75" customHeight="1" x14ac:dyDescent="0.25">
      <c r="B683" s="1"/>
      <c r="C683" s="1"/>
      <c r="D683" s="1"/>
      <c r="E683" s="1"/>
      <c r="F683" s="1"/>
      <c r="G683" s="1"/>
      <c r="H683" s="1"/>
      <c r="I683" s="1"/>
    </row>
    <row r="684" spans="2:9" ht="15.75" customHeight="1" x14ac:dyDescent="0.25">
      <c r="B684" s="1"/>
      <c r="C684" s="1"/>
      <c r="D684" s="1"/>
      <c r="E684" s="1"/>
      <c r="F684" s="1"/>
      <c r="G684" s="1"/>
      <c r="H684" s="1"/>
      <c r="I684" s="1"/>
    </row>
    <row r="685" spans="2:9" ht="15.75" customHeight="1" x14ac:dyDescent="0.25">
      <c r="B685" s="1"/>
      <c r="C685" s="1"/>
      <c r="D685" s="1"/>
      <c r="E685" s="1"/>
      <c r="F685" s="1"/>
      <c r="G685" s="1"/>
      <c r="H685" s="1"/>
      <c r="I685" s="1"/>
    </row>
    <row r="686" spans="2:9" ht="15.75" customHeight="1" x14ac:dyDescent="0.25">
      <c r="B686" s="1"/>
      <c r="C686" s="1"/>
      <c r="D686" s="1"/>
      <c r="E686" s="1"/>
      <c r="F686" s="1"/>
      <c r="G686" s="1"/>
      <c r="H686" s="1"/>
      <c r="I686" s="1"/>
    </row>
    <row r="687" spans="2:9" ht="15.75" customHeight="1" x14ac:dyDescent="0.25">
      <c r="B687" s="1"/>
      <c r="C687" s="1"/>
      <c r="D687" s="1"/>
      <c r="E687" s="1"/>
      <c r="F687" s="1"/>
      <c r="G687" s="1"/>
      <c r="H687" s="1"/>
      <c r="I687" s="1"/>
    </row>
    <row r="688" spans="2:9" ht="15.75" customHeight="1" x14ac:dyDescent="0.25">
      <c r="B688" s="1"/>
      <c r="C688" s="1"/>
      <c r="D688" s="1"/>
      <c r="E688" s="1"/>
      <c r="F688" s="1"/>
      <c r="G688" s="1"/>
      <c r="H688" s="1"/>
      <c r="I688" s="1"/>
    </row>
    <row r="689" spans="2:9" ht="15.75" customHeight="1" x14ac:dyDescent="0.25">
      <c r="B689" s="1"/>
      <c r="C689" s="1"/>
      <c r="D689" s="1"/>
      <c r="E689" s="1"/>
      <c r="F689" s="1"/>
      <c r="G689" s="1"/>
      <c r="H689" s="1"/>
      <c r="I689" s="1"/>
    </row>
    <row r="690" spans="2:9" ht="15.75" customHeight="1" x14ac:dyDescent="0.25">
      <c r="B690" s="1"/>
      <c r="C690" s="1"/>
      <c r="D690" s="1"/>
      <c r="E690" s="1"/>
      <c r="F690" s="1"/>
      <c r="G690" s="1"/>
      <c r="H690" s="1"/>
      <c r="I690" s="1"/>
    </row>
    <row r="691" spans="2:9" ht="15.75" customHeight="1" x14ac:dyDescent="0.25">
      <c r="B691" s="1"/>
      <c r="C691" s="1"/>
      <c r="D691" s="1"/>
      <c r="E691" s="1"/>
      <c r="F691" s="1"/>
      <c r="G691" s="1"/>
      <c r="H691" s="1"/>
      <c r="I691" s="1"/>
    </row>
    <row r="692" spans="2:9" ht="15.75" customHeight="1" x14ac:dyDescent="0.25">
      <c r="B692" s="1"/>
      <c r="C692" s="1"/>
      <c r="D692" s="1"/>
      <c r="E692" s="1"/>
      <c r="F692" s="1"/>
      <c r="G692" s="1"/>
      <c r="H692" s="1"/>
      <c r="I692" s="1"/>
    </row>
    <row r="693" spans="2:9" ht="15.75" customHeight="1" x14ac:dyDescent="0.25">
      <c r="B693" s="1"/>
      <c r="C693" s="1"/>
      <c r="D693" s="1"/>
      <c r="E693" s="1"/>
      <c r="F693" s="1"/>
      <c r="G693" s="1"/>
      <c r="H693" s="1"/>
      <c r="I693" s="1"/>
    </row>
    <row r="694" spans="2:9" ht="15.75" customHeight="1" x14ac:dyDescent="0.25">
      <c r="B694" s="1"/>
      <c r="C694" s="1"/>
      <c r="D694" s="1"/>
      <c r="E694" s="1"/>
      <c r="F694" s="1"/>
      <c r="G694" s="1"/>
      <c r="H694" s="1"/>
      <c r="I694" s="1"/>
    </row>
    <row r="695" spans="2:9" ht="15.75" customHeight="1" x14ac:dyDescent="0.25">
      <c r="B695" s="1"/>
      <c r="C695" s="1"/>
      <c r="D695" s="1"/>
      <c r="E695" s="1"/>
      <c r="F695" s="1"/>
      <c r="G695" s="1"/>
      <c r="H695" s="1"/>
      <c r="I695" s="1"/>
    </row>
    <row r="696" spans="2:9" ht="15.75" customHeight="1" x14ac:dyDescent="0.25">
      <c r="B696" s="1"/>
      <c r="C696" s="1"/>
      <c r="D696" s="1"/>
      <c r="E696" s="1"/>
      <c r="F696" s="1"/>
      <c r="G696" s="1"/>
      <c r="H696" s="1"/>
      <c r="I696" s="1"/>
    </row>
    <row r="697" spans="2:9" ht="15.75" customHeight="1" x14ac:dyDescent="0.25">
      <c r="B697" s="1"/>
      <c r="C697" s="1"/>
      <c r="D697" s="1"/>
      <c r="E697" s="1"/>
      <c r="F697" s="1"/>
      <c r="G697" s="1"/>
      <c r="H697" s="1"/>
      <c r="I697" s="1"/>
    </row>
    <row r="698" spans="2:9" ht="15.75" customHeight="1" x14ac:dyDescent="0.25">
      <c r="B698" s="1"/>
      <c r="C698" s="1"/>
      <c r="D698" s="1"/>
      <c r="E698" s="1"/>
      <c r="F698" s="1"/>
      <c r="G698" s="1"/>
      <c r="H698" s="1"/>
      <c r="I698" s="1"/>
    </row>
    <row r="699" spans="2:9" ht="15.75" customHeight="1" x14ac:dyDescent="0.25">
      <c r="B699" s="1"/>
      <c r="C699" s="1"/>
      <c r="D699" s="1"/>
      <c r="E699" s="1"/>
      <c r="F699" s="1"/>
      <c r="G699" s="1"/>
      <c r="H699" s="1"/>
      <c r="I699" s="1"/>
    </row>
    <row r="700" spans="2:9" ht="15.75" customHeight="1" x14ac:dyDescent="0.25">
      <c r="B700" s="1"/>
      <c r="C700" s="1"/>
      <c r="D700" s="1"/>
      <c r="E700" s="1"/>
      <c r="F700" s="1"/>
      <c r="G700" s="1"/>
      <c r="H700" s="1"/>
      <c r="I700" s="1"/>
    </row>
    <row r="701" spans="2:9" ht="15.75" customHeight="1" x14ac:dyDescent="0.25">
      <c r="B701" s="1"/>
      <c r="C701" s="1"/>
      <c r="D701" s="1"/>
      <c r="E701" s="1"/>
      <c r="F701" s="1"/>
      <c r="G701" s="1"/>
      <c r="H701" s="1"/>
      <c r="I701" s="1"/>
    </row>
    <row r="702" spans="2:9" ht="15.75" customHeight="1" x14ac:dyDescent="0.25">
      <c r="B702" s="1"/>
      <c r="C702" s="1"/>
      <c r="D702" s="1"/>
      <c r="E702" s="1"/>
      <c r="F702" s="1"/>
      <c r="G702" s="1"/>
      <c r="H702" s="1"/>
      <c r="I702" s="1"/>
    </row>
    <row r="703" spans="2:9" ht="15.75" customHeight="1" x14ac:dyDescent="0.25">
      <c r="B703" s="1"/>
      <c r="C703" s="1"/>
      <c r="D703" s="1"/>
      <c r="E703" s="1"/>
      <c r="F703" s="1"/>
      <c r="G703" s="1"/>
      <c r="H703" s="1"/>
      <c r="I703" s="1"/>
    </row>
    <row r="704" spans="2:9" ht="15.75" customHeight="1" x14ac:dyDescent="0.25">
      <c r="B704" s="1"/>
      <c r="C704" s="1"/>
      <c r="D704" s="1"/>
      <c r="E704" s="1"/>
      <c r="F704" s="1"/>
      <c r="G704" s="1"/>
      <c r="H704" s="1"/>
      <c r="I704" s="1"/>
    </row>
    <row r="705" spans="2:9" ht="15.75" customHeight="1" x14ac:dyDescent="0.25">
      <c r="B705" s="1"/>
      <c r="C705" s="1"/>
      <c r="D705" s="1"/>
      <c r="E705" s="1"/>
      <c r="F705" s="1"/>
      <c r="G705" s="1"/>
      <c r="H705" s="1"/>
      <c r="I705" s="1"/>
    </row>
    <row r="706" spans="2:9" ht="15.75" customHeight="1" x14ac:dyDescent="0.25">
      <c r="B706" s="1"/>
      <c r="C706" s="1"/>
      <c r="D706" s="1"/>
      <c r="E706" s="1"/>
      <c r="F706" s="1"/>
      <c r="G706" s="1"/>
      <c r="H706" s="1"/>
      <c r="I706" s="1"/>
    </row>
    <row r="707" spans="2:9" ht="15.75" customHeight="1" x14ac:dyDescent="0.25">
      <c r="B707" s="1"/>
      <c r="C707" s="1"/>
      <c r="D707" s="1"/>
      <c r="E707" s="1"/>
      <c r="F707" s="1"/>
      <c r="G707" s="1"/>
      <c r="H707" s="1"/>
      <c r="I707" s="1"/>
    </row>
    <row r="708" spans="2:9" ht="15.75" customHeight="1" x14ac:dyDescent="0.25">
      <c r="B708" s="1"/>
      <c r="C708" s="1"/>
      <c r="D708" s="1"/>
      <c r="E708" s="1"/>
      <c r="F708" s="1"/>
      <c r="G708" s="1"/>
      <c r="H708" s="1"/>
      <c r="I708" s="1"/>
    </row>
    <row r="709" spans="2:9" ht="15.75" customHeight="1" x14ac:dyDescent="0.25">
      <c r="B709" s="1"/>
      <c r="C709" s="1"/>
      <c r="D709" s="1"/>
      <c r="E709" s="1"/>
      <c r="F709" s="1"/>
      <c r="G709" s="1"/>
      <c r="H709" s="1"/>
      <c r="I709" s="1"/>
    </row>
    <row r="710" spans="2:9" ht="15.75" customHeight="1" x14ac:dyDescent="0.25">
      <c r="B710" s="1"/>
      <c r="C710" s="1"/>
      <c r="D710" s="1"/>
      <c r="E710" s="1"/>
      <c r="F710" s="1"/>
      <c r="G710" s="1"/>
      <c r="H710" s="1"/>
      <c r="I710" s="1"/>
    </row>
    <row r="711" spans="2:9" ht="15.75" customHeight="1" x14ac:dyDescent="0.25">
      <c r="B711" s="1"/>
      <c r="C711" s="1"/>
      <c r="D711" s="1"/>
      <c r="E711" s="1"/>
      <c r="F711" s="1"/>
      <c r="G711" s="1"/>
      <c r="H711" s="1"/>
      <c r="I711" s="1"/>
    </row>
    <row r="712" spans="2:9" ht="15.75" customHeight="1" x14ac:dyDescent="0.25">
      <c r="B712" s="1"/>
      <c r="C712" s="1"/>
      <c r="D712" s="1"/>
      <c r="E712" s="1"/>
      <c r="F712" s="1"/>
      <c r="G712" s="1"/>
      <c r="H712" s="1"/>
      <c r="I712" s="1"/>
    </row>
    <row r="713" spans="2:9" ht="15.75" customHeight="1" x14ac:dyDescent="0.25">
      <c r="B713" s="1"/>
      <c r="C713" s="1"/>
      <c r="D713" s="1"/>
      <c r="E713" s="1"/>
      <c r="F713" s="1"/>
      <c r="G713" s="1"/>
      <c r="H713" s="1"/>
      <c r="I713" s="1"/>
    </row>
    <row r="714" spans="2:9" ht="15.75" customHeight="1" x14ac:dyDescent="0.25">
      <c r="B714" s="1"/>
      <c r="C714" s="1"/>
      <c r="D714" s="1"/>
      <c r="E714" s="1"/>
      <c r="F714" s="1"/>
      <c r="G714" s="1"/>
      <c r="H714" s="1"/>
      <c r="I714" s="1"/>
    </row>
    <row r="715" spans="2:9" ht="15.75" customHeight="1" x14ac:dyDescent="0.25">
      <c r="B715" s="1"/>
      <c r="C715" s="1"/>
      <c r="D715" s="1"/>
      <c r="E715" s="1"/>
      <c r="F715" s="1"/>
      <c r="G715" s="1"/>
      <c r="H715" s="1"/>
      <c r="I715" s="1"/>
    </row>
    <row r="716" spans="2:9" ht="15.75" customHeight="1" x14ac:dyDescent="0.25">
      <c r="B716" s="1"/>
      <c r="C716" s="1"/>
      <c r="D716" s="1"/>
      <c r="E716" s="1"/>
      <c r="F716" s="1"/>
      <c r="G716" s="1"/>
      <c r="H716" s="1"/>
      <c r="I716" s="1"/>
    </row>
    <row r="717" spans="2:9" ht="15.75" customHeight="1" x14ac:dyDescent="0.25">
      <c r="B717" s="1"/>
      <c r="C717" s="1"/>
      <c r="D717" s="1"/>
      <c r="E717" s="1"/>
      <c r="F717" s="1"/>
      <c r="G717" s="1"/>
      <c r="H717" s="1"/>
      <c r="I717" s="1"/>
    </row>
    <row r="718" spans="2:9" ht="15.75" customHeight="1" x14ac:dyDescent="0.25">
      <c r="B718" s="1"/>
      <c r="C718" s="1"/>
      <c r="D718" s="1"/>
      <c r="E718" s="1"/>
      <c r="F718" s="1"/>
      <c r="G718" s="1"/>
      <c r="H718" s="1"/>
      <c r="I718" s="1"/>
    </row>
    <row r="719" spans="2:9" ht="15.75" customHeight="1" x14ac:dyDescent="0.25">
      <c r="B719" s="1"/>
      <c r="C719" s="1"/>
      <c r="D719" s="1"/>
      <c r="E719" s="1"/>
      <c r="F719" s="1"/>
      <c r="G719" s="1"/>
      <c r="H719" s="1"/>
      <c r="I719" s="1"/>
    </row>
    <row r="720" spans="2:9" ht="15.75" customHeight="1" x14ac:dyDescent="0.25">
      <c r="B720" s="1"/>
      <c r="C720" s="1"/>
      <c r="D720" s="1"/>
      <c r="E720" s="1"/>
      <c r="F720" s="1"/>
      <c r="G720" s="1"/>
      <c r="H720" s="1"/>
      <c r="I720" s="1"/>
    </row>
    <row r="721" spans="2:9" ht="15.75" customHeight="1" x14ac:dyDescent="0.25">
      <c r="B721" s="1"/>
      <c r="C721" s="1"/>
      <c r="D721" s="1"/>
      <c r="E721" s="1"/>
      <c r="F721" s="1"/>
      <c r="G721" s="1"/>
      <c r="H721" s="1"/>
      <c r="I721" s="1"/>
    </row>
    <row r="722" spans="2:9" ht="15.75" customHeight="1" x14ac:dyDescent="0.25">
      <c r="B722" s="1"/>
      <c r="C722" s="1"/>
      <c r="D722" s="1"/>
      <c r="E722" s="1"/>
      <c r="F722" s="1"/>
      <c r="G722" s="1"/>
      <c r="H722" s="1"/>
      <c r="I722" s="1"/>
    </row>
    <row r="723" spans="2:9" ht="15.75" customHeight="1" x14ac:dyDescent="0.25">
      <c r="B723" s="1"/>
      <c r="C723" s="1"/>
      <c r="D723" s="1"/>
      <c r="E723" s="1"/>
      <c r="F723" s="1"/>
      <c r="G723" s="1"/>
      <c r="H723" s="1"/>
      <c r="I723" s="1"/>
    </row>
    <row r="724" spans="2:9" ht="15.75" customHeight="1" x14ac:dyDescent="0.25">
      <c r="B724" s="1"/>
      <c r="C724" s="1"/>
      <c r="D724" s="1"/>
      <c r="E724" s="1"/>
      <c r="F724" s="1"/>
      <c r="G724" s="1"/>
      <c r="H724" s="1"/>
      <c r="I724" s="1"/>
    </row>
    <row r="725" spans="2:9" ht="15.75" customHeight="1" x14ac:dyDescent="0.25">
      <c r="B725" s="1"/>
      <c r="C725" s="1"/>
      <c r="D725" s="1"/>
      <c r="E725" s="1"/>
      <c r="F725" s="1"/>
      <c r="G725" s="1"/>
      <c r="H725" s="1"/>
      <c r="I725" s="1"/>
    </row>
    <row r="726" spans="2:9" ht="15.75" customHeight="1" x14ac:dyDescent="0.25">
      <c r="B726" s="1"/>
      <c r="C726" s="1"/>
      <c r="D726" s="1"/>
      <c r="E726" s="1"/>
      <c r="F726" s="1"/>
      <c r="G726" s="1"/>
      <c r="H726" s="1"/>
      <c r="I726" s="1"/>
    </row>
    <row r="727" spans="2:9" ht="15.75" customHeight="1" x14ac:dyDescent="0.25">
      <c r="B727" s="1"/>
      <c r="C727" s="1"/>
      <c r="D727" s="1"/>
      <c r="E727" s="1"/>
      <c r="F727" s="1"/>
      <c r="G727" s="1"/>
      <c r="H727" s="1"/>
      <c r="I727" s="1"/>
    </row>
    <row r="728" spans="2:9" ht="15.75" customHeight="1" x14ac:dyDescent="0.25">
      <c r="B728" s="1"/>
      <c r="C728" s="1"/>
      <c r="D728" s="1"/>
      <c r="E728" s="1"/>
      <c r="F728" s="1"/>
      <c r="G728" s="1"/>
      <c r="H728" s="1"/>
      <c r="I728" s="1"/>
    </row>
    <row r="729" spans="2:9" ht="15.75" customHeight="1" x14ac:dyDescent="0.25">
      <c r="B729" s="1"/>
      <c r="C729" s="1"/>
      <c r="D729" s="1"/>
      <c r="E729" s="1"/>
      <c r="F729" s="1"/>
      <c r="G729" s="1"/>
      <c r="H729" s="1"/>
      <c r="I729" s="1"/>
    </row>
    <row r="730" spans="2:9" ht="15.75" customHeight="1" x14ac:dyDescent="0.25">
      <c r="B730" s="1"/>
      <c r="C730" s="1"/>
      <c r="D730" s="1"/>
      <c r="E730" s="1"/>
      <c r="F730" s="1"/>
      <c r="G730" s="1"/>
      <c r="H730" s="1"/>
      <c r="I730" s="1"/>
    </row>
    <row r="731" spans="2:9" ht="15.75" customHeight="1" x14ac:dyDescent="0.25">
      <c r="B731" s="1"/>
      <c r="C731" s="1"/>
      <c r="D731" s="1"/>
      <c r="E731" s="1"/>
      <c r="F731" s="1"/>
      <c r="G731" s="1"/>
      <c r="H731" s="1"/>
      <c r="I731" s="1"/>
    </row>
    <row r="732" spans="2:9" ht="15.75" customHeight="1" x14ac:dyDescent="0.25">
      <c r="B732" s="1"/>
      <c r="C732" s="1"/>
      <c r="D732" s="1"/>
      <c r="E732" s="1"/>
      <c r="F732" s="1"/>
      <c r="G732" s="1"/>
      <c r="H732" s="1"/>
      <c r="I732" s="1"/>
    </row>
    <row r="733" spans="2:9" ht="15.75" customHeight="1" x14ac:dyDescent="0.25">
      <c r="B733" s="1"/>
      <c r="C733" s="1"/>
      <c r="D733" s="1"/>
      <c r="E733" s="1"/>
      <c r="F733" s="1"/>
      <c r="G733" s="1"/>
      <c r="H733" s="1"/>
      <c r="I733" s="1"/>
    </row>
    <row r="734" spans="2:9" ht="15.75" customHeight="1" x14ac:dyDescent="0.25">
      <c r="B734" s="1"/>
      <c r="C734" s="1"/>
      <c r="D734" s="1"/>
      <c r="E734" s="1"/>
      <c r="F734" s="1"/>
      <c r="G734" s="1"/>
      <c r="H734" s="1"/>
      <c r="I734" s="1"/>
    </row>
    <row r="735" spans="2:9" ht="15.75" customHeight="1" x14ac:dyDescent="0.25">
      <c r="B735" s="1"/>
      <c r="C735" s="1"/>
      <c r="D735" s="1"/>
      <c r="E735" s="1"/>
      <c r="F735" s="1"/>
      <c r="G735" s="1"/>
      <c r="H735" s="1"/>
      <c r="I735" s="1"/>
    </row>
    <row r="736" spans="2:9" ht="15.75" customHeight="1" x14ac:dyDescent="0.25">
      <c r="B736" s="1"/>
      <c r="C736" s="1"/>
      <c r="D736" s="1"/>
      <c r="E736" s="1"/>
      <c r="F736" s="1"/>
      <c r="G736" s="1"/>
      <c r="H736" s="1"/>
      <c r="I736" s="1"/>
    </row>
    <row r="737" spans="2:9" ht="15.75" customHeight="1" x14ac:dyDescent="0.25">
      <c r="B737" s="1"/>
      <c r="C737" s="1"/>
      <c r="D737" s="1"/>
      <c r="E737" s="1"/>
      <c r="F737" s="1"/>
      <c r="G737" s="1"/>
      <c r="H737" s="1"/>
      <c r="I737" s="1"/>
    </row>
    <row r="738" spans="2:9" ht="15.75" customHeight="1" x14ac:dyDescent="0.25">
      <c r="B738" s="1"/>
      <c r="C738" s="1"/>
      <c r="D738" s="1"/>
      <c r="E738" s="1"/>
      <c r="F738" s="1"/>
      <c r="G738" s="1"/>
      <c r="H738" s="1"/>
      <c r="I738" s="1"/>
    </row>
    <row r="739" spans="2:9" ht="15.75" customHeight="1" x14ac:dyDescent="0.25">
      <c r="B739" s="1"/>
      <c r="C739" s="1"/>
      <c r="D739" s="1"/>
      <c r="E739" s="1"/>
      <c r="F739" s="1"/>
      <c r="G739" s="1"/>
      <c r="H739" s="1"/>
      <c r="I739" s="1"/>
    </row>
    <row r="740" spans="2:9" ht="15.75" customHeight="1" x14ac:dyDescent="0.25">
      <c r="B740" s="1"/>
      <c r="C740" s="1"/>
      <c r="D740" s="1"/>
      <c r="E740" s="1"/>
      <c r="F740" s="1"/>
      <c r="G740" s="1"/>
      <c r="H740" s="1"/>
      <c r="I740" s="1"/>
    </row>
    <row r="741" spans="2:9" ht="15.75" customHeight="1" x14ac:dyDescent="0.25">
      <c r="B741" s="1"/>
      <c r="C741" s="1"/>
      <c r="D741" s="1"/>
      <c r="E741" s="1"/>
      <c r="F741" s="1"/>
      <c r="G741" s="1"/>
      <c r="H741" s="1"/>
      <c r="I741" s="1"/>
    </row>
    <row r="742" spans="2:9" ht="15.75" customHeight="1" x14ac:dyDescent="0.25">
      <c r="B742" s="1"/>
      <c r="C742" s="1"/>
      <c r="D742" s="1"/>
      <c r="E742" s="1"/>
      <c r="F742" s="1"/>
      <c r="G742" s="1"/>
      <c r="H742" s="1"/>
      <c r="I742" s="1"/>
    </row>
    <row r="743" spans="2:9" ht="15.75" customHeight="1" x14ac:dyDescent="0.25">
      <c r="B743" s="1"/>
      <c r="C743" s="1"/>
      <c r="D743" s="1"/>
      <c r="E743" s="1"/>
      <c r="F743" s="1"/>
      <c r="G743" s="1"/>
      <c r="H743" s="1"/>
      <c r="I743" s="1"/>
    </row>
    <row r="744" spans="2:9" ht="15.75" customHeight="1" x14ac:dyDescent="0.25">
      <c r="B744" s="1"/>
      <c r="C744" s="1"/>
      <c r="D744" s="1"/>
      <c r="E744" s="1"/>
      <c r="F744" s="1"/>
      <c r="G744" s="1"/>
      <c r="H744" s="1"/>
      <c r="I744" s="1"/>
    </row>
    <row r="745" spans="2:9" ht="15.75" customHeight="1" x14ac:dyDescent="0.25">
      <c r="B745" s="1"/>
      <c r="C745" s="1"/>
      <c r="D745" s="1"/>
      <c r="E745" s="1"/>
      <c r="F745" s="1"/>
      <c r="G745" s="1"/>
      <c r="H745" s="1"/>
      <c r="I745" s="1"/>
    </row>
    <row r="746" spans="2:9" ht="15.75" customHeight="1" x14ac:dyDescent="0.25">
      <c r="B746" s="1"/>
      <c r="C746" s="1"/>
      <c r="D746" s="1"/>
      <c r="E746" s="1"/>
      <c r="F746" s="1"/>
      <c r="G746" s="1"/>
      <c r="H746" s="1"/>
      <c r="I746" s="1"/>
    </row>
    <row r="747" spans="2:9" ht="15.75" customHeight="1" x14ac:dyDescent="0.25">
      <c r="B747" s="1"/>
      <c r="C747" s="1"/>
      <c r="D747" s="1"/>
      <c r="E747" s="1"/>
      <c r="F747" s="1"/>
      <c r="G747" s="1"/>
      <c r="H747" s="1"/>
      <c r="I747" s="1"/>
    </row>
    <row r="748" spans="2:9" ht="15.75" customHeight="1" x14ac:dyDescent="0.25">
      <c r="B748" s="1"/>
      <c r="C748" s="1"/>
      <c r="D748" s="1"/>
      <c r="E748" s="1"/>
      <c r="F748" s="1"/>
      <c r="G748" s="1"/>
      <c r="H748" s="1"/>
      <c r="I748" s="1"/>
    </row>
    <row r="749" spans="2:9" ht="15.75" customHeight="1" x14ac:dyDescent="0.25">
      <c r="B749" s="1"/>
      <c r="C749" s="1"/>
      <c r="D749" s="1"/>
      <c r="E749" s="1"/>
      <c r="F749" s="1"/>
      <c r="G749" s="1"/>
      <c r="H749" s="1"/>
      <c r="I749" s="1"/>
    </row>
    <row r="750" spans="2:9" ht="15.75" customHeight="1" x14ac:dyDescent="0.25">
      <c r="B750" s="1"/>
      <c r="C750" s="1"/>
      <c r="D750" s="1"/>
      <c r="E750" s="1"/>
      <c r="F750" s="1"/>
      <c r="G750" s="1"/>
      <c r="H750" s="1"/>
      <c r="I750" s="1"/>
    </row>
    <row r="751" spans="2:9" ht="15.75" customHeight="1" x14ac:dyDescent="0.25">
      <c r="B751" s="1"/>
      <c r="C751" s="1"/>
      <c r="D751" s="1"/>
      <c r="E751" s="1"/>
      <c r="F751" s="1"/>
      <c r="G751" s="1"/>
      <c r="H751" s="1"/>
      <c r="I751" s="1"/>
    </row>
    <row r="752" spans="2:9" ht="15.75" customHeight="1" x14ac:dyDescent="0.25">
      <c r="B752" s="1"/>
      <c r="C752" s="1"/>
      <c r="D752" s="1"/>
      <c r="E752" s="1"/>
      <c r="F752" s="1"/>
      <c r="G752" s="1"/>
      <c r="H752" s="1"/>
      <c r="I752" s="1"/>
    </row>
    <row r="753" spans="2:9" ht="15.75" customHeight="1" x14ac:dyDescent="0.25">
      <c r="B753" s="1"/>
      <c r="C753" s="1"/>
      <c r="D753" s="1"/>
      <c r="E753" s="1"/>
      <c r="F753" s="1"/>
      <c r="G753" s="1"/>
      <c r="H753" s="1"/>
      <c r="I753" s="1"/>
    </row>
    <row r="754" spans="2:9" ht="15.75" customHeight="1" x14ac:dyDescent="0.25">
      <c r="B754" s="1"/>
      <c r="C754" s="1"/>
      <c r="D754" s="1"/>
      <c r="E754" s="1"/>
      <c r="F754" s="1"/>
      <c r="G754" s="1"/>
      <c r="H754" s="1"/>
      <c r="I754" s="1"/>
    </row>
    <row r="755" spans="2:9" ht="15.75" customHeight="1" x14ac:dyDescent="0.25">
      <c r="B755" s="1"/>
      <c r="C755" s="1"/>
      <c r="D755" s="1"/>
      <c r="E755" s="1"/>
      <c r="F755" s="1"/>
      <c r="G755" s="1"/>
      <c r="H755" s="1"/>
      <c r="I755" s="1"/>
    </row>
    <row r="756" spans="2:9" ht="15.75" customHeight="1" x14ac:dyDescent="0.25">
      <c r="B756" s="1"/>
      <c r="C756" s="1"/>
      <c r="D756" s="1"/>
      <c r="E756" s="1"/>
      <c r="F756" s="1"/>
      <c r="G756" s="1"/>
      <c r="H756" s="1"/>
      <c r="I756" s="1"/>
    </row>
    <row r="757" spans="2:9" ht="15.75" customHeight="1" x14ac:dyDescent="0.25">
      <c r="B757" s="1"/>
      <c r="C757" s="1"/>
      <c r="D757" s="1"/>
      <c r="E757" s="1"/>
      <c r="F757" s="1"/>
      <c r="G757" s="1"/>
      <c r="H757" s="1"/>
      <c r="I757" s="1"/>
    </row>
    <row r="758" spans="2:9" ht="15.75" customHeight="1" x14ac:dyDescent="0.25">
      <c r="B758" s="1"/>
      <c r="C758" s="1"/>
      <c r="D758" s="1"/>
      <c r="E758" s="1"/>
      <c r="F758" s="1"/>
      <c r="G758" s="1"/>
      <c r="H758" s="1"/>
      <c r="I758" s="1"/>
    </row>
    <row r="759" spans="2:9" ht="15.75" customHeight="1" x14ac:dyDescent="0.25">
      <c r="B759" s="1"/>
      <c r="C759" s="1"/>
      <c r="D759" s="1"/>
      <c r="E759" s="1"/>
      <c r="F759" s="1"/>
      <c r="G759" s="1"/>
      <c r="H759" s="1"/>
      <c r="I759" s="1"/>
    </row>
    <row r="760" spans="2:9" ht="15.75" customHeight="1" x14ac:dyDescent="0.25">
      <c r="B760" s="1"/>
      <c r="C760" s="1"/>
      <c r="D760" s="1"/>
      <c r="E760" s="1"/>
      <c r="F760" s="1"/>
      <c r="G760" s="1"/>
      <c r="H760" s="1"/>
      <c r="I760" s="1"/>
    </row>
    <row r="761" spans="2:9" ht="15.75" customHeight="1" x14ac:dyDescent="0.25">
      <c r="B761" s="1"/>
      <c r="C761" s="1"/>
      <c r="D761" s="1"/>
      <c r="E761" s="1"/>
      <c r="F761" s="1"/>
      <c r="G761" s="1"/>
      <c r="H761" s="1"/>
      <c r="I761" s="1"/>
    </row>
    <row r="762" spans="2:9" ht="15.75" customHeight="1" x14ac:dyDescent="0.25">
      <c r="B762" s="1"/>
      <c r="C762" s="1"/>
      <c r="D762" s="1"/>
      <c r="E762" s="1"/>
      <c r="F762" s="1"/>
      <c r="G762" s="1"/>
      <c r="H762" s="1"/>
      <c r="I762" s="1"/>
    </row>
    <row r="763" spans="2:9" ht="15.75" customHeight="1" x14ac:dyDescent="0.25">
      <c r="B763" s="1"/>
      <c r="C763" s="1"/>
      <c r="D763" s="1"/>
      <c r="E763" s="1"/>
      <c r="F763" s="1"/>
      <c r="G763" s="1"/>
      <c r="H763" s="1"/>
      <c r="I763" s="1"/>
    </row>
    <row r="764" spans="2:9" ht="15.75" customHeight="1" x14ac:dyDescent="0.25">
      <c r="B764" s="1"/>
      <c r="C764" s="1"/>
      <c r="D764" s="1"/>
      <c r="E764" s="1"/>
      <c r="F764" s="1"/>
      <c r="G764" s="1"/>
      <c r="H764" s="1"/>
      <c r="I764" s="1"/>
    </row>
    <row r="765" spans="2:9" ht="15.75" customHeight="1" x14ac:dyDescent="0.25">
      <c r="B765" s="1"/>
      <c r="C765" s="1"/>
      <c r="D765" s="1"/>
      <c r="E765" s="1"/>
      <c r="F765" s="1"/>
      <c r="G765" s="1"/>
      <c r="H765" s="1"/>
      <c r="I765" s="1"/>
    </row>
    <row r="766" spans="2:9" ht="15.75" customHeight="1" x14ac:dyDescent="0.25">
      <c r="B766" s="1"/>
      <c r="C766" s="1"/>
      <c r="D766" s="1"/>
      <c r="E766" s="1"/>
      <c r="F766" s="1"/>
      <c r="G766" s="1"/>
      <c r="H766" s="1"/>
      <c r="I766" s="1"/>
    </row>
    <row r="767" spans="2:9" ht="15.75" customHeight="1" x14ac:dyDescent="0.25">
      <c r="B767" s="1"/>
      <c r="C767" s="1"/>
      <c r="D767" s="1"/>
      <c r="E767" s="1"/>
      <c r="F767" s="1"/>
      <c r="G767" s="1"/>
      <c r="H767" s="1"/>
      <c r="I767" s="1"/>
    </row>
    <row r="768" spans="2:9" ht="15.75" customHeight="1" x14ac:dyDescent="0.25">
      <c r="B768" s="1"/>
      <c r="C768" s="1"/>
      <c r="D768" s="1"/>
      <c r="E768" s="1"/>
      <c r="F768" s="1"/>
      <c r="G768" s="1"/>
      <c r="H768" s="1"/>
      <c r="I768" s="1"/>
    </row>
    <row r="769" spans="2:9" ht="15.75" customHeight="1" x14ac:dyDescent="0.25">
      <c r="B769" s="1"/>
      <c r="C769" s="1"/>
      <c r="D769" s="1"/>
      <c r="E769" s="1"/>
      <c r="F769" s="1"/>
      <c r="G769" s="1"/>
      <c r="H769" s="1"/>
      <c r="I769" s="1"/>
    </row>
    <row r="770" spans="2:9" ht="15.75" customHeight="1" x14ac:dyDescent="0.25">
      <c r="B770" s="1"/>
      <c r="C770" s="1"/>
      <c r="D770" s="1"/>
      <c r="E770" s="1"/>
      <c r="F770" s="1"/>
      <c r="G770" s="1"/>
      <c r="H770" s="1"/>
      <c r="I770" s="1"/>
    </row>
    <row r="771" spans="2:9" ht="15.75" customHeight="1" x14ac:dyDescent="0.25">
      <c r="B771" s="1"/>
      <c r="C771" s="1"/>
      <c r="D771" s="1"/>
      <c r="E771" s="1"/>
      <c r="F771" s="1"/>
      <c r="G771" s="1"/>
      <c r="H771" s="1"/>
      <c r="I771" s="1"/>
    </row>
    <row r="772" spans="2:9" ht="15.75" customHeight="1" x14ac:dyDescent="0.25">
      <c r="B772" s="1"/>
      <c r="C772" s="1"/>
      <c r="D772" s="1"/>
      <c r="E772" s="1"/>
      <c r="F772" s="1"/>
      <c r="G772" s="1"/>
      <c r="H772" s="1"/>
      <c r="I772" s="1"/>
    </row>
    <row r="773" spans="2:9" ht="15.75" customHeight="1" x14ac:dyDescent="0.25">
      <c r="B773" s="1"/>
      <c r="C773" s="1"/>
      <c r="D773" s="1"/>
      <c r="E773" s="1"/>
      <c r="F773" s="1"/>
      <c r="G773" s="1"/>
      <c r="H773" s="1"/>
      <c r="I773" s="1"/>
    </row>
    <row r="774" spans="2:9" ht="15.75" customHeight="1" x14ac:dyDescent="0.25">
      <c r="B774" s="1"/>
      <c r="C774" s="1"/>
      <c r="D774" s="1"/>
      <c r="E774" s="1"/>
      <c r="F774" s="1"/>
      <c r="G774" s="1"/>
      <c r="H774" s="1"/>
      <c r="I774" s="1"/>
    </row>
    <row r="775" spans="2:9" ht="15.75" customHeight="1" x14ac:dyDescent="0.25">
      <c r="B775" s="1"/>
      <c r="C775" s="1"/>
      <c r="D775" s="1"/>
      <c r="E775" s="1"/>
      <c r="F775" s="1"/>
      <c r="G775" s="1"/>
      <c r="H775" s="1"/>
      <c r="I775" s="1"/>
    </row>
    <row r="776" spans="2:9" ht="15.75" customHeight="1" x14ac:dyDescent="0.25">
      <c r="B776" s="1"/>
      <c r="C776" s="1"/>
      <c r="D776" s="1"/>
      <c r="E776" s="1"/>
      <c r="F776" s="1"/>
      <c r="G776" s="1"/>
      <c r="H776" s="1"/>
      <c r="I776" s="1"/>
    </row>
    <row r="777" spans="2:9" ht="15.75" customHeight="1" x14ac:dyDescent="0.25">
      <c r="B777" s="1"/>
      <c r="C777" s="1"/>
      <c r="D777" s="1"/>
      <c r="E777" s="1"/>
      <c r="F777" s="1"/>
      <c r="G777" s="1"/>
      <c r="H777" s="1"/>
      <c r="I777" s="1"/>
    </row>
    <row r="778" spans="2:9" ht="15.75" customHeight="1" x14ac:dyDescent="0.25">
      <c r="B778" s="1"/>
      <c r="C778" s="1"/>
      <c r="D778" s="1"/>
      <c r="E778" s="1"/>
      <c r="F778" s="1"/>
      <c r="G778" s="1"/>
      <c r="H778" s="1"/>
      <c r="I778" s="1"/>
    </row>
    <row r="779" spans="2:9" ht="15.75" customHeight="1" x14ac:dyDescent="0.25">
      <c r="B779" s="1"/>
      <c r="C779" s="1"/>
      <c r="D779" s="1"/>
      <c r="E779" s="1"/>
      <c r="F779" s="1"/>
      <c r="G779" s="1"/>
      <c r="H779" s="1"/>
      <c r="I779" s="1"/>
    </row>
    <row r="780" spans="2:9" ht="15.75" customHeight="1" x14ac:dyDescent="0.25">
      <c r="B780" s="1"/>
      <c r="C780" s="1"/>
      <c r="D780" s="1"/>
      <c r="E780" s="1"/>
      <c r="F780" s="1"/>
      <c r="G780" s="1"/>
      <c r="H780" s="1"/>
      <c r="I780" s="1"/>
    </row>
    <row r="781" spans="2:9" ht="15.75" customHeight="1" x14ac:dyDescent="0.25">
      <c r="B781" s="1"/>
      <c r="C781" s="1"/>
      <c r="D781" s="1"/>
      <c r="E781" s="1"/>
      <c r="F781" s="1"/>
      <c r="G781" s="1"/>
      <c r="H781" s="1"/>
      <c r="I781" s="1"/>
    </row>
    <row r="782" spans="2:9" ht="15.75" customHeight="1" x14ac:dyDescent="0.25">
      <c r="B782" s="1"/>
      <c r="C782" s="1"/>
      <c r="D782" s="1"/>
      <c r="E782" s="1"/>
      <c r="F782" s="1"/>
      <c r="G782" s="1"/>
      <c r="H782" s="1"/>
      <c r="I782" s="1"/>
    </row>
    <row r="783" spans="2:9" ht="15.75" customHeight="1" x14ac:dyDescent="0.25">
      <c r="B783" s="1"/>
      <c r="C783" s="1"/>
      <c r="D783" s="1"/>
      <c r="E783" s="1"/>
      <c r="F783" s="1"/>
      <c r="G783" s="1"/>
      <c r="H783" s="1"/>
      <c r="I783" s="1"/>
    </row>
    <row r="784" spans="2:9" ht="15.75" customHeight="1" x14ac:dyDescent="0.25">
      <c r="B784" s="1"/>
      <c r="C784" s="1"/>
      <c r="D784" s="1"/>
      <c r="E784" s="1"/>
      <c r="F784" s="1"/>
      <c r="G784" s="1"/>
      <c r="H784" s="1"/>
      <c r="I784" s="1"/>
    </row>
    <row r="785" spans="2:9" ht="15.75" customHeight="1" x14ac:dyDescent="0.25">
      <c r="B785" s="1"/>
      <c r="C785" s="1"/>
      <c r="D785" s="1"/>
      <c r="E785" s="1"/>
      <c r="F785" s="1"/>
      <c r="G785" s="1"/>
      <c r="H785" s="1"/>
      <c r="I785" s="1"/>
    </row>
    <row r="786" spans="2:9" ht="15.75" customHeight="1" x14ac:dyDescent="0.25">
      <c r="B786" s="1"/>
      <c r="C786" s="1"/>
      <c r="D786" s="1"/>
      <c r="E786" s="1"/>
      <c r="F786" s="1"/>
      <c r="G786" s="1"/>
      <c r="H786" s="1"/>
      <c r="I786" s="1"/>
    </row>
    <row r="787" spans="2:9" ht="15.75" customHeight="1" x14ac:dyDescent="0.25">
      <c r="B787" s="1"/>
      <c r="C787" s="1"/>
      <c r="D787" s="1"/>
      <c r="E787" s="1"/>
      <c r="F787" s="1"/>
      <c r="G787" s="1"/>
      <c r="H787" s="1"/>
      <c r="I787" s="1"/>
    </row>
    <row r="788" spans="2:9" ht="15.75" customHeight="1" x14ac:dyDescent="0.25">
      <c r="B788" s="1"/>
      <c r="C788" s="1"/>
      <c r="D788" s="1"/>
      <c r="E788" s="1"/>
      <c r="F788" s="1"/>
      <c r="G788" s="1"/>
      <c r="H788" s="1"/>
      <c r="I788" s="1"/>
    </row>
    <row r="789" spans="2:9" ht="15.75" customHeight="1" x14ac:dyDescent="0.25">
      <c r="B789" s="1"/>
      <c r="C789" s="1"/>
      <c r="D789" s="1"/>
      <c r="E789" s="1"/>
      <c r="F789" s="1"/>
      <c r="G789" s="1"/>
      <c r="H789" s="1"/>
      <c r="I789" s="1"/>
    </row>
    <row r="790" spans="2:9" ht="15.75" customHeight="1" x14ac:dyDescent="0.25">
      <c r="B790" s="1"/>
      <c r="C790" s="1"/>
      <c r="D790" s="1"/>
      <c r="E790" s="1"/>
      <c r="F790" s="1"/>
      <c r="G790" s="1"/>
      <c r="H790" s="1"/>
      <c r="I790" s="1"/>
    </row>
    <row r="791" spans="2:9" ht="15.75" customHeight="1" x14ac:dyDescent="0.25">
      <c r="B791" s="1"/>
      <c r="C791" s="1"/>
      <c r="D791" s="1"/>
      <c r="E791" s="1"/>
      <c r="F791" s="1"/>
      <c r="G791" s="1"/>
      <c r="H791" s="1"/>
      <c r="I791" s="1"/>
    </row>
    <row r="792" spans="2:9" ht="15.75" customHeight="1" x14ac:dyDescent="0.25">
      <c r="B792" s="1"/>
      <c r="C792" s="1"/>
      <c r="D792" s="1"/>
      <c r="E792" s="1"/>
      <c r="F792" s="1"/>
      <c r="G792" s="1"/>
      <c r="H792" s="1"/>
      <c r="I792" s="1"/>
    </row>
    <row r="793" spans="2:9" ht="15.75" customHeight="1" x14ac:dyDescent="0.25">
      <c r="B793" s="1"/>
      <c r="C793" s="1"/>
      <c r="D793" s="1"/>
      <c r="E793" s="1"/>
      <c r="F793" s="1"/>
      <c r="G793" s="1"/>
      <c r="H793" s="1"/>
      <c r="I793" s="1"/>
    </row>
    <row r="794" spans="2:9" ht="15.75" customHeight="1" x14ac:dyDescent="0.25">
      <c r="B794" s="1"/>
      <c r="C794" s="1"/>
      <c r="D794" s="1"/>
      <c r="E794" s="1"/>
      <c r="F794" s="1"/>
      <c r="G794" s="1"/>
      <c r="H794" s="1"/>
      <c r="I794" s="1"/>
    </row>
    <row r="795" spans="2:9" ht="15.75" customHeight="1" x14ac:dyDescent="0.25">
      <c r="B795" s="1"/>
      <c r="C795" s="1"/>
      <c r="D795" s="1"/>
      <c r="E795" s="1"/>
      <c r="F795" s="1"/>
      <c r="G795" s="1"/>
      <c r="H795" s="1"/>
      <c r="I795" s="1"/>
    </row>
    <row r="796" spans="2:9" ht="15.75" customHeight="1" x14ac:dyDescent="0.25">
      <c r="B796" s="1"/>
      <c r="C796" s="1"/>
      <c r="D796" s="1"/>
      <c r="E796" s="1"/>
      <c r="F796" s="1"/>
      <c r="G796" s="1"/>
      <c r="H796" s="1"/>
      <c r="I796" s="1"/>
    </row>
    <row r="797" spans="2:9" ht="15.75" customHeight="1" x14ac:dyDescent="0.25">
      <c r="B797" s="1"/>
      <c r="C797" s="1"/>
      <c r="D797" s="1"/>
      <c r="E797" s="1"/>
      <c r="F797" s="1"/>
      <c r="G797" s="1"/>
      <c r="H797" s="1"/>
      <c r="I797" s="1"/>
    </row>
    <row r="798" spans="2:9" ht="15.75" customHeight="1" x14ac:dyDescent="0.25">
      <c r="B798" s="1"/>
      <c r="C798" s="1"/>
      <c r="D798" s="1"/>
      <c r="E798" s="1"/>
      <c r="F798" s="1"/>
      <c r="G798" s="1"/>
      <c r="H798" s="1"/>
      <c r="I798" s="1"/>
    </row>
    <row r="799" spans="2:9" ht="15.75" customHeight="1" x14ac:dyDescent="0.25">
      <c r="B799" s="1"/>
      <c r="C799" s="1"/>
      <c r="D799" s="1"/>
      <c r="E799" s="1"/>
      <c r="F799" s="1"/>
      <c r="G799" s="1"/>
      <c r="H799" s="1"/>
      <c r="I799" s="1"/>
    </row>
    <row r="800" spans="2:9" ht="15.75" customHeight="1" x14ac:dyDescent="0.25">
      <c r="B800" s="1"/>
      <c r="C800" s="1"/>
      <c r="D800" s="1"/>
      <c r="E800" s="1"/>
      <c r="F800" s="1"/>
      <c r="G800" s="1"/>
      <c r="H800" s="1"/>
      <c r="I800" s="1"/>
    </row>
    <row r="801" spans="2:9" ht="15.75" customHeight="1" x14ac:dyDescent="0.25">
      <c r="B801" s="1"/>
      <c r="C801" s="1"/>
      <c r="D801" s="1"/>
      <c r="E801" s="1"/>
      <c r="F801" s="1"/>
      <c r="G801" s="1"/>
      <c r="H801" s="1"/>
      <c r="I801" s="1"/>
    </row>
    <row r="802" spans="2:9" ht="15.75" customHeight="1" x14ac:dyDescent="0.25">
      <c r="B802" s="1"/>
      <c r="C802" s="1"/>
      <c r="D802" s="1"/>
      <c r="E802" s="1"/>
      <c r="F802" s="1"/>
      <c r="G802" s="1"/>
      <c r="H802" s="1"/>
      <c r="I802" s="1"/>
    </row>
    <row r="803" spans="2:9" ht="15.75" customHeight="1" x14ac:dyDescent="0.25">
      <c r="B803" s="1"/>
      <c r="C803" s="1"/>
      <c r="D803" s="1"/>
      <c r="E803" s="1"/>
      <c r="F803" s="1"/>
      <c r="G803" s="1"/>
      <c r="H803" s="1"/>
      <c r="I803" s="1"/>
    </row>
    <row r="804" spans="2:9" ht="15.75" customHeight="1" x14ac:dyDescent="0.25">
      <c r="B804" s="1"/>
      <c r="C804" s="1"/>
      <c r="D804" s="1"/>
      <c r="E804" s="1"/>
      <c r="F804" s="1"/>
      <c r="G804" s="1"/>
      <c r="H804" s="1"/>
      <c r="I804" s="1"/>
    </row>
    <row r="805" spans="2:9" ht="15.75" customHeight="1" x14ac:dyDescent="0.25">
      <c r="B805" s="1"/>
      <c r="C805" s="1"/>
      <c r="D805" s="1"/>
      <c r="E805" s="1"/>
      <c r="F805" s="1"/>
      <c r="G805" s="1"/>
      <c r="H805" s="1"/>
      <c r="I805" s="1"/>
    </row>
    <row r="806" spans="2:9" ht="15.75" customHeight="1" x14ac:dyDescent="0.25">
      <c r="B806" s="1"/>
      <c r="C806" s="1"/>
      <c r="D806" s="1"/>
      <c r="E806" s="1"/>
      <c r="F806" s="1"/>
      <c r="G806" s="1"/>
      <c r="H806" s="1"/>
      <c r="I806" s="1"/>
    </row>
    <row r="807" spans="2:9" ht="15.75" customHeight="1" x14ac:dyDescent="0.25">
      <c r="B807" s="1"/>
      <c r="C807" s="1"/>
      <c r="D807" s="1"/>
      <c r="E807" s="1"/>
      <c r="F807" s="1"/>
      <c r="G807" s="1"/>
      <c r="H807" s="1"/>
      <c r="I807" s="1"/>
    </row>
    <row r="808" spans="2:9" ht="15.75" customHeight="1" x14ac:dyDescent="0.25">
      <c r="B808" s="1"/>
      <c r="C808" s="1"/>
      <c r="D808" s="1"/>
      <c r="E808" s="1"/>
      <c r="F808" s="1"/>
      <c r="G808" s="1"/>
      <c r="H808" s="1"/>
      <c r="I808" s="1"/>
    </row>
    <row r="809" spans="2:9" ht="15.75" customHeight="1" x14ac:dyDescent="0.25">
      <c r="B809" s="1"/>
      <c r="C809" s="1"/>
      <c r="D809" s="1"/>
      <c r="E809" s="1"/>
      <c r="F809" s="1"/>
      <c r="G809" s="1"/>
      <c r="H809" s="1"/>
      <c r="I809" s="1"/>
    </row>
    <row r="810" spans="2:9" ht="15.75" customHeight="1" x14ac:dyDescent="0.25">
      <c r="B810" s="1"/>
      <c r="C810" s="1"/>
      <c r="D810" s="1"/>
      <c r="E810" s="1"/>
      <c r="F810" s="1"/>
      <c r="G810" s="1"/>
      <c r="H810" s="1"/>
      <c r="I810" s="1"/>
    </row>
    <row r="811" spans="2:9" ht="15.75" customHeight="1" x14ac:dyDescent="0.25">
      <c r="B811" s="1"/>
      <c r="C811" s="1"/>
      <c r="D811" s="1"/>
      <c r="E811" s="1"/>
      <c r="F811" s="1"/>
      <c r="G811" s="1"/>
      <c r="H811" s="1"/>
      <c r="I811" s="1"/>
    </row>
    <row r="812" spans="2:9" ht="15.75" customHeight="1" x14ac:dyDescent="0.25">
      <c r="B812" s="1"/>
      <c r="C812" s="1"/>
      <c r="D812" s="1"/>
      <c r="E812" s="1"/>
      <c r="F812" s="1"/>
      <c r="G812" s="1"/>
      <c r="H812" s="1"/>
      <c r="I812" s="1"/>
    </row>
    <row r="813" spans="2:9" ht="15.75" customHeight="1" x14ac:dyDescent="0.25">
      <c r="B813" s="1"/>
      <c r="C813" s="1"/>
      <c r="D813" s="1"/>
      <c r="E813" s="1"/>
      <c r="F813" s="1"/>
      <c r="G813" s="1"/>
      <c r="H813" s="1"/>
      <c r="I813" s="1"/>
    </row>
    <row r="814" spans="2:9" ht="15.75" customHeight="1" x14ac:dyDescent="0.25">
      <c r="B814" s="1"/>
      <c r="C814" s="1"/>
      <c r="D814" s="1"/>
      <c r="E814" s="1"/>
      <c r="F814" s="1"/>
      <c r="G814" s="1"/>
      <c r="H814" s="1"/>
      <c r="I814" s="1"/>
    </row>
    <row r="815" spans="2:9" ht="15.75" customHeight="1" x14ac:dyDescent="0.25">
      <c r="B815" s="1"/>
      <c r="C815" s="1"/>
      <c r="D815" s="1"/>
      <c r="E815" s="1"/>
      <c r="F815" s="1"/>
      <c r="G815" s="1"/>
      <c r="H815" s="1"/>
      <c r="I815" s="1"/>
    </row>
    <row r="816" spans="2:9" ht="15.75" customHeight="1" x14ac:dyDescent="0.25">
      <c r="B816" s="1"/>
      <c r="C816" s="1"/>
      <c r="D816" s="1"/>
      <c r="E816" s="1"/>
      <c r="F816" s="1"/>
      <c r="G816" s="1"/>
      <c r="H816" s="1"/>
      <c r="I816" s="1"/>
    </row>
    <row r="817" spans="2:9" ht="15.75" customHeight="1" x14ac:dyDescent="0.25">
      <c r="B817" s="1"/>
      <c r="C817" s="1"/>
      <c r="D817" s="1"/>
      <c r="E817" s="1"/>
      <c r="F817" s="1"/>
      <c r="G817" s="1"/>
      <c r="H817" s="1"/>
      <c r="I817" s="1"/>
    </row>
    <row r="818" spans="2:9" ht="15.75" customHeight="1" x14ac:dyDescent="0.25">
      <c r="B818" s="1"/>
      <c r="C818" s="1"/>
      <c r="D818" s="1"/>
      <c r="E818" s="1"/>
      <c r="F818" s="1"/>
      <c r="G818" s="1"/>
      <c r="H818" s="1"/>
      <c r="I818" s="1"/>
    </row>
    <row r="819" spans="2:9" ht="15.75" customHeight="1" x14ac:dyDescent="0.25">
      <c r="B819" s="1"/>
      <c r="C819" s="1"/>
      <c r="D819" s="1"/>
      <c r="E819" s="1"/>
      <c r="F819" s="1"/>
      <c r="G819" s="1"/>
      <c r="H819" s="1"/>
      <c r="I819" s="1"/>
    </row>
    <row r="820" spans="2:9" ht="15.75" customHeight="1" x14ac:dyDescent="0.25">
      <c r="B820" s="1"/>
      <c r="C820" s="1"/>
      <c r="D820" s="1"/>
      <c r="E820" s="1"/>
      <c r="F820" s="1"/>
      <c r="G820" s="1"/>
      <c r="H820" s="1"/>
      <c r="I820" s="1"/>
    </row>
    <row r="821" spans="2:9" ht="15.75" customHeight="1" x14ac:dyDescent="0.25">
      <c r="B821" s="1"/>
      <c r="C821" s="1"/>
      <c r="D821" s="1"/>
      <c r="E821" s="1"/>
      <c r="F821" s="1"/>
      <c r="G821" s="1"/>
      <c r="H821" s="1"/>
      <c r="I821" s="1"/>
    </row>
    <row r="822" spans="2:9" ht="15.75" customHeight="1" x14ac:dyDescent="0.25">
      <c r="B822" s="1"/>
      <c r="C822" s="1"/>
      <c r="D822" s="1"/>
      <c r="E822" s="1"/>
      <c r="F822" s="1"/>
      <c r="G822" s="1"/>
      <c r="H822" s="1"/>
      <c r="I822" s="1"/>
    </row>
    <row r="823" spans="2:9" ht="15.75" customHeight="1" x14ac:dyDescent="0.25">
      <c r="B823" s="1"/>
      <c r="C823" s="1"/>
      <c r="D823" s="1"/>
      <c r="E823" s="1"/>
      <c r="F823" s="1"/>
      <c r="G823" s="1"/>
      <c r="H823" s="1"/>
      <c r="I823" s="1"/>
    </row>
    <row r="824" spans="2:9" ht="15.75" customHeight="1" x14ac:dyDescent="0.25">
      <c r="B824" s="1"/>
      <c r="C824" s="1"/>
      <c r="D824" s="1"/>
      <c r="E824" s="1"/>
      <c r="F824" s="1"/>
      <c r="G824" s="1"/>
      <c r="H824" s="1"/>
      <c r="I824" s="1"/>
    </row>
    <row r="825" spans="2:9" ht="15.75" customHeight="1" x14ac:dyDescent="0.25">
      <c r="B825" s="1"/>
      <c r="C825" s="1"/>
      <c r="D825" s="1"/>
      <c r="E825" s="1"/>
      <c r="F825" s="1"/>
      <c r="G825" s="1"/>
      <c r="H825" s="1"/>
      <c r="I825" s="1"/>
    </row>
    <row r="826" spans="2:9" ht="15.75" customHeight="1" x14ac:dyDescent="0.25">
      <c r="B826" s="1"/>
      <c r="C826" s="1"/>
      <c r="D826" s="1"/>
      <c r="E826" s="1"/>
      <c r="F826" s="1"/>
      <c r="G826" s="1"/>
      <c r="H826" s="1"/>
      <c r="I826" s="1"/>
    </row>
    <row r="827" spans="2:9" ht="15.75" customHeight="1" x14ac:dyDescent="0.25">
      <c r="B827" s="1"/>
      <c r="C827" s="1"/>
      <c r="D827" s="1"/>
      <c r="E827" s="1"/>
      <c r="F827" s="1"/>
      <c r="G827" s="1"/>
      <c r="H827" s="1"/>
      <c r="I827" s="1"/>
    </row>
    <row r="828" spans="2:9" ht="15.75" customHeight="1" x14ac:dyDescent="0.25">
      <c r="B828" s="1"/>
      <c r="C828" s="1"/>
      <c r="D828" s="1"/>
      <c r="E828" s="1"/>
      <c r="F828" s="1"/>
      <c r="G828" s="1"/>
      <c r="H828" s="1"/>
      <c r="I828" s="1"/>
    </row>
    <row r="829" spans="2:9" ht="15.75" customHeight="1" x14ac:dyDescent="0.25">
      <c r="B829" s="1"/>
      <c r="C829" s="1"/>
      <c r="D829" s="1"/>
      <c r="E829" s="1"/>
      <c r="F829" s="1"/>
      <c r="G829" s="1"/>
      <c r="H829" s="1"/>
      <c r="I829" s="1"/>
    </row>
    <row r="830" spans="2:9" ht="15.75" customHeight="1" x14ac:dyDescent="0.25">
      <c r="B830" s="1"/>
      <c r="C830" s="1"/>
      <c r="D830" s="1"/>
      <c r="E830" s="1"/>
      <c r="F830" s="1"/>
      <c r="G830" s="1"/>
      <c r="H830" s="1"/>
      <c r="I830" s="1"/>
    </row>
    <row r="831" spans="2:9" ht="15.75" customHeight="1" x14ac:dyDescent="0.25">
      <c r="B831" s="1"/>
      <c r="C831" s="1"/>
      <c r="D831" s="1"/>
      <c r="E831" s="1"/>
      <c r="F831" s="1"/>
      <c r="G831" s="1"/>
      <c r="H831" s="1"/>
      <c r="I831" s="1"/>
    </row>
    <row r="832" spans="2:9" ht="15.75" customHeight="1" x14ac:dyDescent="0.25">
      <c r="B832" s="1"/>
      <c r="C832" s="1"/>
      <c r="D832" s="1"/>
      <c r="E832" s="1"/>
      <c r="F832" s="1"/>
      <c r="G832" s="1"/>
      <c r="H832" s="1"/>
      <c r="I832" s="1"/>
    </row>
    <row r="833" spans="2:9" ht="15.75" customHeight="1" x14ac:dyDescent="0.25">
      <c r="B833" s="1"/>
      <c r="C833" s="1"/>
      <c r="D833" s="1"/>
      <c r="E833" s="1"/>
      <c r="F833" s="1"/>
      <c r="G833" s="1"/>
      <c r="H833" s="1"/>
      <c r="I833" s="1"/>
    </row>
    <row r="834" spans="2:9" ht="15.75" customHeight="1" x14ac:dyDescent="0.25">
      <c r="B834" s="1"/>
      <c r="C834" s="1"/>
      <c r="D834" s="1"/>
      <c r="E834" s="1"/>
      <c r="F834" s="1"/>
      <c r="G834" s="1"/>
      <c r="H834" s="1"/>
      <c r="I834" s="1"/>
    </row>
    <row r="835" spans="2:9" ht="15.75" customHeight="1" x14ac:dyDescent="0.25">
      <c r="B835" s="1"/>
      <c r="C835" s="1"/>
      <c r="D835" s="1"/>
      <c r="E835" s="1"/>
      <c r="F835" s="1"/>
      <c r="G835" s="1"/>
      <c r="H835" s="1"/>
      <c r="I835" s="1"/>
    </row>
    <row r="836" spans="2:9" ht="15.75" customHeight="1" x14ac:dyDescent="0.25">
      <c r="B836" s="1"/>
      <c r="C836" s="1"/>
      <c r="D836" s="1"/>
      <c r="E836" s="1"/>
      <c r="F836" s="1"/>
      <c r="G836" s="1"/>
      <c r="H836" s="1"/>
      <c r="I836" s="1"/>
    </row>
    <row r="837" spans="2:9" ht="15.75" customHeight="1" x14ac:dyDescent="0.25">
      <c r="B837" s="1"/>
      <c r="C837" s="1"/>
      <c r="D837" s="1"/>
      <c r="E837" s="1"/>
      <c r="F837" s="1"/>
      <c r="G837" s="1"/>
      <c r="H837" s="1"/>
      <c r="I837" s="1"/>
    </row>
    <row r="838" spans="2:9" ht="15.75" customHeight="1" x14ac:dyDescent="0.25">
      <c r="B838" s="1"/>
      <c r="C838" s="1"/>
      <c r="D838" s="1"/>
      <c r="E838" s="1"/>
      <c r="F838" s="1"/>
      <c r="G838" s="1"/>
      <c r="H838" s="1"/>
      <c r="I838" s="1"/>
    </row>
    <row r="839" spans="2:9" ht="15.75" customHeight="1" x14ac:dyDescent="0.25">
      <c r="B839" s="1"/>
      <c r="C839" s="1"/>
      <c r="D839" s="1"/>
      <c r="E839" s="1"/>
      <c r="F839" s="1"/>
      <c r="G839" s="1"/>
      <c r="H839" s="1"/>
      <c r="I839" s="1"/>
    </row>
    <row r="840" spans="2:9" ht="15.75" customHeight="1" x14ac:dyDescent="0.25">
      <c r="B840" s="1"/>
      <c r="C840" s="1"/>
      <c r="D840" s="1"/>
      <c r="E840" s="1"/>
      <c r="F840" s="1"/>
      <c r="G840" s="1"/>
      <c r="H840" s="1"/>
      <c r="I840" s="1"/>
    </row>
    <row r="841" spans="2:9" ht="15.75" customHeight="1" x14ac:dyDescent="0.25">
      <c r="B841" s="1"/>
      <c r="C841" s="1"/>
      <c r="D841" s="1"/>
      <c r="E841" s="1"/>
      <c r="F841" s="1"/>
      <c r="G841" s="1"/>
      <c r="H841" s="1"/>
      <c r="I841" s="1"/>
    </row>
    <row r="842" spans="2:9" ht="15.75" customHeight="1" x14ac:dyDescent="0.25">
      <c r="B842" s="1"/>
      <c r="C842" s="1"/>
      <c r="D842" s="1"/>
      <c r="E842" s="1"/>
      <c r="F842" s="1"/>
      <c r="G842" s="1"/>
      <c r="H842" s="1"/>
      <c r="I842" s="1"/>
    </row>
    <row r="843" spans="2:9" ht="15.75" customHeight="1" x14ac:dyDescent="0.25">
      <c r="B843" s="1"/>
      <c r="C843" s="1"/>
      <c r="D843" s="1"/>
      <c r="E843" s="1"/>
      <c r="F843" s="1"/>
      <c r="G843" s="1"/>
      <c r="H843" s="1"/>
      <c r="I843" s="1"/>
    </row>
    <row r="844" spans="2:9" ht="15.75" customHeight="1" x14ac:dyDescent="0.25">
      <c r="B844" s="1"/>
      <c r="C844" s="1"/>
      <c r="D844" s="1"/>
      <c r="E844" s="1"/>
      <c r="F844" s="1"/>
      <c r="G844" s="1"/>
      <c r="H844" s="1"/>
      <c r="I844" s="1"/>
    </row>
    <row r="845" spans="2:9" ht="15.75" customHeight="1" x14ac:dyDescent="0.25">
      <c r="B845" s="1"/>
      <c r="C845" s="1"/>
      <c r="D845" s="1"/>
      <c r="E845" s="1"/>
      <c r="F845" s="1"/>
      <c r="G845" s="1"/>
      <c r="H845" s="1"/>
      <c r="I845" s="1"/>
    </row>
    <row r="846" spans="2:9" ht="15.75" customHeight="1" x14ac:dyDescent="0.25">
      <c r="B846" s="1"/>
      <c r="C846" s="1"/>
      <c r="D846" s="1"/>
      <c r="E846" s="1"/>
      <c r="F846" s="1"/>
      <c r="G846" s="1"/>
      <c r="H846" s="1"/>
      <c r="I846" s="1"/>
    </row>
    <row r="847" spans="2:9" ht="15.75" customHeight="1" x14ac:dyDescent="0.25">
      <c r="B847" s="1"/>
      <c r="C847" s="1"/>
      <c r="D847" s="1"/>
      <c r="E847" s="1"/>
      <c r="F847" s="1"/>
      <c r="G847" s="1"/>
      <c r="H847" s="1"/>
      <c r="I847" s="1"/>
    </row>
    <row r="848" spans="2:9" ht="15.75" customHeight="1" x14ac:dyDescent="0.25">
      <c r="B848" s="1"/>
      <c r="C848" s="1"/>
      <c r="D848" s="1"/>
      <c r="E848" s="1"/>
      <c r="F848" s="1"/>
      <c r="G848" s="1"/>
      <c r="H848" s="1"/>
      <c r="I848" s="1"/>
    </row>
    <row r="849" spans="2:9" ht="15.75" customHeight="1" x14ac:dyDescent="0.25">
      <c r="B849" s="1"/>
      <c r="C849" s="1"/>
      <c r="D849" s="1"/>
      <c r="E849" s="1"/>
      <c r="F849" s="1"/>
      <c r="G849" s="1"/>
      <c r="H849" s="1"/>
      <c r="I849" s="1"/>
    </row>
    <row r="850" spans="2:9" ht="15.75" customHeight="1" x14ac:dyDescent="0.25">
      <c r="B850" s="1"/>
      <c r="C850" s="1"/>
      <c r="D850" s="1"/>
      <c r="E850" s="1"/>
      <c r="F850" s="1"/>
      <c r="G850" s="1"/>
      <c r="H850" s="1"/>
      <c r="I850" s="1"/>
    </row>
    <row r="851" spans="2:9" ht="15.75" customHeight="1" x14ac:dyDescent="0.25">
      <c r="B851" s="1"/>
      <c r="C851" s="1"/>
      <c r="D851" s="1"/>
      <c r="E851" s="1"/>
      <c r="F851" s="1"/>
      <c r="G851" s="1"/>
      <c r="H851" s="1"/>
      <c r="I851" s="1"/>
    </row>
    <row r="852" spans="2:9" ht="15.75" customHeight="1" x14ac:dyDescent="0.25">
      <c r="B852" s="1"/>
      <c r="C852" s="1"/>
      <c r="D852" s="1"/>
      <c r="E852" s="1"/>
      <c r="F852" s="1"/>
      <c r="G852" s="1"/>
      <c r="H852" s="1"/>
      <c r="I852" s="1"/>
    </row>
    <row r="853" spans="2:9" ht="15.75" customHeight="1" x14ac:dyDescent="0.25">
      <c r="B853" s="1"/>
      <c r="C853" s="1"/>
      <c r="D853" s="1"/>
      <c r="E853" s="1"/>
      <c r="F853" s="1"/>
      <c r="G853" s="1"/>
      <c r="H853" s="1"/>
      <c r="I853" s="1"/>
    </row>
    <row r="854" spans="2:9" ht="15.75" customHeight="1" x14ac:dyDescent="0.25">
      <c r="B854" s="1"/>
      <c r="C854" s="1"/>
      <c r="D854" s="1"/>
      <c r="E854" s="1"/>
      <c r="F854" s="1"/>
      <c r="G854" s="1"/>
      <c r="H854" s="1"/>
      <c r="I854" s="1"/>
    </row>
    <row r="855" spans="2:9" ht="15.75" customHeight="1" x14ac:dyDescent="0.25">
      <c r="B855" s="1"/>
      <c r="C855" s="1"/>
      <c r="D855" s="1"/>
      <c r="E855" s="1"/>
      <c r="F855" s="1"/>
      <c r="G855" s="1"/>
      <c r="H855" s="1"/>
      <c r="I855" s="1"/>
    </row>
    <row r="856" spans="2:9" ht="15.75" customHeight="1" x14ac:dyDescent="0.25">
      <c r="B856" s="1"/>
      <c r="C856" s="1"/>
      <c r="D856" s="1"/>
      <c r="E856" s="1"/>
      <c r="F856" s="1"/>
      <c r="G856" s="1"/>
      <c r="H856" s="1"/>
      <c r="I856" s="1"/>
    </row>
    <row r="857" spans="2:9" ht="15.75" customHeight="1" x14ac:dyDescent="0.25">
      <c r="B857" s="1"/>
      <c r="C857" s="1"/>
      <c r="D857" s="1"/>
      <c r="E857" s="1"/>
      <c r="F857" s="1"/>
      <c r="G857" s="1"/>
      <c r="H857" s="1"/>
      <c r="I857" s="1"/>
    </row>
    <row r="858" spans="2:9" ht="15.75" customHeight="1" x14ac:dyDescent="0.25">
      <c r="B858" s="1"/>
      <c r="C858" s="1"/>
      <c r="D858" s="1"/>
      <c r="E858" s="1"/>
      <c r="F858" s="1"/>
      <c r="G858" s="1"/>
      <c r="H858" s="1"/>
      <c r="I858" s="1"/>
    </row>
    <row r="859" spans="2:9" ht="15.75" customHeight="1" x14ac:dyDescent="0.25">
      <c r="B859" s="1"/>
      <c r="C859" s="1"/>
      <c r="D859" s="1"/>
      <c r="E859" s="1"/>
      <c r="F859" s="1"/>
      <c r="G859" s="1"/>
      <c r="H859" s="1"/>
      <c r="I859" s="1"/>
    </row>
    <row r="860" spans="2:9" ht="15.75" customHeight="1" x14ac:dyDescent="0.25">
      <c r="B860" s="1"/>
      <c r="C860" s="1"/>
      <c r="D860" s="1"/>
      <c r="E860" s="1"/>
      <c r="F860" s="1"/>
      <c r="G860" s="1"/>
      <c r="H860" s="1"/>
      <c r="I860" s="1"/>
    </row>
    <row r="861" spans="2:9" ht="15.75" customHeight="1" x14ac:dyDescent="0.25">
      <c r="B861" s="1"/>
      <c r="C861" s="1"/>
      <c r="D861" s="1"/>
      <c r="E861" s="1"/>
      <c r="F861" s="1"/>
      <c r="G861" s="1"/>
      <c r="H861" s="1"/>
      <c r="I861" s="1"/>
    </row>
    <row r="862" spans="2:9" ht="15.75" customHeight="1" x14ac:dyDescent="0.25">
      <c r="B862" s="1"/>
      <c r="C862" s="1"/>
      <c r="D862" s="1"/>
      <c r="E862" s="1"/>
      <c r="F862" s="1"/>
      <c r="G862" s="1"/>
      <c r="H862" s="1"/>
      <c r="I862" s="1"/>
    </row>
    <row r="863" spans="2:9" ht="15.75" customHeight="1" x14ac:dyDescent="0.25">
      <c r="B863" s="1"/>
      <c r="C863" s="1"/>
      <c r="D863" s="1"/>
      <c r="E863" s="1"/>
      <c r="F863" s="1"/>
      <c r="G863" s="1"/>
      <c r="H863" s="1"/>
      <c r="I863" s="1"/>
    </row>
    <row r="864" spans="2:9" ht="15.75" customHeight="1" x14ac:dyDescent="0.25">
      <c r="B864" s="1"/>
      <c r="C864" s="1"/>
      <c r="D864" s="1"/>
      <c r="E864" s="1"/>
      <c r="F864" s="1"/>
      <c r="G864" s="1"/>
      <c r="H864" s="1"/>
      <c r="I864" s="1"/>
    </row>
    <row r="865" spans="2:9" ht="15.75" customHeight="1" x14ac:dyDescent="0.25">
      <c r="B865" s="1"/>
      <c r="C865" s="1"/>
      <c r="D865" s="1"/>
      <c r="E865" s="1"/>
      <c r="F865" s="1"/>
      <c r="G865" s="1"/>
      <c r="H865" s="1"/>
      <c r="I865" s="1"/>
    </row>
    <row r="866" spans="2:9" ht="15.75" customHeight="1" x14ac:dyDescent="0.25">
      <c r="B866" s="1"/>
      <c r="C866" s="1"/>
      <c r="D866" s="1"/>
      <c r="E866" s="1"/>
      <c r="F866" s="1"/>
      <c r="G866" s="1"/>
      <c r="H866" s="1"/>
      <c r="I866" s="1"/>
    </row>
    <row r="867" spans="2:9" ht="15.75" customHeight="1" x14ac:dyDescent="0.25">
      <c r="B867" s="1"/>
      <c r="C867" s="1"/>
      <c r="D867" s="1"/>
      <c r="E867" s="1"/>
      <c r="F867" s="1"/>
      <c r="G867" s="1"/>
      <c r="H867" s="1"/>
      <c r="I867" s="1"/>
    </row>
    <row r="868" spans="2:9" ht="15.75" customHeight="1" x14ac:dyDescent="0.25">
      <c r="B868" s="1"/>
      <c r="C868" s="1"/>
      <c r="D868" s="1"/>
      <c r="E868" s="1"/>
      <c r="F868" s="1"/>
      <c r="G868" s="1"/>
      <c r="H868" s="1"/>
      <c r="I868" s="1"/>
    </row>
    <row r="869" spans="2:9" ht="15.75" customHeight="1" x14ac:dyDescent="0.25">
      <c r="B869" s="1"/>
      <c r="C869" s="1"/>
      <c r="D869" s="1"/>
      <c r="E869" s="1"/>
      <c r="F869" s="1"/>
      <c r="G869" s="1"/>
      <c r="H869" s="1"/>
      <c r="I869" s="1"/>
    </row>
    <row r="870" spans="2:9" ht="15.75" customHeight="1" x14ac:dyDescent="0.25">
      <c r="B870" s="1"/>
      <c r="C870" s="1"/>
      <c r="D870" s="1"/>
      <c r="E870" s="1"/>
      <c r="F870" s="1"/>
      <c r="G870" s="1"/>
      <c r="H870" s="1"/>
      <c r="I870" s="1"/>
    </row>
    <row r="871" spans="2:9" ht="15.75" customHeight="1" x14ac:dyDescent="0.25">
      <c r="B871" s="1"/>
      <c r="C871" s="1"/>
      <c r="D871" s="1"/>
      <c r="E871" s="1"/>
      <c r="F871" s="1"/>
      <c r="G871" s="1"/>
      <c r="H871" s="1"/>
      <c r="I871" s="1"/>
    </row>
    <row r="872" spans="2:9" ht="15.75" customHeight="1" x14ac:dyDescent="0.25">
      <c r="B872" s="1"/>
      <c r="C872" s="1"/>
      <c r="D872" s="1"/>
      <c r="E872" s="1"/>
      <c r="F872" s="1"/>
      <c r="G872" s="1"/>
      <c r="H872" s="1"/>
      <c r="I872" s="1"/>
    </row>
    <row r="873" spans="2:9" ht="15.75" customHeight="1" x14ac:dyDescent="0.25">
      <c r="B873" s="1"/>
      <c r="C873" s="1"/>
      <c r="D873" s="1"/>
      <c r="E873" s="1"/>
      <c r="F873" s="1"/>
      <c r="G873" s="1"/>
      <c r="H873" s="1"/>
      <c r="I873" s="1"/>
    </row>
    <row r="874" spans="2:9" ht="15.75" customHeight="1" x14ac:dyDescent="0.25">
      <c r="B874" s="1"/>
      <c r="C874" s="1"/>
      <c r="D874" s="1"/>
      <c r="E874" s="1"/>
      <c r="F874" s="1"/>
      <c r="G874" s="1"/>
      <c r="H874" s="1"/>
      <c r="I874" s="1"/>
    </row>
    <row r="875" spans="2:9" ht="15.75" customHeight="1" x14ac:dyDescent="0.25">
      <c r="B875" s="1"/>
      <c r="C875" s="1"/>
      <c r="D875" s="1"/>
      <c r="E875" s="1"/>
      <c r="F875" s="1"/>
      <c r="G875" s="1"/>
      <c r="H875" s="1"/>
      <c r="I875" s="1"/>
    </row>
    <row r="876" spans="2:9" ht="15.75" customHeight="1" x14ac:dyDescent="0.25">
      <c r="B876" s="1"/>
      <c r="C876" s="1"/>
      <c r="D876" s="1"/>
      <c r="E876" s="1"/>
      <c r="F876" s="1"/>
      <c r="G876" s="1"/>
      <c r="H876" s="1"/>
      <c r="I876" s="1"/>
    </row>
    <row r="877" spans="2:9" ht="15.75" customHeight="1" x14ac:dyDescent="0.25">
      <c r="B877" s="1"/>
      <c r="C877" s="1"/>
      <c r="D877" s="1"/>
      <c r="E877" s="1"/>
      <c r="F877" s="1"/>
      <c r="G877" s="1"/>
      <c r="H877" s="1"/>
      <c r="I877" s="1"/>
    </row>
    <row r="878" spans="2:9" ht="15.75" customHeight="1" x14ac:dyDescent="0.25">
      <c r="B878" s="1"/>
      <c r="C878" s="1"/>
      <c r="D878" s="1"/>
      <c r="E878" s="1"/>
      <c r="F878" s="1"/>
      <c r="G878" s="1"/>
      <c r="H878" s="1"/>
      <c r="I878" s="1"/>
    </row>
    <row r="879" spans="2:9" ht="15.75" customHeight="1" x14ac:dyDescent="0.25">
      <c r="B879" s="1"/>
      <c r="C879" s="1"/>
      <c r="D879" s="1"/>
      <c r="E879" s="1"/>
      <c r="F879" s="1"/>
      <c r="G879" s="1"/>
      <c r="H879" s="1"/>
      <c r="I879" s="1"/>
    </row>
    <row r="880" spans="2:9" ht="15.75" customHeight="1" x14ac:dyDescent="0.25">
      <c r="B880" s="1"/>
      <c r="C880" s="1"/>
      <c r="D880" s="1"/>
      <c r="E880" s="1"/>
      <c r="F880" s="1"/>
      <c r="G880" s="1"/>
      <c r="H880" s="1"/>
      <c r="I880" s="1"/>
    </row>
    <row r="881" spans="2:9" ht="15.75" customHeight="1" x14ac:dyDescent="0.25">
      <c r="B881" s="1"/>
      <c r="C881" s="1"/>
      <c r="D881" s="1"/>
      <c r="E881" s="1"/>
      <c r="F881" s="1"/>
      <c r="G881" s="1"/>
      <c r="H881" s="1"/>
      <c r="I881" s="1"/>
    </row>
    <row r="882" spans="2:9" ht="15.75" customHeight="1" x14ac:dyDescent="0.25">
      <c r="B882" s="1"/>
      <c r="C882" s="1"/>
      <c r="D882" s="1"/>
      <c r="E882" s="1"/>
      <c r="F882" s="1"/>
      <c r="G882" s="1"/>
      <c r="H882" s="1"/>
      <c r="I882" s="1"/>
    </row>
    <row r="883" spans="2:9" ht="15.75" customHeight="1" x14ac:dyDescent="0.25">
      <c r="B883" s="1"/>
      <c r="C883" s="1"/>
      <c r="D883" s="1"/>
      <c r="E883" s="1"/>
      <c r="F883" s="1"/>
      <c r="G883" s="1"/>
      <c r="H883" s="1"/>
      <c r="I883" s="1"/>
    </row>
    <row r="884" spans="2:9" ht="15.75" customHeight="1" x14ac:dyDescent="0.25">
      <c r="B884" s="1"/>
      <c r="C884" s="1"/>
      <c r="D884" s="1"/>
      <c r="E884" s="1"/>
      <c r="F884" s="1"/>
      <c r="G884" s="1"/>
      <c r="H884" s="1"/>
      <c r="I884" s="1"/>
    </row>
    <row r="885" spans="2:9" ht="15.75" customHeight="1" x14ac:dyDescent="0.25">
      <c r="B885" s="1"/>
      <c r="C885" s="1"/>
      <c r="D885" s="1"/>
      <c r="E885" s="1"/>
      <c r="F885" s="1"/>
      <c r="G885" s="1"/>
      <c r="H885" s="1"/>
      <c r="I885" s="1"/>
    </row>
    <row r="886" spans="2:9" ht="15.75" customHeight="1" x14ac:dyDescent="0.25">
      <c r="B886" s="1"/>
      <c r="C886" s="1"/>
      <c r="D886" s="1"/>
      <c r="E886" s="1"/>
      <c r="F886" s="1"/>
      <c r="G886" s="1"/>
      <c r="H886" s="1"/>
      <c r="I886" s="1"/>
    </row>
    <row r="887" spans="2:9" ht="15.75" customHeight="1" x14ac:dyDescent="0.25">
      <c r="B887" s="1"/>
      <c r="C887" s="1"/>
      <c r="D887" s="1"/>
      <c r="E887" s="1"/>
      <c r="F887" s="1"/>
      <c r="G887" s="1"/>
      <c r="H887" s="1"/>
      <c r="I887" s="1"/>
    </row>
    <row r="888" spans="2:9" ht="15.75" customHeight="1" x14ac:dyDescent="0.25">
      <c r="B888" s="1"/>
      <c r="C888" s="1"/>
      <c r="D888" s="1"/>
      <c r="E888" s="1"/>
      <c r="F888" s="1"/>
      <c r="G888" s="1"/>
      <c r="H888" s="1"/>
      <c r="I888" s="1"/>
    </row>
    <row r="889" spans="2:9" ht="15.75" customHeight="1" x14ac:dyDescent="0.25">
      <c r="B889" s="1"/>
      <c r="C889" s="1"/>
      <c r="D889" s="1"/>
      <c r="E889" s="1"/>
      <c r="F889" s="1"/>
      <c r="G889" s="1"/>
      <c r="H889" s="1"/>
      <c r="I889" s="1"/>
    </row>
    <row r="890" spans="2:9" ht="15.75" customHeight="1" x14ac:dyDescent="0.25">
      <c r="B890" s="1"/>
      <c r="C890" s="1"/>
      <c r="D890" s="1"/>
      <c r="E890" s="1"/>
      <c r="F890" s="1"/>
      <c r="G890" s="1"/>
      <c r="H890" s="1"/>
      <c r="I890" s="1"/>
    </row>
    <row r="891" spans="2:9" ht="15.75" customHeight="1" x14ac:dyDescent="0.25">
      <c r="B891" s="1"/>
      <c r="C891" s="1"/>
      <c r="D891" s="1"/>
      <c r="E891" s="1"/>
      <c r="F891" s="1"/>
      <c r="G891" s="1"/>
      <c r="H891" s="1"/>
      <c r="I891" s="1"/>
    </row>
    <row r="892" spans="2:9" ht="15.75" customHeight="1" x14ac:dyDescent="0.25">
      <c r="B892" s="1"/>
      <c r="C892" s="1"/>
      <c r="D892" s="1"/>
      <c r="E892" s="1"/>
      <c r="F892" s="1"/>
      <c r="G892" s="1"/>
      <c r="H892" s="1"/>
      <c r="I892" s="1"/>
    </row>
    <row r="893" spans="2:9" ht="15.75" customHeight="1" x14ac:dyDescent="0.25">
      <c r="B893" s="1"/>
      <c r="C893" s="1"/>
      <c r="D893" s="1"/>
      <c r="E893" s="1"/>
      <c r="F893" s="1"/>
      <c r="G893" s="1"/>
      <c r="H893" s="1"/>
      <c r="I893" s="1"/>
    </row>
    <row r="894" spans="2:9" ht="15.75" customHeight="1" x14ac:dyDescent="0.25">
      <c r="B894" s="1"/>
      <c r="C894" s="1"/>
      <c r="D894" s="1"/>
      <c r="E894" s="1"/>
      <c r="F894" s="1"/>
      <c r="G894" s="1"/>
      <c r="H894" s="1"/>
      <c r="I894" s="1"/>
    </row>
    <row r="895" spans="2:9" ht="15.75" customHeight="1" x14ac:dyDescent="0.25">
      <c r="B895" s="1"/>
      <c r="C895" s="1"/>
      <c r="D895" s="1"/>
      <c r="E895" s="1"/>
      <c r="F895" s="1"/>
      <c r="G895" s="1"/>
      <c r="H895" s="1"/>
      <c r="I895" s="1"/>
    </row>
    <row r="896" spans="2:9" ht="15.75" customHeight="1" x14ac:dyDescent="0.25">
      <c r="B896" s="1"/>
      <c r="C896" s="1"/>
      <c r="D896" s="1"/>
      <c r="E896" s="1"/>
      <c r="F896" s="1"/>
      <c r="G896" s="1"/>
      <c r="H896" s="1"/>
      <c r="I896" s="1"/>
    </row>
    <row r="897" spans="2:9" ht="15.75" customHeight="1" x14ac:dyDescent="0.25">
      <c r="B897" s="1"/>
      <c r="C897" s="1"/>
      <c r="D897" s="1"/>
      <c r="E897" s="1"/>
      <c r="F897" s="1"/>
      <c r="G897" s="1"/>
      <c r="H897" s="1"/>
      <c r="I897" s="1"/>
    </row>
    <row r="898" spans="2:9" ht="15.75" customHeight="1" x14ac:dyDescent="0.25">
      <c r="B898" s="1"/>
      <c r="C898" s="1"/>
      <c r="D898" s="1"/>
      <c r="E898" s="1"/>
      <c r="F898" s="1"/>
      <c r="G898" s="1"/>
      <c r="H898" s="1"/>
      <c r="I898" s="1"/>
    </row>
    <row r="899" spans="2:9" ht="15.75" customHeight="1" x14ac:dyDescent="0.25">
      <c r="B899" s="1"/>
      <c r="C899" s="1"/>
      <c r="D899" s="1"/>
      <c r="E899" s="1"/>
      <c r="F899" s="1"/>
      <c r="G899" s="1"/>
      <c r="H899" s="1"/>
      <c r="I899" s="1"/>
    </row>
    <row r="900" spans="2:9" ht="15.75" customHeight="1" x14ac:dyDescent="0.25">
      <c r="B900" s="1"/>
      <c r="C900" s="1"/>
      <c r="D900" s="1"/>
      <c r="E900" s="1"/>
      <c r="F900" s="1"/>
      <c r="G900" s="1"/>
      <c r="H900" s="1"/>
      <c r="I900" s="1"/>
    </row>
    <row r="901" spans="2:9" ht="15.75" customHeight="1" x14ac:dyDescent="0.25">
      <c r="B901" s="1"/>
      <c r="C901" s="1"/>
      <c r="D901" s="1"/>
      <c r="E901" s="1"/>
      <c r="F901" s="1"/>
      <c r="G901" s="1"/>
      <c r="H901" s="1"/>
      <c r="I901" s="1"/>
    </row>
    <row r="902" spans="2:9" ht="15.75" customHeight="1" x14ac:dyDescent="0.25">
      <c r="B902" s="1"/>
      <c r="C902" s="1"/>
      <c r="D902" s="1"/>
      <c r="E902" s="1"/>
      <c r="F902" s="1"/>
      <c r="G902" s="1"/>
      <c r="H902" s="1"/>
      <c r="I902" s="1"/>
    </row>
    <row r="903" spans="2:9" ht="15.75" customHeight="1" x14ac:dyDescent="0.25">
      <c r="B903" s="1"/>
      <c r="C903" s="1"/>
      <c r="D903" s="1"/>
      <c r="E903" s="1"/>
      <c r="F903" s="1"/>
      <c r="G903" s="1"/>
      <c r="H903" s="1"/>
      <c r="I903" s="1"/>
    </row>
    <row r="904" spans="2:9" ht="15.75" customHeight="1" x14ac:dyDescent="0.25">
      <c r="B904" s="1"/>
      <c r="C904" s="1"/>
      <c r="D904" s="1"/>
      <c r="E904" s="1"/>
      <c r="F904" s="1"/>
      <c r="G904" s="1"/>
      <c r="H904" s="1"/>
      <c r="I904" s="1"/>
    </row>
    <row r="905" spans="2:9" ht="15.75" customHeight="1" x14ac:dyDescent="0.25">
      <c r="B905" s="1"/>
      <c r="C905" s="1"/>
      <c r="D905" s="1"/>
      <c r="E905" s="1"/>
      <c r="F905" s="1"/>
      <c r="G905" s="1"/>
      <c r="H905" s="1"/>
      <c r="I905" s="1"/>
    </row>
    <row r="906" spans="2:9" ht="15.75" customHeight="1" x14ac:dyDescent="0.25">
      <c r="B906" s="1"/>
      <c r="C906" s="1"/>
      <c r="D906" s="1"/>
      <c r="E906" s="1"/>
      <c r="F906" s="1"/>
      <c r="G906" s="1"/>
      <c r="H906" s="1"/>
      <c r="I906" s="1"/>
    </row>
    <row r="907" spans="2:9" ht="15.75" customHeight="1" x14ac:dyDescent="0.25">
      <c r="B907" s="1"/>
      <c r="C907" s="1"/>
      <c r="D907" s="1"/>
      <c r="E907" s="1"/>
      <c r="F907" s="1"/>
      <c r="G907" s="1"/>
      <c r="H907" s="1"/>
      <c r="I907" s="1"/>
    </row>
    <row r="908" spans="2:9" ht="15.75" customHeight="1" x14ac:dyDescent="0.25">
      <c r="B908" s="1"/>
      <c r="C908" s="1"/>
      <c r="D908" s="1"/>
      <c r="E908" s="1"/>
      <c r="F908" s="1"/>
      <c r="G908" s="1"/>
      <c r="H908" s="1"/>
      <c r="I908" s="1"/>
    </row>
    <row r="909" spans="2:9" ht="15.75" customHeight="1" x14ac:dyDescent="0.25">
      <c r="B909" s="1"/>
      <c r="C909" s="1"/>
      <c r="D909" s="1"/>
      <c r="E909" s="1"/>
      <c r="F909" s="1"/>
      <c r="G909" s="1"/>
      <c r="H909" s="1"/>
      <c r="I909" s="1"/>
    </row>
    <row r="910" spans="2:9" ht="15.75" customHeight="1" x14ac:dyDescent="0.25">
      <c r="B910" s="1"/>
      <c r="C910" s="1"/>
      <c r="D910" s="1"/>
      <c r="E910" s="1"/>
      <c r="F910" s="1"/>
      <c r="G910" s="1"/>
      <c r="H910" s="1"/>
      <c r="I910" s="1"/>
    </row>
    <row r="911" spans="2:9" ht="15.75" customHeight="1" x14ac:dyDescent="0.25">
      <c r="B911" s="1"/>
      <c r="C911" s="1"/>
      <c r="D911" s="1"/>
      <c r="E911" s="1"/>
      <c r="F911" s="1"/>
      <c r="G911" s="1"/>
      <c r="H911" s="1"/>
      <c r="I911" s="1"/>
    </row>
    <row r="912" spans="2:9" ht="15.75" customHeight="1" x14ac:dyDescent="0.25">
      <c r="B912" s="1"/>
      <c r="C912" s="1"/>
      <c r="D912" s="1"/>
      <c r="E912" s="1"/>
      <c r="F912" s="1"/>
      <c r="G912" s="1"/>
      <c r="H912" s="1"/>
      <c r="I912" s="1"/>
    </row>
    <row r="913" spans="2:9" ht="15.75" customHeight="1" x14ac:dyDescent="0.25">
      <c r="B913" s="1"/>
      <c r="C913" s="1"/>
      <c r="D913" s="1"/>
      <c r="E913" s="1"/>
      <c r="F913" s="1"/>
      <c r="G913" s="1"/>
      <c r="H913" s="1"/>
      <c r="I913" s="1"/>
    </row>
    <row r="914" spans="2:9" ht="15.75" customHeight="1" x14ac:dyDescent="0.25">
      <c r="B914" s="1"/>
      <c r="C914" s="1"/>
      <c r="D914" s="1"/>
      <c r="E914" s="1"/>
      <c r="F914" s="1"/>
      <c r="G914" s="1"/>
      <c r="H914" s="1"/>
      <c r="I914" s="1"/>
    </row>
    <row r="915" spans="2:9" ht="15.75" customHeight="1" x14ac:dyDescent="0.25">
      <c r="B915" s="1"/>
      <c r="C915" s="1"/>
      <c r="D915" s="1"/>
      <c r="E915" s="1"/>
      <c r="F915" s="1"/>
      <c r="G915" s="1"/>
      <c r="H915" s="1"/>
      <c r="I915" s="1"/>
    </row>
    <row r="916" spans="2:9" ht="15.75" customHeight="1" x14ac:dyDescent="0.25">
      <c r="B916" s="1"/>
      <c r="C916" s="1"/>
      <c r="D916" s="1"/>
      <c r="E916" s="1"/>
      <c r="F916" s="1"/>
      <c r="G916" s="1"/>
      <c r="H916" s="1"/>
      <c r="I916" s="1"/>
    </row>
    <row r="917" spans="2:9" ht="15.75" customHeight="1" x14ac:dyDescent="0.25">
      <c r="B917" s="1"/>
      <c r="C917" s="1"/>
      <c r="D917" s="1"/>
      <c r="E917" s="1"/>
      <c r="F917" s="1"/>
      <c r="G917" s="1"/>
      <c r="H917" s="1"/>
      <c r="I917" s="1"/>
    </row>
    <row r="918" spans="2:9" ht="15.75" customHeight="1" x14ac:dyDescent="0.25">
      <c r="B918" s="1"/>
      <c r="C918" s="1"/>
      <c r="D918" s="1"/>
      <c r="E918" s="1"/>
      <c r="F918" s="1"/>
      <c r="G918" s="1"/>
      <c r="H918" s="1"/>
      <c r="I918" s="1"/>
    </row>
    <row r="919" spans="2:9" ht="15.75" customHeight="1" x14ac:dyDescent="0.25">
      <c r="B919" s="1"/>
      <c r="C919" s="1"/>
      <c r="D919" s="1"/>
      <c r="E919" s="1"/>
      <c r="F919" s="1"/>
      <c r="G919" s="1"/>
      <c r="H919" s="1"/>
      <c r="I919" s="1"/>
    </row>
    <row r="920" spans="2:9" ht="15.75" customHeight="1" x14ac:dyDescent="0.25">
      <c r="B920" s="1"/>
      <c r="C920" s="1"/>
      <c r="D920" s="1"/>
      <c r="E920" s="1"/>
      <c r="F920" s="1"/>
      <c r="G920" s="1"/>
      <c r="H920" s="1"/>
      <c r="I920" s="1"/>
    </row>
    <row r="921" spans="2:9" ht="15.75" customHeight="1" x14ac:dyDescent="0.25">
      <c r="B921" s="1"/>
      <c r="C921" s="1"/>
      <c r="D921" s="1"/>
      <c r="E921" s="1"/>
      <c r="F921" s="1"/>
      <c r="G921" s="1"/>
      <c r="H921" s="1"/>
      <c r="I921" s="1"/>
    </row>
    <row r="922" spans="2:9" ht="15.75" customHeight="1" x14ac:dyDescent="0.25">
      <c r="B922" s="1"/>
      <c r="C922" s="1"/>
      <c r="D922" s="1"/>
      <c r="E922" s="1"/>
      <c r="F922" s="1"/>
      <c r="G922" s="1"/>
      <c r="H922" s="1"/>
      <c r="I922" s="1"/>
    </row>
    <row r="923" spans="2:9" ht="15.75" customHeight="1" x14ac:dyDescent="0.25">
      <c r="B923" s="1"/>
      <c r="C923" s="1"/>
      <c r="D923" s="1"/>
      <c r="E923" s="1"/>
      <c r="F923" s="1"/>
      <c r="G923" s="1"/>
      <c r="H923" s="1"/>
      <c r="I923" s="1"/>
    </row>
    <row r="924" spans="2:9" ht="15.75" customHeight="1" x14ac:dyDescent="0.25">
      <c r="B924" s="1"/>
      <c r="C924" s="1"/>
      <c r="D924" s="1"/>
      <c r="E924" s="1"/>
      <c r="F924" s="1"/>
      <c r="G924" s="1"/>
      <c r="H924" s="1"/>
      <c r="I924" s="1"/>
    </row>
    <row r="925" spans="2:9" ht="15.75" customHeight="1" x14ac:dyDescent="0.25">
      <c r="B925" s="1"/>
      <c r="C925" s="1"/>
      <c r="D925" s="1"/>
      <c r="E925" s="1"/>
      <c r="F925" s="1"/>
      <c r="G925" s="1"/>
      <c r="H925" s="1"/>
      <c r="I925" s="1"/>
    </row>
    <row r="926" spans="2:9" ht="15.75" customHeight="1" x14ac:dyDescent="0.25">
      <c r="B926" s="1"/>
      <c r="C926" s="1"/>
      <c r="D926" s="1"/>
      <c r="E926" s="1"/>
      <c r="F926" s="1"/>
      <c r="G926" s="1"/>
      <c r="H926" s="1"/>
      <c r="I926" s="1"/>
    </row>
    <row r="927" spans="2:9" ht="15.75" customHeight="1" x14ac:dyDescent="0.25">
      <c r="B927" s="1"/>
      <c r="C927" s="1"/>
      <c r="D927" s="1"/>
      <c r="E927" s="1"/>
      <c r="F927" s="1"/>
      <c r="G927" s="1"/>
      <c r="H927" s="1"/>
      <c r="I927" s="1"/>
    </row>
    <row r="928" spans="2:9" ht="15.75" customHeight="1" x14ac:dyDescent="0.25">
      <c r="B928" s="1"/>
      <c r="C928" s="1"/>
      <c r="D928" s="1"/>
      <c r="E928" s="1"/>
      <c r="F928" s="1"/>
      <c r="G928" s="1"/>
      <c r="H928" s="1"/>
      <c r="I928" s="1"/>
    </row>
    <row r="929" spans="2:9" ht="15.75" customHeight="1" x14ac:dyDescent="0.25">
      <c r="B929" s="1"/>
      <c r="C929" s="1"/>
      <c r="D929" s="1"/>
      <c r="E929" s="1"/>
      <c r="F929" s="1"/>
      <c r="G929" s="1"/>
      <c r="H929" s="1"/>
      <c r="I929" s="1"/>
    </row>
    <row r="930" spans="2:9" ht="15.75" customHeight="1" x14ac:dyDescent="0.25">
      <c r="B930" s="1"/>
      <c r="C930" s="1"/>
      <c r="D930" s="1"/>
      <c r="E930" s="1"/>
      <c r="F930" s="1"/>
      <c r="G930" s="1"/>
      <c r="H930" s="1"/>
      <c r="I930" s="1"/>
    </row>
    <row r="931" spans="2:9" ht="15.75" customHeight="1" x14ac:dyDescent="0.25">
      <c r="B931" s="1"/>
      <c r="C931" s="1"/>
      <c r="D931" s="1"/>
      <c r="E931" s="1"/>
      <c r="F931" s="1"/>
      <c r="G931" s="1"/>
      <c r="H931" s="1"/>
      <c r="I931" s="1"/>
    </row>
    <row r="932" spans="2:9" ht="15.75" customHeight="1" x14ac:dyDescent="0.25">
      <c r="B932" s="1"/>
      <c r="C932" s="1"/>
      <c r="D932" s="1"/>
      <c r="E932" s="1"/>
      <c r="F932" s="1"/>
      <c r="G932" s="1"/>
      <c r="H932" s="1"/>
      <c r="I932" s="1"/>
    </row>
    <row r="933" spans="2:9" ht="15.75" customHeight="1" x14ac:dyDescent="0.25">
      <c r="B933" s="1"/>
      <c r="C933" s="1"/>
      <c r="D933" s="1"/>
      <c r="E933" s="1"/>
      <c r="F933" s="1"/>
      <c r="G933" s="1"/>
      <c r="H933" s="1"/>
      <c r="I933" s="1"/>
    </row>
    <row r="934" spans="2:9" ht="15.75" customHeight="1" x14ac:dyDescent="0.25">
      <c r="B934" s="1"/>
      <c r="C934" s="1"/>
      <c r="D934" s="1"/>
      <c r="E934" s="1"/>
      <c r="F934" s="1"/>
      <c r="G934" s="1"/>
      <c r="H934" s="1"/>
      <c r="I934" s="1"/>
    </row>
    <row r="935" spans="2:9" ht="15.75" customHeight="1" x14ac:dyDescent="0.25">
      <c r="B935" s="1"/>
      <c r="C935" s="1"/>
      <c r="D935" s="1"/>
      <c r="E935" s="1"/>
      <c r="F935" s="1"/>
      <c r="G935" s="1"/>
      <c r="H935" s="1"/>
      <c r="I935" s="1"/>
    </row>
    <row r="936" spans="2:9" ht="15.75" customHeight="1" x14ac:dyDescent="0.25">
      <c r="B936" s="1"/>
      <c r="C936" s="1"/>
      <c r="D936" s="1"/>
      <c r="E936" s="1"/>
      <c r="F936" s="1"/>
      <c r="G936" s="1"/>
      <c r="H936" s="1"/>
      <c r="I936" s="1"/>
    </row>
    <row r="937" spans="2:9" ht="15.75" customHeight="1" x14ac:dyDescent="0.25">
      <c r="B937" s="1"/>
      <c r="C937" s="1"/>
      <c r="D937" s="1"/>
      <c r="E937" s="1"/>
      <c r="F937" s="1"/>
      <c r="G937" s="1"/>
      <c r="H937" s="1"/>
      <c r="I937" s="1"/>
    </row>
    <row r="938" spans="2:9" ht="15.75" customHeight="1" x14ac:dyDescent="0.25">
      <c r="B938" s="1"/>
      <c r="C938" s="1"/>
      <c r="D938" s="1"/>
      <c r="E938" s="1"/>
      <c r="F938" s="1"/>
      <c r="G938" s="1"/>
      <c r="H938" s="1"/>
      <c r="I938" s="1"/>
    </row>
    <row r="939" spans="2:9" ht="15.75" customHeight="1" x14ac:dyDescent="0.25">
      <c r="B939" s="1"/>
      <c r="C939" s="1"/>
      <c r="D939" s="1"/>
      <c r="E939" s="1"/>
      <c r="F939" s="1"/>
      <c r="G939" s="1"/>
      <c r="H939" s="1"/>
      <c r="I939" s="1"/>
    </row>
    <row r="940" spans="2:9" ht="15.75" customHeight="1" x14ac:dyDescent="0.25">
      <c r="B940" s="1"/>
      <c r="C940" s="1"/>
      <c r="D940" s="1"/>
      <c r="E940" s="1"/>
      <c r="F940" s="1"/>
      <c r="G940" s="1"/>
      <c r="H940" s="1"/>
      <c r="I940" s="1"/>
    </row>
    <row r="941" spans="2:9" ht="15.75" customHeight="1" x14ac:dyDescent="0.25">
      <c r="B941" s="1"/>
      <c r="C941" s="1"/>
      <c r="D941" s="1"/>
      <c r="E941" s="1"/>
      <c r="F941" s="1"/>
      <c r="G941" s="1"/>
      <c r="H941" s="1"/>
      <c r="I941" s="1"/>
    </row>
    <row r="942" spans="2:9" ht="15.75" customHeight="1" x14ac:dyDescent="0.25">
      <c r="B942" s="1"/>
      <c r="C942" s="1"/>
      <c r="D942" s="1"/>
      <c r="E942" s="1"/>
      <c r="F942" s="1"/>
      <c r="G942" s="1"/>
      <c r="H942" s="1"/>
      <c r="I942" s="1"/>
    </row>
    <row r="943" spans="2:9" ht="15.75" customHeight="1" x14ac:dyDescent="0.25">
      <c r="B943" s="1"/>
      <c r="C943" s="1"/>
      <c r="D943" s="1"/>
      <c r="E943" s="1"/>
      <c r="F943" s="1"/>
      <c r="G943" s="1"/>
      <c r="H943" s="1"/>
      <c r="I943" s="1"/>
    </row>
    <row r="944" spans="2:9" ht="15.75" customHeight="1" x14ac:dyDescent="0.25">
      <c r="B944" s="1"/>
      <c r="C944" s="1"/>
      <c r="D944" s="1"/>
      <c r="E944" s="1"/>
      <c r="F944" s="1"/>
      <c r="G944" s="1"/>
      <c r="H944" s="1"/>
      <c r="I944" s="1"/>
    </row>
    <row r="945" spans="2:9" ht="15.75" customHeight="1" x14ac:dyDescent="0.25">
      <c r="B945" s="1"/>
      <c r="C945" s="1"/>
      <c r="D945" s="1"/>
      <c r="E945" s="1"/>
      <c r="F945" s="1"/>
      <c r="G945" s="1"/>
      <c r="H945" s="1"/>
      <c r="I945" s="1"/>
    </row>
    <row r="946" spans="2:9" ht="15.75" customHeight="1" x14ac:dyDescent="0.25">
      <c r="B946" s="1"/>
      <c r="C946" s="1"/>
      <c r="D946" s="1"/>
      <c r="E946" s="1"/>
      <c r="F946" s="1"/>
      <c r="G946" s="1"/>
      <c r="H946" s="1"/>
      <c r="I946" s="1"/>
    </row>
    <row r="947" spans="2:9" ht="15.75" customHeight="1" x14ac:dyDescent="0.25">
      <c r="B947" s="1"/>
      <c r="C947" s="1"/>
      <c r="D947" s="1"/>
      <c r="E947" s="1"/>
      <c r="F947" s="1"/>
      <c r="G947" s="1"/>
      <c r="H947" s="1"/>
      <c r="I947" s="1"/>
    </row>
    <row r="948" spans="2:9" ht="15.75" customHeight="1" x14ac:dyDescent="0.25">
      <c r="B948" s="1"/>
      <c r="C948" s="1"/>
      <c r="D948" s="1"/>
      <c r="E948" s="1"/>
      <c r="F948" s="1"/>
      <c r="G948" s="1"/>
      <c r="H948" s="1"/>
      <c r="I948" s="1"/>
    </row>
    <row r="949" spans="2:9" ht="15.75" customHeight="1" x14ac:dyDescent="0.25">
      <c r="B949" s="1"/>
      <c r="C949" s="1"/>
      <c r="D949" s="1"/>
      <c r="E949" s="1"/>
      <c r="F949" s="1"/>
      <c r="G949" s="1"/>
      <c r="H949" s="1"/>
      <c r="I949" s="1"/>
    </row>
    <row r="950" spans="2:9" ht="15.75" customHeight="1" x14ac:dyDescent="0.25">
      <c r="B950" s="1"/>
      <c r="C950" s="1"/>
      <c r="D950" s="1"/>
      <c r="E950" s="1"/>
      <c r="F950" s="1"/>
      <c r="G950" s="1"/>
      <c r="H950" s="1"/>
      <c r="I950" s="1"/>
    </row>
    <row r="951" spans="2:9" ht="15.75" customHeight="1" x14ac:dyDescent="0.25">
      <c r="B951" s="1"/>
      <c r="C951" s="1"/>
      <c r="D951" s="1"/>
      <c r="E951" s="1"/>
      <c r="F951" s="1"/>
      <c r="G951" s="1"/>
      <c r="H951" s="1"/>
      <c r="I951" s="1"/>
    </row>
    <row r="952" spans="2:9" ht="15.75" customHeight="1" x14ac:dyDescent="0.25">
      <c r="B952" s="1"/>
      <c r="C952" s="1"/>
      <c r="D952" s="1"/>
      <c r="E952" s="1"/>
      <c r="F952" s="1"/>
      <c r="G952" s="1"/>
      <c r="H952" s="1"/>
      <c r="I952" s="1"/>
    </row>
    <row r="953" spans="2:9" ht="15.75" customHeight="1" x14ac:dyDescent="0.25">
      <c r="B953" s="1"/>
      <c r="C953" s="1"/>
      <c r="D953" s="1"/>
      <c r="E953" s="1"/>
      <c r="F953" s="1"/>
      <c r="G953" s="1"/>
      <c r="H953" s="1"/>
      <c r="I953" s="1"/>
    </row>
    <row r="954" spans="2:9" ht="15.75" customHeight="1" x14ac:dyDescent="0.25">
      <c r="B954" s="1"/>
      <c r="C954" s="1"/>
      <c r="D954" s="1"/>
      <c r="E954" s="1"/>
      <c r="F954" s="1"/>
      <c r="G954" s="1"/>
      <c r="H954" s="1"/>
      <c r="I954" s="1"/>
    </row>
    <row r="955" spans="2:9" ht="15.75" customHeight="1" x14ac:dyDescent="0.25">
      <c r="B955" s="1"/>
      <c r="C955" s="1"/>
      <c r="D955" s="1"/>
      <c r="E955" s="1"/>
      <c r="F955" s="1"/>
      <c r="G955" s="1"/>
      <c r="H955" s="1"/>
      <c r="I955" s="1"/>
    </row>
    <row r="956" spans="2:9" ht="15.75" customHeight="1" x14ac:dyDescent="0.25">
      <c r="B956" s="1"/>
      <c r="C956" s="1"/>
      <c r="D956" s="1"/>
      <c r="E956" s="1"/>
      <c r="F956" s="1"/>
      <c r="G956" s="1"/>
      <c r="H956" s="1"/>
      <c r="I956" s="1"/>
    </row>
    <row r="957" spans="2:9" ht="15.75" customHeight="1" x14ac:dyDescent="0.25">
      <c r="B957" s="1"/>
      <c r="C957" s="1"/>
      <c r="D957" s="1"/>
      <c r="E957" s="1"/>
      <c r="F957" s="1"/>
      <c r="G957" s="1"/>
      <c r="H957" s="1"/>
      <c r="I957" s="1"/>
    </row>
    <row r="958" spans="2:9" ht="15.75" customHeight="1" x14ac:dyDescent="0.25">
      <c r="B958" s="1"/>
      <c r="C958" s="1"/>
      <c r="D958" s="1"/>
      <c r="E958" s="1"/>
      <c r="F958" s="1"/>
      <c r="G958" s="1"/>
      <c r="H958" s="1"/>
      <c r="I958" s="1"/>
    </row>
    <row r="959" spans="2:9" ht="15.75" customHeight="1" x14ac:dyDescent="0.25">
      <c r="B959" s="1"/>
      <c r="C959" s="1"/>
      <c r="D959" s="1"/>
      <c r="E959" s="1"/>
      <c r="F959" s="1"/>
      <c r="G959" s="1"/>
      <c r="H959" s="1"/>
      <c r="I959" s="1"/>
    </row>
    <row r="960" spans="2:9" ht="15.75" customHeight="1" x14ac:dyDescent="0.25">
      <c r="B960" s="1"/>
      <c r="C960" s="1"/>
      <c r="D960" s="1"/>
      <c r="E960" s="1"/>
      <c r="F960" s="1"/>
      <c r="G960" s="1"/>
      <c r="H960" s="1"/>
      <c r="I960" s="1"/>
    </row>
    <row r="961" spans="2:9" ht="15.75" customHeight="1" x14ac:dyDescent="0.25">
      <c r="B961" s="1"/>
      <c r="C961" s="1"/>
      <c r="D961" s="1"/>
      <c r="E961" s="1"/>
      <c r="F961" s="1"/>
      <c r="G961" s="1"/>
      <c r="H961" s="1"/>
      <c r="I961" s="1"/>
    </row>
    <row r="962" spans="2:9" ht="15.75" customHeight="1" x14ac:dyDescent="0.25">
      <c r="B962" s="1"/>
      <c r="C962" s="1"/>
      <c r="D962" s="1"/>
      <c r="E962" s="1"/>
      <c r="F962" s="1"/>
      <c r="G962" s="1"/>
      <c r="H962" s="1"/>
      <c r="I962" s="1"/>
    </row>
    <row r="963" spans="2:9" ht="15.75" customHeight="1" x14ac:dyDescent="0.25">
      <c r="B963" s="1"/>
      <c r="C963" s="1"/>
      <c r="D963" s="1"/>
      <c r="E963" s="1"/>
      <c r="F963" s="1"/>
      <c r="G963" s="1"/>
      <c r="H963" s="1"/>
      <c r="I963" s="1"/>
    </row>
    <row r="964" spans="2:9" ht="15.75" customHeight="1" x14ac:dyDescent="0.25">
      <c r="B964" s="1"/>
      <c r="C964" s="1"/>
      <c r="D964" s="1"/>
      <c r="E964" s="1"/>
      <c r="F964" s="1"/>
      <c r="G964" s="1"/>
      <c r="H964" s="1"/>
      <c r="I964" s="1"/>
    </row>
    <row r="965" spans="2:9" ht="15.75" customHeight="1" x14ac:dyDescent="0.25">
      <c r="B965" s="1"/>
      <c r="C965" s="1"/>
      <c r="D965" s="1"/>
      <c r="E965" s="1"/>
      <c r="F965" s="1"/>
      <c r="G965" s="1"/>
      <c r="H965" s="1"/>
      <c r="I965" s="1"/>
    </row>
    <row r="966" spans="2:9" ht="15.75" customHeight="1" x14ac:dyDescent="0.25">
      <c r="B966" s="1"/>
      <c r="C966" s="1"/>
      <c r="D966" s="1"/>
      <c r="E966" s="1"/>
      <c r="F966" s="1"/>
      <c r="G966" s="1"/>
      <c r="H966" s="1"/>
      <c r="I966" s="1"/>
    </row>
    <row r="967" spans="2:9" ht="15.75" customHeight="1" x14ac:dyDescent="0.25">
      <c r="B967" s="1"/>
      <c r="C967" s="1"/>
      <c r="D967" s="1"/>
      <c r="E967" s="1"/>
      <c r="F967" s="1"/>
      <c r="G967" s="1"/>
      <c r="H967" s="1"/>
      <c r="I967" s="1"/>
    </row>
    <row r="968" spans="2:9" ht="15.75" customHeight="1" x14ac:dyDescent="0.25">
      <c r="B968" s="1"/>
      <c r="C968" s="1"/>
      <c r="D968" s="1"/>
      <c r="E968" s="1"/>
      <c r="F968" s="1"/>
      <c r="G968" s="1"/>
      <c r="H968" s="1"/>
      <c r="I968" s="1"/>
    </row>
    <row r="969" spans="2:9" ht="15.75" customHeight="1" x14ac:dyDescent="0.25">
      <c r="B969" s="1"/>
      <c r="C969" s="1"/>
      <c r="D969" s="1"/>
      <c r="E969" s="1"/>
      <c r="F969" s="1"/>
      <c r="G969" s="1"/>
      <c r="H969" s="1"/>
      <c r="I969" s="1"/>
    </row>
    <row r="970" spans="2:9" ht="15.75" customHeight="1" x14ac:dyDescent="0.25">
      <c r="B970" s="1"/>
      <c r="C970" s="1"/>
      <c r="D970" s="1"/>
      <c r="E970" s="1"/>
      <c r="F970" s="1"/>
      <c r="G970" s="1"/>
      <c r="H970" s="1"/>
      <c r="I970" s="1"/>
    </row>
    <row r="971" spans="2:9" ht="15.75" customHeight="1" x14ac:dyDescent="0.25">
      <c r="B971" s="1"/>
      <c r="C971" s="1"/>
      <c r="D971" s="1"/>
      <c r="E971" s="1"/>
      <c r="F971" s="1"/>
      <c r="G971" s="1"/>
      <c r="H971" s="1"/>
      <c r="I971" s="1"/>
    </row>
    <row r="972" spans="2:9" ht="15.75" customHeight="1" x14ac:dyDescent="0.25">
      <c r="B972" s="1"/>
      <c r="C972" s="1"/>
      <c r="D972" s="1"/>
      <c r="E972" s="1"/>
      <c r="F972" s="1"/>
      <c r="G972" s="1"/>
      <c r="H972" s="1"/>
      <c r="I972" s="1"/>
    </row>
    <row r="973" spans="2:9" ht="15.75" customHeight="1" x14ac:dyDescent="0.25">
      <c r="B973" s="1"/>
      <c r="C973" s="1"/>
      <c r="D973" s="1"/>
      <c r="E973" s="1"/>
      <c r="F973" s="1"/>
      <c r="G973" s="1"/>
      <c r="H973" s="1"/>
      <c r="I973" s="1"/>
    </row>
    <row r="974" spans="2:9" ht="15.75" customHeight="1" x14ac:dyDescent="0.25">
      <c r="B974" s="1"/>
      <c r="C974" s="1"/>
      <c r="D974" s="1"/>
      <c r="E974" s="1"/>
      <c r="F974" s="1"/>
      <c r="G974" s="1"/>
      <c r="H974" s="1"/>
      <c r="I974" s="1"/>
    </row>
    <row r="975" spans="2:9" ht="15.75" customHeight="1" x14ac:dyDescent="0.25">
      <c r="B975" s="1"/>
      <c r="C975" s="1"/>
      <c r="D975" s="1"/>
      <c r="E975" s="1"/>
      <c r="F975" s="1"/>
      <c r="G975" s="1"/>
      <c r="H975" s="1"/>
      <c r="I975" s="1"/>
    </row>
    <row r="976" spans="2:9" ht="15.75" customHeight="1" x14ac:dyDescent="0.25">
      <c r="B976" s="1"/>
      <c r="C976" s="1"/>
      <c r="D976" s="1"/>
      <c r="E976" s="1"/>
      <c r="F976" s="1"/>
      <c r="G976" s="1"/>
      <c r="H976" s="1"/>
      <c r="I976" s="1"/>
    </row>
    <row r="977" spans="2:9" ht="15.75" customHeight="1" x14ac:dyDescent="0.25">
      <c r="B977" s="1"/>
      <c r="C977" s="1"/>
      <c r="D977" s="1"/>
      <c r="E977" s="1"/>
      <c r="F977" s="1"/>
      <c r="G977" s="1"/>
      <c r="H977" s="1"/>
      <c r="I977" s="1"/>
    </row>
    <row r="978" spans="2:9" ht="15.75" customHeight="1" x14ac:dyDescent="0.25">
      <c r="B978" s="1"/>
      <c r="C978" s="1"/>
      <c r="D978" s="1"/>
      <c r="E978" s="1"/>
      <c r="F978" s="1"/>
      <c r="G978" s="1"/>
      <c r="H978" s="1"/>
      <c r="I978" s="1"/>
    </row>
    <row r="979" spans="2:9" ht="15.75" customHeight="1" x14ac:dyDescent="0.25">
      <c r="B979" s="1"/>
      <c r="C979" s="1"/>
      <c r="D979" s="1"/>
      <c r="E979" s="1"/>
      <c r="F979" s="1"/>
      <c r="G979" s="1"/>
      <c r="H979" s="1"/>
      <c r="I979" s="1"/>
    </row>
    <row r="980" spans="2:9" ht="15.75" customHeight="1" x14ac:dyDescent="0.25">
      <c r="B980" s="1"/>
      <c r="C980" s="1"/>
      <c r="D980" s="1"/>
      <c r="E980" s="1"/>
      <c r="F980" s="1"/>
      <c r="G980" s="1"/>
      <c r="H980" s="1"/>
      <c r="I980" s="1"/>
    </row>
    <row r="981" spans="2:9" ht="15.75" customHeight="1" x14ac:dyDescent="0.25">
      <c r="B981" s="1"/>
      <c r="C981" s="1"/>
      <c r="D981" s="1"/>
      <c r="E981" s="1"/>
      <c r="F981" s="1"/>
      <c r="G981" s="1"/>
      <c r="H981" s="1"/>
      <c r="I981" s="1"/>
    </row>
    <row r="982" spans="2:9" ht="15.75" customHeight="1" x14ac:dyDescent="0.25">
      <c r="B982" s="1"/>
      <c r="C982" s="1"/>
      <c r="D982" s="1"/>
      <c r="E982" s="1"/>
      <c r="F982" s="1"/>
      <c r="G982" s="1"/>
      <c r="H982" s="1"/>
      <c r="I982" s="1"/>
    </row>
    <row r="983" spans="2:9" ht="15.75" customHeight="1" x14ac:dyDescent="0.25">
      <c r="B983" s="1"/>
      <c r="C983" s="1"/>
      <c r="D983" s="1"/>
      <c r="E983" s="1"/>
      <c r="F983" s="1"/>
      <c r="G983" s="1"/>
      <c r="H983" s="1"/>
      <c r="I983" s="1"/>
    </row>
    <row r="984" spans="2:9" ht="15.75" customHeight="1" x14ac:dyDescent="0.25">
      <c r="B984" s="1"/>
      <c r="C984" s="1"/>
      <c r="D984" s="1"/>
      <c r="E984" s="1"/>
      <c r="F984" s="1"/>
      <c r="G984" s="1"/>
      <c r="H984" s="1"/>
      <c r="I984" s="1"/>
    </row>
    <row r="985" spans="2:9" ht="15.75" customHeight="1" x14ac:dyDescent="0.25">
      <c r="B985" s="1"/>
      <c r="C985" s="1"/>
      <c r="D985" s="1"/>
      <c r="E985" s="1"/>
      <c r="F985" s="1"/>
      <c r="G985" s="1"/>
      <c r="H985" s="1"/>
      <c r="I985" s="1"/>
    </row>
    <row r="986" spans="2:9" ht="15.75" customHeight="1" x14ac:dyDescent="0.25">
      <c r="B986" s="1"/>
      <c r="C986" s="1"/>
      <c r="D986" s="1"/>
      <c r="E986" s="1"/>
      <c r="F986" s="1"/>
      <c r="G986" s="1"/>
      <c r="H986" s="1"/>
      <c r="I986" s="1"/>
    </row>
    <row r="987" spans="2:9" ht="15.75" customHeight="1" x14ac:dyDescent="0.25">
      <c r="B987" s="1"/>
      <c r="C987" s="1"/>
      <c r="D987" s="1"/>
      <c r="E987" s="1"/>
      <c r="F987" s="1"/>
      <c r="G987" s="1"/>
      <c r="H987" s="1"/>
      <c r="I987" s="1"/>
    </row>
    <row r="988" spans="2:9" ht="15.75" customHeight="1" x14ac:dyDescent="0.25">
      <c r="B988" s="1"/>
      <c r="C988" s="1"/>
      <c r="D988" s="1"/>
      <c r="E988" s="1"/>
      <c r="F988" s="1"/>
      <c r="G988" s="1"/>
      <c r="H988" s="1"/>
      <c r="I988" s="1"/>
    </row>
    <row r="989" spans="2:9" ht="15.75" customHeight="1" x14ac:dyDescent="0.25">
      <c r="B989" s="1"/>
      <c r="C989" s="1"/>
      <c r="D989" s="1"/>
      <c r="E989" s="1"/>
      <c r="F989" s="1"/>
      <c r="G989" s="1"/>
      <c r="H989" s="1"/>
      <c r="I989" s="1"/>
    </row>
    <row r="990" spans="2:9" ht="15.75" customHeight="1" x14ac:dyDescent="0.25">
      <c r="B990" s="1"/>
      <c r="C990" s="1"/>
      <c r="D990" s="1"/>
      <c r="E990" s="1"/>
      <c r="F990" s="1"/>
      <c r="G990" s="1"/>
      <c r="H990" s="1"/>
      <c r="I990" s="1"/>
    </row>
    <row r="991" spans="2:9" ht="15.75" customHeight="1" x14ac:dyDescent="0.25">
      <c r="B991" s="1"/>
      <c r="C991" s="1"/>
      <c r="D991" s="1"/>
      <c r="E991" s="1"/>
      <c r="F991" s="1"/>
      <c r="G991" s="1"/>
      <c r="H991" s="1"/>
      <c r="I991" s="1"/>
    </row>
    <row r="992" spans="2:9" ht="15.75" customHeight="1" x14ac:dyDescent="0.25">
      <c r="B992" s="1"/>
      <c r="C992" s="1"/>
      <c r="D992" s="1"/>
      <c r="E992" s="1"/>
      <c r="F992" s="1"/>
      <c r="G992" s="1"/>
      <c r="H992" s="1"/>
      <c r="I992" s="1"/>
    </row>
    <row r="993" spans="2:9" ht="15.75" customHeight="1" x14ac:dyDescent="0.25">
      <c r="B993" s="1"/>
      <c r="C993" s="1"/>
      <c r="D993" s="1"/>
      <c r="E993" s="1"/>
      <c r="F993" s="1"/>
      <c r="G993" s="1"/>
      <c r="H993" s="1"/>
      <c r="I993" s="1"/>
    </row>
    <row r="994" spans="2:9" ht="15.75" customHeight="1" x14ac:dyDescent="0.25">
      <c r="B994" s="1"/>
      <c r="C994" s="1"/>
      <c r="D994" s="1"/>
      <c r="E994" s="1"/>
      <c r="F994" s="1"/>
      <c r="G994" s="1"/>
      <c r="H994" s="1"/>
      <c r="I994" s="1"/>
    </row>
    <row r="995" spans="2:9" ht="15.75" customHeight="1" x14ac:dyDescent="0.25">
      <c r="B995" s="1"/>
      <c r="C995" s="1"/>
      <c r="D995" s="1"/>
      <c r="E995" s="1"/>
      <c r="F995" s="1"/>
      <c r="G995" s="1"/>
      <c r="H995" s="1"/>
      <c r="I995" s="1"/>
    </row>
    <row r="996" spans="2:9" ht="15.75" customHeight="1" x14ac:dyDescent="0.25">
      <c r="B996" s="1"/>
      <c r="C996" s="1"/>
      <c r="D996" s="1"/>
      <c r="E996" s="1"/>
      <c r="F996" s="1"/>
      <c r="G996" s="1"/>
      <c r="H996" s="1"/>
      <c r="I996" s="1"/>
    </row>
    <row r="997" spans="2:9" ht="15.75" customHeight="1" x14ac:dyDescent="0.25">
      <c r="B997" s="1"/>
      <c r="C997" s="1"/>
      <c r="D997" s="1"/>
      <c r="E997" s="1"/>
      <c r="F997" s="1"/>
      <c r="G997" s="1"/>
      <c r="H997" s="1"/>
      <c r="I997" s="1"/>
    </row>
    <row r="998" spans="2:9" ht="15.75" customHeight="1" x14ac:dyDescent="0.25">
      <c r="B998" s="1"/>
      <c r="C998" s="1"/>
      <c r="D998" s="1"/>
      <c r="E998" s="1"/>
      <c r="F998" s="1"/>
      <c r="G998" s="1"/>
      <c r="H998" s="1"/>
      <c r="I998" s="1"/>
    </row>
    <row r="999" spans="2:9" ht="15.75" customHeight="1" x14ac:dyDescent="0.25">
      <c r="B999" s="1"/>
      <c r="C999" s="1"/>
      <c r="D999" s="1"/>
      <c r="E999" s="1"/>
      <c r="F999" s="1"/>
      <c r="G999" s="1"/>
      <c r="H999" s="1"/>
      <c r="I999" s="1"/>
    </row>
    <row r="1000" spans="2:9" ht="15.75" customHeight="1" x14ac:dyDescent="0.25">
      <c r="B1000" s="1"/>
      <c r="C1000" s="1"/>
      <c r="D1000" s="1"/>
      <c r="E1000" s="1"/>
      <c r="F1000" s="1"/>
      <c r="G1000" s="1"/>
      <c r="H1000" s="1"/>
      <c r="I1000" s="1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1000"/>
  <sheetViews>
    <sheetView workbookViewId="0"/>
  </sheetViews>
  <sheetFormatPr defaultColWidth="14.42578125" defaultRowHeight="15" customHeight="1" x14ac:dyDescent="0.25"/>
  <cols>
    <col min="1" max="1" width="10.7109375" customWidth="1"/>
    <col min="2" max="2" width="10.28515625" customWidth="1"/>
    <col min="3" max="3" width="62.28515625" customWidth="1"/>
    <col min="4" max="4" width="3.7109375" customWidth="1"/>
    <col min="5" max="5" width="8.28515625" customWidth="1"/>
    <col min="6" max="6" width="10" customWidth="1"/>
    <col min="7" max="7" width="14.28515625" customWidth="1"/>
    <col min="8" max="8" width="8.7109375" customWidth="1"/>
    <col min="9" max="9" width="13.28515625" customWidth="1"/>
    <col min="10" max="26" width="10.7109375" customWidth="1"/>
  </cols>
  <sheetData>
    <row r="1" spans="2:9" x14ac:dyDescent="0.25">
      <c r="B1" s="1"/>
      <c r="C1" s="1"/>
      <c r="D1" s="1"/>
      <c r="E1" s="1"/>
      <c r="F1" s="1"/>
      <c r="G1" s="2">
        <f>0+0+0+0+0+0+0+G3+0</f>
        <v>31500</v>
      </c>
      <c r="H1" s="1"/>
      <c r="I1" s="2">
        <f>0+0+0+0+0+0+0+I3+0</f>
        <v>0</v>
      </c>
    </row>
    <row r="2" spans="2:9" ht="33.75" x14ac:dyDescent="0.25">
      <c r="B2" s="3" t="s">
        <v>3</v>
      </c>
      <c r="C2" s="3" t="s">
        <v>4</v>
      </c>
      <c r="D2" s="3" t="s">
        <v>5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</row>
    <row r="3" spans="2:9" x14ac:dyDescent="0.25">
      <c r="B3" s="2" t="s">
        <v>14</v>
      </c>
      <c r="C3" s="2" t="s">
        <v>2669</v>
      </c>
      <c r="D3" s="1"/>
      <c r="E3" s="1"/>
      <c r="F3" s="1"/>
      <c r="G3" s="2">
        <v>31500</v>
      </c>
      <c r="H3" s="1"/>
      <c r="I3" s="2">
        <v>0</v>
      </c>
    </row>
    <row r="4" spans="2:9" x14ac:dyDescent="0.25">
      <c r="B4" s="5" t="s">
        <v>16</v>
      </c>
      <c r="C4" s="5" t="s">
        <v>2670</v>
      </c>
      <c r="D4" s="1"/>
      <c r="E4" s="1"/>
      <c r="F4" s="1"/>
      <c r="G4" s="5">
        <v>31500</v>
      </c>
      <c r="H4" s="1"/>
      <c r="I4" s="5">
        <v>0</v>
      </c>
    </row>
    <row r="5" spans="2:9" x14ac:dyDescent="0.25">
      <c r="B5" s="6" t="s">
        <v>18</v>
      </c>
      <c r="C5" s="6" t="s">
        <v>2671</v>
      </c>
      <c r="D5" s="6" t="s">
        <v>20</v>
      </c>
      <c r="E5" s="6">
        <v>1</v>
      </c>
      <c r="F5" s="6">
        <v>31500</v>
      </c>
      <c r="G5" s="6">
        <v>31500</v>
      </c>
      <c r="H5" s="6">
        <v>0</v>
      </c>
      <c r="I5" s="6">
        <v>0</v>
      </c>
    </row>
    <row r="6" spans="2:9" x14ac:dyDescent="0.25">
      <c r="B6" s="1"/>
      <c r="C6" s="1"/>
      <c r="D6" s="1"/>
      <c r="E6" s="1"/>
      <c r="F6" s="1"/>
      <c r="G6" s="1"/>
      <c r="H6" s="1"/>
      <c r="I6" s="1"/>
    </row>
    <row r="7" spans="2:9" x14ac:dyDescent="0.25">
      <c r="B7" s="1"/>
      <c r="C7" s="1"/>
      <c r="D7" s="1"/>
      <c r="E7" s="1"/>
      <c r="F7" s="1"/>
      <c r="G7" s="1"/>
      <c r="H7" s="1"/>
      <c r="I7" s="1"/>
    </row>
    <row r="8" spans="2:9" x14ac:dyDescent="0.25">
      <c r="B8" s="1"/>
      <c r="C8" s="1"/>
      <c r="D8" s="1"/>
      <c r="E8" s="1"/>
      <c r="F8" s="1"/>
      <c r="G8" s="1"/>
      <c r="H8" s="1"/>
      <c r="I8" s="1"/>
    </row>
    <row r="9" spans="2:9" x14ac:dyDescent="0.25">
      <c r="B9" s="1"/>
      <c r="C9" s="1"/>
      <c r="D9" s="1"/>
      <c r="E9" s="1"/>
      <c r="F9" s="1"/>
      <c r="G9" s="1"/>
      <c r="H9" s="1"/>
      <c r="I9" s="1"/>
    </row>
    <row r="10" spans="2:9" x14ac:dyDescent="0.25">
      <c r="B10" s="1"/>
      <c r="C10" s="1"/>
      <c r="D10" s="1"/>
      <c r="E10" s="1"/>
      <c r="F10" s="1"/>
      <c r="G10" s="1"/>
      <c r="H10" s="1"/>
      <c r="I10" s="1"/>
    </row>
    <row r="11" spans="2:9" x14ac:dyDescent="0.25">
      <c r="B11" s="1"/>
      <c r="C11" s="1"/>
      <c r="D11" s="1"/>
      <c r="E11" s="1"/>
      <c r="F11" s="1"/>
      <c r="G11" s="1"/>
      <c r="H11" s="1"/>
      <c r="I11" s="1"/>
    </row>
    <row r="12" spans="2:9" x14ac:dyDescent="0.25">
      <c r="B12" s="1"/>
      <c r="C12" s="1"/>
      <c r="D12" s="1"/>
      <c r="E12" s="1"/>
      <c r="F12" s="1"/>
      <c r="G12" s="1"/>
      <c r="H12" s="1"/>
      <c r="I12" s="1"/>
    </row>
    <row r="13" spans="2:9" x14ac:dyDescent="0.25">
      <c r="B13" s="1"/>
      <c r="C13" s="1"/>
      <c r="D13" s="1"/>
      <c r="E13" s="1"/>
      <c r="F13" s="1"/>
      <c r="G13" s="1"/>
      <c r="H13" s="1"/>
      <c r="I13" s="1"/>
    </row>
    <row r="14" spans="2:9" x14ac:dyDescent="0.25">
      <c r="B14" s="1"/>
      <c r="C14" s="1"/>
      <c r="D14" s="1"/>
      <c r="E14" s="1"/>
      <c r="F14" s="1"/>
      <c r="G14" s="1"/>
      <c r="H14" s="1"/>
      <c r="I14" s="1"/>
    </row>
    <row r="15" spans="2:9" x14ac:dyDescent="0.25">
      <c r="B15" s="1"/>
      <c r="C15" s="1"/>
      <c r="D15" s="1"/>
      <c r="E15" s="1"/>
      <c r="F15" s="1"/>
      <c r="G15" s="1"/>
      <c r="H15" s="1"/>
      <c r="I15" s="1"/>
    </row>
    <row r="16" spans="2:9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1"/>
      <c r="I17" s="1"/>
    </row>
    <row r="18" spans="2:9" x14ac:dyDescent="0.25">
      <c r="B18" s="1"/>
      <c r="C18" s="1"/>
      <c r="D18" s="1"/>
      <c r="E18" s="1"/>
      <c r="F18" s="1"/>
      <c r="G18" s="1"/>
      <c r="H18" s="1"/>
      <c r="I18" s="1"/>
    </row>
    <row r="19" spans="2:9" x14ac:dyDescent="0.25">
      <c r="B19" s="1"/>
      <c r="C19" s="1"/>
      <c r="D19" s="1"/>
      <c r="E19" s="1"/>
      <c r="F19" s="1"/>
      <c r="G19" s="1"/>
      <c r="H19" s="1"/>
      <c r="I19" s="1"/>
    </row>
    <row r="20" spans="2:9" x14ac:dyDescent="0.25">
      <c r="B20" s="1"/>
      <c r="C20" s="1"/>
      <c r="D20" s="1"/>
      <c r="E20" s="1"/>
      <c r="F20" s="1"/>
      <c r="G20" s="1"/>
      <c r="H20" s="1"/>
      <c r="I20" s="1"/>
    </row>
    <row r="21" spans="2:9" ht="15.75" customHeight="1" x14ac:dyDescent="0.25">
      <c r="B21" s="1"/>
      <c r="C21" s="1"/>
      <c r="D21" s="1"/>
      <c r="E21" s="1"/>
      <c r="F21" s="1"/>
      <c r="G21" s="1"/>
      <c r="H21" s="1"/>
      <c r="I21" s="1"/>
    </row>
    <row r="22" spans="2:9" ht="15.75" customHeight="1" x14ac:dyDescent="0.25">
      <c r="B22" s="1"/>
      <c r="C22" s="1"/>
      <c r="D22" s="1"/>
      <c r="E22" s="1"/>
      <c r="F22" s="1"/>
      <c r="G22" s="1"/>
      <c r="H22" s="1"/>
      <c r="I22" s="1"/>
    </row>
    <row r="23" spans="2:9" ht="15.75" customHeight="1" x14ac:dyDescent="0.25">
      <c r="B23" s="1"/>
      <c r="C23" s="1"/>
      <c r="D23" s="1"/>
      <c r="E23" s="1"/>
      <c r="F23" s="1"/>
      <c r="G23" s="1"/>
      <c r="H23" s="1"/>
      <c r="I23" s="1"/>
    </row>
    <row r="24" spans="2:9" ht="15.75" customHeight="1" x14ac:dyDescent="0.25">
      <c r="B24" s="1"/>
      <c r="C24" s="1"/>
      <c r="D24" s="1"/>
      <c r="E24" s="1"/>
      <c r="F24" s="1"/>
      <c r="G24" s="1"/>
      <c r="H24" s="1"/>
      <c r="I24" s="1"/>
    </row>
    <row r="25" spans="2:9" ht="15.75" customHeight="1" x14ac:dyDescent="0.25">
      <c r="B25" s="1"/>
      <c r="C25" s="1"/>
      <c r="D25" s="1"/>
      <c r="E25" s="1"/>
      <c r="F25" s="1"/>
      <c r="G25" s="1"/>
      <c r="H25" s="1"/>
      <c r="I25" s="1"/>
    </row>
    <row r="26" spans="2:9" ht="15.75" customHeight="1" x14ac:dyDescent="0.25">
      <c r="B26" s="1"/>
      <c r="C26" s="1"/>
      <c r="D26" s="1"/>
      <c r="E26" s="1"/>
      <c r="F26" s="1"/>
      <c r="G26" s="1"/>
      <c r="H26" s="1"/>
      <c r="I26" s="1"/>
    </row>
    <row r="27" spans="2:9" ht="15.75" customHeight="1" x14ac:dyDescent="0.25">
      <c r="B27" s="1"/>
      <c r="C27" s="1"/>
      <c r="D27" s="1"/>
      <c r="E27" s="1"/>
      <c r="F27" s="1"/>
      <c r="G27" s="1"/>
      <c r="H27" s="1"/>
      <c r="I27" s="1"/>
    </row>
    <row r="28" spans="2:9" ht="15.75" customHeight="1" x14ac:dyDescent="0.25">
      <c r="B28" s="1"/>
      <c r="C28" s="1"/>
      <c r="D28" s="1"/>
      <c r="E28" s="1"/>
      <c r="F28" s="1"/>
      <c r="G28" s="1"/>
      <c r="H28" s="1"/>
      <c r="I28" s="1"/>
    </row>
    <row r="29" spans="2:9" ht="15.75" customHeight="1" x14ac:dyDescent="0.25">
      <c r="B29" s="1"/>
      <c r="C29" s="1"/>
      <c r="D29" s="1"/>
      <c r="E29" s="1"/>
      <c r="F29" s="1"/>
      <c r="G29" s="1"/>
      <c r="H29" s="1"/>
      <c r="I29" s="1"/>
    </row>
    <row r="30" spans="2:9" ht="15.75" customHeight="1" x14ac:dyDescent="0.25">
      <c r="B30" s="1"/>
      <c r="C30" s="1"/>
      <c r="D30" s="1"/>
      <c r="E30" s="1"/>
      <c r="F30" s="1"/>
      <c r="G30" s="1"/>
      <c r="H30" s="1"/>
      <c r="I30" s="1"/>
    </row>
    <row r="31" spans="2:9" ht="15.75" customHeight="1" x14ac:dyDescent="0.25">
      <c r="B31" s="1"/>
      <c r="C31" s="1"/>
      <c r="D31" s="1"/>
      <c r="E31" s="1"/>
      <c r="F31" s="1"/>
      <c r="G31" s="1"/>
      <c r="H31" s="1"/>
      <c r="I31" s="1"/>
    </row>
    <row r="32" spans="2:9" ht="15.75" customHeight="1" x14ac:dyDescent="0.25">
      <c r="B32" s="1"/>
      <c r="C32" s="1"/>
      <c r="D32" s="1"/>
      <c r="E32" s="1"/>
      <c r="F32" s="1"/>
      <c r="G32" s="1"/>
      <c r="H32" s="1"/>
      <c r="I32" s="1"/>
    </row>
    <row r="33" spans="2:9" ht="15.75" customHeight="1" x14ac:dyDescent="0.25">
      <c r="B33" s="1"/>
      <c r="C33" s="1"/>
      <c r="D33" s="1"/>
      <c r="E33" s="1"/>
      <c r="F33" s="1"/>
      <c r="G33" s="1"/>
      <c r="H33" s="1"/>
      <c r="I33" s="1"/>
    </row>
    <row r="34" spans="2:9" ht="15.75" customHeight="1" x14ac:dyDescent="0.25">
      <c r="B34" s="1"/>
      <c r="C34" s="1"/>
      <c r="D34" s="1"/>
      <c r="E34" s="1"/>
      <c r="F34" s="1"/>
      <c r="G34" s="1"/>
      <c r="H34" s="1"/>
      <c r="I34" s="1"/>
    </row>
    <row r="35" spans="2:9" ht="15.75" customHeight="1" x14ac:dyDescent="0.25">
      <c r="B35" s="1"/>
      <c r="C35" s="1"/>
      <c r="D35" s="1"/>
      <c r="E35" s="1"/>
      <c r="F35" s="1"/>
      <c r="G35" s="1"/>
      <c r="H35" s="1"/>
      <c r="I35" s="1"/>
    </row>
    <row r="36" spans="2:9" ht="15.75" customHeight="1" x14ac:dyDescent="0.25">
      <c r="B36" s="1"/>
      <c r="C36" s="1"/>
      <c r="D36" s="1"/>
      <c r="E36" s="1"/>
      <c r="F36" s="1"/>
      <c r="G36" s="1"/>
      <c r="H36" s="1"/>
      <c r="I36" s="1"/>
    </row>
    <row r="37" spans="2:9" ht="15.75" customHeight="1" x14ac:dyDescent="0.25">
      <c r="B37" s="1"/>
      <c r="C37" s="1"/>
      <c r="D37" s="1"/>
      <c r="E37" s="1"/>
      <c r="F37" s="1"/>
      <c r="G37" s="1"/>
      <c r="H37" s="1"/>
      <c r="I37" s="1"/>
    </row>
    <row r="38" spans="2:9" ht="15.75" customHeight="1" x14ac:dyDescent="0.25">
      <c r="B38" s="1"/>
      <c r="C38" s="1"/>
      <c r="D38" s="1"/>
      <c r="E38" s="1"/>
      <c r="F38" s="1"/>
      <c r="G38" s="1"/>
      <c r="H38" s="1"/>
      <c r="I38" s="1"/>
    </row>
    <row r="39" spans="2:9" ht="15.75" customHeight="1" x14ac:dyDescent="0.25">
      <c r="B39" s="1"/>
      <c r="C39" s="1"/>
      <c r="D39" s="1"/>
      <c r="E39" s="1"/>
      <c r="F39" s="1"/>
      <c r="G39" s="1"/>
      <c r="H39" s="1"/>
      <c r="I39" s="1"/>
    </row>
    <row r="40" spans="2:9" ht="15.75" customHeight="1" x14ac:dyDescent="0.25">
      <c r="B40" s="1"/>
      <c r="C40" s="1"/>
      <c r="D40" s="1"/>
      <c r="E40" s="1"/>
      <c r="F40" s="1"/>
      <c r="G40" s="1"/>
      <c r="H40" s="1"/>
      <c r="I40" s="1"/>
    </row>
    <row r="41" spans="2:9" ht="15.75" customHeight="1" x14ac:dyDescent="0.25">
      <c r="B41" s="1"/>
      <c r="C41" s="1"/>
      <c r="D41" s="1"/>
      <c r="E41" s="1"/>
      <c r="F41" s="1"/>
      <c r="G41" s="1"/>
      <c r="H41" s="1"/>
      <c r="I41" s="1"/>
    </row>
    <row r="42" spans="2:9" ht="15.75" customHeight="1" x14ac:dyDescent="0.25">
      <c r="B42" s="1"/>
      <c r="C42" s="1"/>
      <c r="D42" s="1"/>
      <c r="E42" s="1"/>
      <c r="F42" s="1"/>
      <c r="G42" s="1"/>
      <c r="H42" s="1"/>
      <c r="I42" s="1"/>
    </row>
    <row r="43" spans="2:9" ht="15.75" customHeight="1" x14ac:dyDescent="0.25">
      <c r="B43" s="1"/>
      <c r="C43" s="1"/>
      <c r="D43" s="1"/>
      <c r="E43" s="1"/>
      <c r="F43" s="1"/>
      <c r="G43" s="1"/>
      <c r="H43" s="1"/>
      <c r="I43" s="1"/>
    </row>
    <row r="44" spans="2:9" ht="15.75" customHeight="1" x14ac:dyDescent="0.25">
      <c r="B44" s="1"/>
      <c r="C44" s="1"/>
      <c r="D44" s="1"/>
      <c r="E44" s="1"/>
      <c r="F44" s="1"/>
      <c r="G44" s="1"/>
      <c r="H44" s="1"/>
      <c r="I44" s="1"/>
    </row>
    <row r="45" spans="2:9" ht="15.75" customHeight="1" x14ac:dyDescent="0.25">
      <c r="B45" s="1"/>
      <c r="C45" s="1"/>
      <c r="D45" s="1"/>
      <c r="E45" s="1"/>
      <c r="F45" s="1"/>
      <c r="G45" s="1"/>
      <c r="H45" s="1"/>
      <c r="I45" s="1"/>
    </row>
    <row r="46" spans="2:9" ht="15.75" customHeight="1" x14ac:dyDescent="0.25">
      <c r="B46" s="1"/>
      <c r="C46" s="1"/>
      <c r="D46" s="1"/>
      <c r="E46" s="1"/>
      <c r="F46" s="1"/>
      <c r="G46" s="1"/>
      <c r="H46" s="1"/>
      <c r="I46" s="1"/>
    </row>
    <row r="47" spans="2:9" ht="15.75" customHeight="1" x14ac:dyDescent="0.25">
      <c r="B47" s="1"/>
      <c r="C47" s="1"/>
      <c r="D47" s="1"/>
      <c r="E47" s="1"/>
      <c r="F47" s="1"/>
      <c r="G47" s="1"/>
      <c r="H47" s="1"/>
      <c r="I47" s="1"/>
    </row>
    <row r="48" spans="2:9" ht="15.75" customHeight="1" x14ac:dyDescent="0.25">
      <c r="B48" s="1"/>
      <c r="C48" s="1"/>
      <c r="D48" s="1"/>
      <c r="E48" s="1"/>
      <c r="F48" s="1"/>
      <c r="G48" s="1"/>
      <c r="H48" s="1"/>
      <c r="I48" s="1"/>
    </row>
    <row r="49" spans="2:9" ht="15.75" customHeight="1" x14ac:dyDescent="0.25">
      <c r="B49" s="1"/>
      <c r="C49" s="1"/>
      <c r="D49" s="1"/>
      <c r="E49" s="1"/>
      <c r="F49" s="1"/>
      <c r="G49" s="1"/>
      <c r="H49" s="1"/>
      <c r="I49" s="1"/>
    </row>
    <row r="50" spans="2:9" ht="15.75" customHeight="1" x14ac:dyDescent="0.25">
      <c r="B50" s="1"/>
      <c r="C50" s="1"/>
      <c r="D50" s="1"/>
      <c r="E50" s="1"/>
      <c r="F50" s="1"/>
      <c r="G50" s="1"/>
      <c r="H50" s="1"/>
      <c r="I50" s="1"/>
    </row>
    <row r="51" spans="2:9" ht="15.75" customHeight="1" x14ac:dyDescent="0.25">
      <c r="B51" s="1"/>
      <c r="C51" s="1"/>
      <c r="D51" s="1"/>
      <c r="E51" s="1"/>
      <c r="F51" s="1"/>
      <c r="G51" s="1"/>
      <c r="H51" s="1"/>
      <c r="I51" s="1"/>
    </row>
    <row r="52" spans="2:9" ht="15.75" customHeight="1" x14ac:dyDescent="0.25">
      <c r="B52" s="1"/>
      <c r="C52" s="1"/>
      <c r="D52" s="1"/>
      <c r="E52" s="1"/>
      <c r="F52" s="1"/>
      <c r="G52" s="1"/>
      <c r="H52" s="1"/>
      <c r="I52" s="1"/>
    </row>
    <row r="53" spans="2:9" ht="15.75" customHeight="1" x14ac:dyDescent="0.25">
      <c r="B53" s="1"/>
      <c r="C53" s="1"/>
      <c r="D53" s="1"/>
      <c r="E53" s="1"/>
      <c r="F53" s="1"/>
      <c r="G53" s="1"/>
      <c r="H53" s="1"/>
      <c r="I53" s="1"/>
    </row>
    <row r="54" spans="2:9" ht="15.75" customHeight="1" x14ac:dyDescent="0.25">
      <c r="B54" s="1"/>
      <c r="C54" s="1"/>
      <c r="D54" s="1"/>
      <c r="E54" s="1"/>
      <c r="F54" s="1"/>
      <c r="G54" s="1"/>
      <c r="H54" s="1"/>
      <c r="I54" s="1"/>
    </row>
    <row r="55" spans="2:9" ht="15.75" customHeight="1" x14ac:dyDescent="0.25">
      <c r="B55" s="1"/>
      <c r="C55" s="1"/>
      <c r="D55" s="1"/>
      <c r="E55" s="1"/>
      <c r="F55" s="1"/>
      <c r="G55" s="1"/>
      <c r="H55" s="1"/>
      <c r="I55" s="1"/>
    </row>
    <row r="56" spans="2:9" ht="15.75" customHeight="1" x14ac:dyDescent="0.25">
      <c r="B56" s="1"/>
      <c r="C56" s="1"/>
      <c r="D56" s="1"/>
      <c r="E56" s="1"/>
      <c r="F56" s="1"/>
      <c r="G56" s="1"/>
      <c r="H56" s="1"/>
      <c r="I56" s="1"/>
    </row>
    <row r="57" spans="2:9" ht="15.75" customHeight="1" x14ac:dyDescent="0.25">
      <c r="B57" s="1"/>
      <c r="C57" s="1"/>
      <c r="D57" s="1"/>
      <c r="E57" s="1"/>
      <c r="F57" s="1"/>
      <c r="G57" s="1"/>
      <c r="H57" s="1"/>
      <c r="I57" s="1"/>
    </row>
    <row r="58" spans="2:9" ht="15.75" customHeight="1" x14ac:dyDescent="0.25">
      <c r="B58" s="1"/>
      <c r="C58" s="1"/>
      <c r="D58" s="1"/>
      <c r="E58" s="1"/>
      <c r="F58" s="1"/>
      <c r="G58" s="1"/>
      <c r="H58" s="1"/>
      <c r="I58" s="1"/>
    </row>
    <row r="59" spans="2:9" ht="15.75" customHeight="1" x14ac:dyDescent="0.25">
      <c r="B59" s="1"/>
      <c r="C59" s="1"/>
      <c r="D59" s="1"/>
      <c r="E59" s="1"/>
      <c r="F59" s="1"/>
      <c r="G59" s="1"/>
      <c r="H59" s="1"/>
      <c r="I59" s="1"/>
    </row>
    <row r="60" spans="2:9" ht="15.75" customHeight="1" x14ac:dyDescent="0.25">
      <c r="B60" s="1"/>
      <c r="C60" s="1"/>
      <c r="D60" s="1"/>
      <c r="E60" s="1"/>
      <c r="F60" s="1"/>
      <c r="G60" s="1"/>
      <c r="H60" s="1"/>
      <c r="I60" s="1"/>
    </row>
    <row r="61" spans="2:9" ht="15.75" customHeight="1" x14ac:dyDescent="0.25">
      <c r="B61" s="1"/>
      <c r="C61" s="1"/>
      <c r="D61" s="1"/>
      <c r="E61" s="1"/>
      <c r="F61" s="1"/>
      <c r="G61" s="1"/>
      <c r="H61" s="1"/>
      <c r="I61" s="1"/>
    </row>
    <row r="62" spans="2:9" ht="15.75" customHeight="1" x14ac:dyDescent="0.25">
      <c r="B62" s="1"/>
      <c r="C62" s="1"/>
      <c r="D62" s="1"/>
      <c r="E62" s="1"/>
      <c r="F62" s="1"/>
      <c r="G62" s="1"/>
      <c r="H62" s="1"/>
      <c r="I62" s="1"/>
    </row>
    <row r="63" spans="2:9" ht="15.75" customHeight="1" x14ac:dyDescent="0.25">
      <c r="B63" s="1"/>
      <c r="C63" s="1"/>
      <c r="D63" s="1"/>
      <c r="E63" s="1"/>
      <c r="F63" s="1"/>
      <c r="G63" s="1"/>
      <c r="H63" s="1"/>
      <c r="I63" s="1"/>
    </row>
    <row r="64" spans="2:9" ht="15.75" customHeight="1" x14ac:dyDescent="0.25">
      <c r="B64" s="1"/>
      <c r="C64" s="1"/>
      <c r="D64" s="1"/>
      <c r="E64" s="1"/>
      <c r="F64" s="1"/>
      <c r="G64" s="1"/>
      <c r="H64" s="1"/>
      <c r="I64" s="1"/>
    </row>
    <row r="65" spans="2:9" ht="15.75" customHeight="1" x14ac:dyDescent="0.25">
      <c r="B65" s="1"/>
      <c r="C65" s="1"/>
      <c r="D65" s="1"/>
      <c r="E65" s="1"/>
      <c r="F65" s="1"/>
      <c r="G65" s="1"/>
      <c r="H65" s="1"/>
      <c r="I65" s="1"/>
    </row>
    <row r="66" spans="2:9" ht="15.75" customHeight="1" x14ac:dyDescent="0.25">
      <c r="B66" s="1"/>
      <c r="C66" s="1"/>
      <c r="D66" s="1"/>
      <c r="E66" s="1"/>
      <c r="F66" s="1"/>
      <c r="G66" s="1"/>
      <c r="H66" s="1"/>
      <c r="I66" s="1"/>
    </row>
    <row r="67" spans="2:9" ht="15.75" customHeight="1" x14ac:dyDescent="0.25">
      <c r="B67" s="1"/>
      <c r="C67" s="1"/>
      <c r="D67" s="1"/>
      <c r="E67" s="1"/>
      <c r="F67" s="1"/>
      <c r="G67" s="1"/>
      <c r="H67" s="1"/>
      <c r="I67" s="1"/>
    </row>
    <row r="68" spans="2:9" ht="15.75" customHeight="1" x14ac:dyDescent="0.25">
      <c r="B68" s="1"/>
      <c r="C68" s="1"/>
      <c r="D68" s="1"/>
      <c r="E68" s="1"/>
      <c r="F68" s="1"/>
      <c r="G68" s="1"/>
      <c r="H68" s="1"/>
      <c r="I68" s="1"/>
    </row>
    <row r="69" spans="2:9" ht="15.75" customHeight="1" x14ac:dyDescent="0.25">
      <c r="B69" s="1"/>
      <c r="C69" s="1"/>
      <c r="D69" s="1"/>
      <c r="E69" s="1"/>
      <c r="F69" s="1"/>
      <c r="G69" s="1"/>
      <c r="H69" s="1"/>
      <c r="I69" s="1"/>
    </row>
    <row r="70" spans="2:9" ht="15.75" customHeight="1" x14ac:dyDescent="0.25">
      <c r="B70" s="1"/>
      <c r="C70" s="1"/>
      <c r="D70" s="1"/>
      <c r="E70" s="1"/>
      <c r="F70" s="1"/>
      <c r="G70" s="1"/>
      <c r="H70" s="1"/>
      <c r="I70" s="1"/>
    </row>
    <row r="71" spans="2:9" ht="15.75" customHeight="1" x14ac:dyDescent="0.25">
      <c r="B71" s="1"/>
      <c r="C71" s="1"/>
      <c r="D71" s="1"/>
      <c r="E71" s="1"/>
      <c r="F71" s="1"/>
      <c r="G71" s="1"/>
      <c r="H71" s="1"/>
      <c r="I71" s="1"/>
    </row>
    <row r="72" spans="2:9" ht="15.75" customHeight="1" x14ac:dyDescent="0.25">
      <c r="B72" s="1"/>
      <c r="C72" s="1"/>
      <c r="D72" s="1"/>
      <c r="E72" s="1"/>
      <c r="F72" s="1"/>
      <c r="G72" s="1"/>
      <c r="H72" s="1"/>
      <c r="I72" s="1"/>
    </row>
    <row r="73" spans="2:9" ht="15.75" customHeight="1" x14ac:dyDescent="0.25">
      <c r="B73" s="1"/>
      <c r="C73" s="1"/>
      <c r="D73" s="1"/>
      <c r="E73" s="1"/>
      <c r="F73" s="1"/>
      <c r="G73" s="1"/>
      <c r="H73" s="1"/>
      <c r="I73" s="1"/>
    </row>
    <row r="74" spans="2:9" ht="15.75" customHeight="1" x14ac:dyDescent="0.25">
      <c r="B74" s="1"/>
      <c r="C74" s="1"/>
      <c r="D74" s="1"/>
      <c r="E74" s="1"/>
      <c r="F74" s="1"/>
      <c r="G74" s="1"/>
      <c r="H74" s="1"/>
      <c r="I74" s="1"/>
    </row>
    <row r="75" spans="2:9" ht="15.75" customHeight="1" x14ac:dyDescent="0.25">
      <c r="B75" s="1"/>
      <c r="C75" s="1"/>
      <c r="D75" s="1"/>
      <c r="E75" s="1"/>
      <c r="F75" s="1"/>
      <c r="G75" s="1"/>
      <c r="H75" s="1"/>
      <c r="I75" s="1"/>
    </row>
    <row r="76" spans="2:9" ht="15.75" customHeight="1" x14ac:dyDescent="0.25">
      <c r="B76" s="1"/>
      <c r="C76" s="1"/>
      <c r="D76" s="1"/>
      <c r="E76" s="1"/>
      <c r="F76" s="1"/>
      <c r="G76" s="1"/>
      <c r="H76" s="1"/>
      <c r="I76" s="1"/>
    </row>
    <row r="77" spans="2:9" ht="15.75" customHeight="1" x14ac:dyDescent="0.25">
      <c r="B77" s="1"/>
      <c r="C77" s="1"/>
      <c r="D77" s="1"/>
      <c r="E77" s="1"/>
      <c r="F77" s="1"/>
      <c r="G77" s="1"/>
      <c r="H77" s="1"/>
      <c r="I77" s="1"/>
    </row>
    <row r="78" spans="2:9" ht="15.75" customHeight="1" x14ac:dyDescent="0.25">
      <c r="B78" s="1"/>
      <c r="C78" s="1"/>
      <c r="D78" s="1"/>
      <c r="E78" s="1"/>
      <c r="F78" s="1"/>
      <c r="G78" s="1"/>
      <c r="H78" s="1"/>
      <c r="I78" s="1"/>
    </row>
    <row r="79" spans="2:9" ht="15.75" customHeight="1" x14ac:dyDescent="0.25">
      <c r="B79" s="1"/>
      <c r="C79" s="1"/>
      <c r="D79" s="1"/>
      <c r="E79" s="1"/>
      <c r="F79" s="1"/>
      <c r="G79" s="1"/>
      <c r="H79" s="1"/>
      <c r="I79" s="1"/>
    </row>
    <row r="80" spans="2:9" ht="15.75" customHeight="1" x14ac:dyDescent="0.25">
      <c r="B80" s="1"/>
      <c r="C80" s="1"/>
      <c r="D80" s="1"/>
      <c r="E80" s="1"/>
      <c r="F80" s="1"/>
      <c r="G80" s="1"/>
      <c r="H80" s="1"/>
      <c r="I80" s="1"/>
    </row>
    <row r="81" spans="2:9" ht="15.75" customHeight="1" x14ac:dyDescent="0.25">
      <c r="B81" s="1"/>
      <c r="C81" s="1"/>
      <c r="D81" s="1"/>
      <c r="E81" s="1"/>
      <c r="F81" s="1"/>
      <c r="G81" s="1"/>
      <c r="H81" s="1"/>
      <c r="I81" s="1"/>
    </row>
    <row r="82" spans="2:9" ht="15.75" customHeight="1" x14ac:dyDescent="0.25">
      <c r="B82" s="1"/>
      <c r="C82" s="1"/>
      <c r="D82" s="1"/>
      <c r="E82" s="1"/>
      <c r="F82" s="1"/>
      <c r="G82" s="1"/>
      <c r="H82" s="1"/>
      <c r="I82" s="1"/>
    </row>
    <row r="83" spans="2:9" ht="15.75" customHeight="1" x14ac:dyDescent="0.25">
      <c r="B83" s="1"/>
      <c r="C83" s="1"/>
      <c r="D83" s="1"/>
      <c r="E83" s="1"/>
      <c r="F83" s="1"/>
      <c r="G83" s="1"/>
      <c r="H83" s="1"/>
      <c r="I83" s="1"/>
    </row>
    <row r="84" spans="2:9" ht="15.75" customHeight="1" x14ac:dyDescent="0.25">
      <c r="B84" s="1"/>
      <c r="C84" s="1"/>
      <c r="D84" s="1"/>
      <c r="E84" s="1"/>
      <c r="F84" s="1"/>
      <c r="G84" s="1"/>
      <c r="H84" s="1"/>
      <c r="I84" s="1"/>
    </row>
    <row r="85" spans="2:9" ht="15.75" customHeight="1" x14ac:dyDescent="0.25">
      <c r="B85" s="1"/>
      <c r="C85" s="1"/>
      <c r="D85" s="1"/>
      <c r="E85" s="1"/>
      <c r="F85" s="1"/>
      <c r="G85" s="1"/>
      <c r="H85" s="1"/>
      <c r="I85" s="1"/>
    </row>
    <row r="86" spans="2:9" ht="15.75" customHeight="1" x14ac:dyDescent="0.25">
      <c r="B86" s="1"/>
      <c r="C86" s="1"/>
      <c r="D86" s="1"/>
      <c r="E86" s="1"/>
      <c r="F86" s="1"/>
      <c r="G86" s="1"/>
      <c r="H86" s="1"/>
      <c r="I86" s="1"/>
    </row>
    <row r="87" spans="2:9" ht="15.75" customHeight="1" x14ac:dyDescent="0.25">
      <c r="B87" s="1"/>
      <c r="C87" s="1"/>
      <c r="D87" s="1"/>
      <c r="E87" s="1"/>
      <c r="F87" s="1"/>
      <c r="G87" s="1"/>
      <c r="H87" s="1"/>
      <c r="I87" s="1"/>
    </row>
    <row r="88" spans="2:9" ht="15.75" customHeight="1" x14ac:dyDescent="0.25">
      <c r="B88" s="1"/>
      <c r="C88" s="1"/>
      <c r="D88" s="1"/>
      <c r="E88" s="1"/>
      <c r="F88" s="1"/>
      <c r="G88" s="1"/>
      <c r="H88" s="1"/>
      <c r="I88" s="1"/>
    </row>
    <row r="89" spans="2:9" ht="15.75" customHeight="1" x14ac:dyDescent="0.25">
      <c r="B89" s="1"/>
      <c r="C89" s="1"/>
      <c r="D89" s="1"/>
      <c r="E89" s="1"/>
      <c r="F89" s="1"/>
      <c r="G89" s="1"/>
      <c r="H89" s="1"/>
      <c r="I89" s="1"/>
    </row>
    <row r="90" spans="2:9" ht="15.75" customHeight="1" x14ac:dyDescent="0.25">
      <c r="B90" s="1"/>
      <c r="C90" s="1"/>
      <c r="D90" s="1"/>
      <c r="E90" s="1"/>
      <c r="F90" s="1"/>
      <c r="G90" s="1"/>
      <c r="H90" s="1"/>
      <c r="I90" s="1"/>
    </row>
    <row r="91" spans="2:9" ht="15.75" customHeight="1" x14ac:dyDescent="0.25">
      <c r="B91" s="1"/>
      <c r="C91" s="1"/>
      <c r="D91" s="1"/>
      <c r="E91" s="1"/>
      <c r="F91" s="1"/>
      <c r="G91" s="1"/>
      <c r="H91" s="1"/>
      <c r="I91" s="1"/>
    </row>
    <row r="92" spans="2:9" ht="15.75" customHeight="1" x14ac:dyDescent="0.25">
      <c r="B92" s="1"/>
      <c r="C92" s="1"/>
      <c r="D92" s="1"/>
      <c r="E92" s="1"/>
      <c r="F92" s="1"/>
      <c r="G92" s="1"/>
      <c r="H92" s="1"/>
      <c r="I92" s="1"/>
    </row>
    <row r="93" spans="2:9" ht="15.75" customHeight="1" x14ac:dyDescent="0.25">
      <c r="B93" s="1"/>
      <c r="C93" s="1"/>
      <c r="D93" s="1"/>
      <c r="E93" s="1"/>
      <c r="F93" s="1"/>
      <c r="G93" s="1"/>
      <c r="H93" s="1"/>
      <c r="I93" s="1"/>
    </row>
    <row r="94" spans="2:9" ht="15.75" customHeight="1" x14ac:dyDescent="0.25">
      <c r="B94" s="1"/>
      <c r="C94" s="1"/>
      <c r="D94" s="1"/>
      <c r="E94" s="1"/>
      <c r="F94" s="1"/>
      <c r="G94" s="1"/>
      <c r="H94" s="1"/>
      <c r="I94" s="1"/>
    </row>
    <row r="95" spans="2:9" ht="15.75" customHeight="1" x14ac:dyDescent="0.25">
      <c r="B95" s="1"/>
      <c r="C95" s="1"/>
      <c r="D95" s="1"/>
      <c r="E95" s="1"/>
      <c r="F95" s="1"/>
      <c r="G95" s="1"/>
      <c r="H95" s="1"/>
      <c r="I95" s="1"/>
    </row>
    <row r="96" spans="2:9" ht="15.75" customHeight="1" x14ac:dyDescent="0.25">
      <c r="B96" s="1"/>
      <c r="C96" s="1"/>
      <c r="D96" s="1"/>
      <c r="E96" s="1"/>
      <c r="F96" s="1"/>
      <c r="G96" s="1"/>
      <c r="H96" s="1"/>
      <c r="I96" s="1"/>
    </row>
    <row r="97" spans="2:9" ht="15.75" customHeight="1" x14ac:dyDescent="0.25">
      <c r="B97" s="1"/>
      <c r="C97" s="1"/>
      <c r="D97" s="1"/>
      <c r="E97" s="1"/>
      <c r="F97" s="1"/>
      <c r="G97" s="1"/>
      <c r="H97" s="1"/>
      <c r="I97" s="1"/>
    </row>
    <row r="98" spans="2:9" ht="15.75" customHeight="1" x14ac:dyDescent="0.25">
      <c r="B98" s="1"/>
      <c r="C98" s="1"/>
      <c r="D98" s="1"/>
      <c r="E98" s="1"/>
      <c r="F98" s="1"/>
      <c r="G98" s="1"/>
      <c r="H98" s="1"/>
      <c r="I98" s="1"/>
    </row>
    <row r="99" spans="2:9" ht="15.75" customHeight="1" x14ac:dyDescent="0.25">
      <c r="B99" s="1"/>
      <c r="C99" s="1"/>
      <c r="D99" s="1"/>
      <c r="E99" s="1"/>
      <c r="F99" s="1"/>
      <c r="G99" s="1"/>
      <c r="H99" s="1"/>
      <c r="I99" s="1"/>
    </row>
    <row r="100" spans="2:9" ht="15.75" customHeight="1" x14ac:dyDescent="0.25">
      <c r="B100" s="1"/>
      <c r="C100" s="1"/>
      <c r="D100" s="1"/>
      <c r="E100" s="1"/>
      <c r="F100" s="1"/>
      <c r="G100" s="1"/>
      <c r="H100" s="1"/>
      <c r="I100" s="1"/>
    </row>
    <row r="101" spans="2:9" ht="15.75" customHeight="1" x14ac:dyDescent="0.25">
      <c r="B101" s="1"/>
      <c r="C101" s="1"/>
      <c r="D101" s="1"/>
      <c r="E101" s="1"/>
      <c r="F101" s="1"/>
      <c r="G101" s="1"/>
      <c r="H101" s="1"/>
      <c r="I101" s="1"/>
    </row>
    <row r="102" spans="2:9" ht="15.75" customHeight="1" x14ac:dyDescent="0.25">
      <c r="B102" s="1"/>
      <c r="C102" s="1"/>
      <c r="D102" s="1"/>
      <c r="E102" s="1"/>
      <c r="F102" s="1"/>
      <c r="G102" s="1"/>
      <c r="H102" s="1"/>
      <c r="I102" s="1"/>
    </row>
    <row r="103" spans="2:9" ht="15.75" customHeight="1" x14ac:dyDescent="0.25">
      <c r="B103" s="1"/>
      <c r="C103" s="1"/>
      <c r="D103" s="1"/>
      <c r="E103" s="1"/>
      <c r="F103" s="1"/>
      <c r="G103" s="1"/>
      <c r="H103" s="1"/>
      <c r="I103" s="1"/>
    </row>
    <row r="104" spans="2:9" ht="15.75" customHeight="1" x14ac:dyDescent="0.25">
      <c r="B104" s="1"/>
      <c r="C104" s="1"/>
      <c r="D104" s="1"/>
      <c r="E104" s="1"/>
      <c r="F104" s="1"/>
      <c r="G104" s="1"/>
      <c r="H104" s="1"/>
      <c r="I104" s="1"/>
    </row>
    <row r="105" spans="2:9" ht="15.75" customHeight="1" x14ac:dyDescent="0.25">
      <c r="B105" s="1"/>
      <c r="C105" s="1"/>
      <c r="D105" s="1"/>
      <c r="E105" s="1"/>
      <c r="F105" s="1"/>
      <c r="G105" s="1"/>
      <c r="H105" s="1"/>
      <c r="I105" s="1"/>
    </row>
    <row r="106" spans="2:9" ht="15.75" customHeight="1" x14ac:dyDescent="0.25">
      <c r="B106" s="1"/>
      <c r="C106" s="1"/>
      <c r="D106" s="1"/>
      <c r="E106" s="1"/>
      <c r="F106" s="1"/>
      <c r="G106" s="1"/>
      <c r="H106" s="1"/>
      <c r="I106" s="1"/>
    </row>
    <row r="107" spans="2:9" ht="15.75" customHeight="1" x14ac:dyDescent="0.25">
      <c r="B107" s="1"/>
      <c r="C107" s="1"/>
      <c r="D107" s="1"/>
      <c r="E107" s="1"/>
      <c r="F107" s="1"/>
      <c r="G107" s="1"/>
      <c r="H107" s="1"/>
      <c r="I107" s="1"/>
    </row>
    <row r="108" spans="2:9" ht="15.75" customHeight="1" x14ac:dyDescent="0.25">
      <c r="B108" s="1"/>
      <c r="C108" s="1"/>
      <c r="D108" s="1"/>
      <c r="E108" s="1"/>
      <c r="F108" s="1"/>
      <c r="G108" s="1"/>
      <c r="H108" s="1"/>
      <c r="I108" s="1"/>
    </row>
    <row r="109" spans="2:9" ht="15.75" customHeight="1" x14ac:dyDescent="0.25">
      <c r="B109" s="1"/>
      <c r="C109" s="1"/>
      <c r="D109" s="1"/>
      <c r="E109" s="1"/>
      <c r="F109" s="1"/>
      <c r="G109" s="1"/>
      <c r="H109" s="1"/>
      <c r="I109" s="1"/>
    </row>
    <row r="110" spans="2:9" ht="15.75" customHeight="1" x14ac:dyDescent="0.25">
      <c r="B110" s="1"/>
      <c r="C110" s="1"/>
      <c r="D110" s="1"/>
      <c r="E110" s="1"/>
      <c r="F110" s="1"/>
      <c r="G110" s="1"/>
      <c r="H110" s="1"/>
      <c r="I110" s="1"/>
    </row>
    <row r="111" spans="2:9" ht="15.75" customHeight="1" x14ac:dyDescent="0.25">
      <c r="B111" s="1"/>
      <c r="C111" s="1"/>
      <c r="D111" s="1"/>
      <c r="E111" s="1"/>
      <c r="F111" s="1"/>
      <c r="G111" s="1"/>
      <c r="H111" s="1"/>
      <c r="I111" s="1"/>
    </row>
    <row r="112" spans="2:9" ht="15.75" customHeight="1" x14ac:dyDescent="0.25">
      <c r="B112" s="1"/>
      <c r="C112" s="1"/>
      <c r="D112" s="1"/>
      <c r="E112" s="1"/>
      <c r="F112" s="1"/>
      <c r="G112" s="1"/>
      <c r="H112" s="1"/>
      <c r="I112" s="1"/>
    </row>
    <row r="113" spans="2:9" ht="15.75" customHeight="1" x14ac:dyDescent="0.25">
      <c r="B113" s="1"/>
      <c r="C113" s="1"/>
      <c r="D113" s="1"/>
      <c r="E113" s="1"/>
      <c r="F113" s="1"/>
      <c r="G113" s="1"/>
      <c r="H113" s="1"/>
      <c r="I113" s="1"/>
    </row>
    <row r="114" spans="2:9" ht="15.75" customHeight="1" x14ac:dyDescent="0.25">
      <c r="B114" s="1"/>
      <c r="C114" s="1"/>
      <c r="D114" s="1"/>
      <c r="E114" s="1"/>
      <c r="F114" s="1"/>
      <c r="G114" s="1"/>
      <c r="H114" s="1"/>
      <c r="I114" s="1"/>
    </row>
    <row r="115" spans="2:9" ht="15.75" customHeight="1" x14ac:dyDescent="0.25">
      <c r="B115" s="1"/>
      <c r="C115" s="1"/>
      <c r="D115" s="1"/>
      <c r="E115" s="1"/>
      <c r="F115" s="1"/>
      <c r="G115" s="1"/>
      <c r="H115" s="1"/>
      <c r="I115" s="1"/>
    </row>
    <row r="116" spans="2:9" ht="15.75" customHeight="1" x14ac:dyDescent="0.25">
      <c r="B116" s="1"/>
      <c r="C116" s="1"/>
      <c r="D116" s="1"/>
      <c r="E116" s="1"/>
      <c r="F116" s="1"/>
      <c r="G116" s="1"/>
      <c r="H116" s="1"/>
      <c r="I116" s="1"/>
    </row>
    <row r="117" spans="2:9" ht="15.75" customHeight="1" x14ac:dyDescent="0.25">
      <c r="B117" s="1"/>
      <c r="C117" s="1"/>
      <c r="D117" s="1"/>
      <c r="E117" s="1"/>
      <c r="F117" s="1"/>
      <c r="G117" s="1"/>
      <c r="H117" s="1"/>
      <c r="I117" s="1"/>
    </row>
    <row r="118" spans="2:9" ht="15.75" customHeight="1" x14ac:dyDescent="0.25">
      <c r="B118" s="1"/>
      <c r="C118" s="1"/>
      <c r="D118" s="1"/>
      <c r="E118" s="1"/>
      <c r="F118" s="1"/>
      <c r="G118" s="1"/>
      <c r="H118" s="1"/>
      <c r="I118" s="1"/>
    </row>
    <row r="119" spans="2:9" ht="15.75" customHeight="1" x14ac:dyDescent="0.25">
      <c r="B119" s="1"/>
      <c r="C119" s="1"/>
      <c r="D119" s="1"/>
      <c r="E119" s="1"/>
      <c r="F119" s="1"/>
      <c r="G119" s="1"/>
      <c r="H119" s="1"/>
      <c r="I119" s="1"/>
    </row>
    <row r="120" spans="2:9" ht="15.75" customHeight="1" x14ac:dyDescent="0.25">
      <c r="B120" s="1"/>
      <c r="C120" s="1"/>
      <c r="D120" s="1"/>
      <c r="E120" s="1"/>
      <c r="F120" s="1"/>
      <c r="G120" s="1"/>
      <c r="H120" s="1"/>
      <c r="I120" s="1"/>
    </row>
    <row r="121" spans="2:9" ht="15.75" customHeight="1" x14ac:dyDescent="0.25">
      <c r="B121" s="1"/>
      <c r="C121" s="1"/>
      <c r="D121" s="1"/>
      <c r="E121" s="1"/>
      <c r="F121" s="1"/>
      <c r="G121" s="1"/>
      <c r="H121" s="1"/>
      <c r="I121" s="1"/>
    </row>
    <row r="122" spans="2:9" ht="15.75" customHeight="1" x14ac:dyDescent="0.25">
      <c r="B122" s="1"/>
      <c r="C122" s="1"/>
      <c r="D122" s="1"/>
      <c r="E122" s="1"/>
      <c r="F122" s="1"/>
      <c r="G122" s="1"/>
      <c r="H122" s="1"/>
      <c r="I122" s="1"/>
    </row>
    <row r="123" spans="2:9" ht="15.75" customHeight="1" x14ac:dyDescent="0.25">
      <c r="B123" s="1"/>
      <c r="C123" s="1"/>
      <c r="D123" s="1"/>
      <c r="E123" s="1"/>
      <c r="F123" s="1"/>
      <c r="G123" s="1"/>
      <c r="H123" s="1"/>
      <c r="I123" s="1"/>
    </row>
    <row r="124" spans="2:9" ht="15.75" customHeight="1" x14ac:dyDescent="0.25">
      <c r="B124" s="1"/>
      <c r="C124" s="1"/>
      <c r="D124" s="1"/>
      <c r="E124" s="1"/>
      <c r="F124" s="1"/>
      <c r="G124" s="1"/>
      <c r="H124" s="1"/>
      <c r="I124" s="1"/>
    </row>
    <row r="125" spans="2:9" ht="15.75" customHeight="1" x14ac:dyDescent="0.25">
      <c r="B125" s="1"/>
      <c r="C125" s="1"/>
      <c r="D125" s="1"/>
      <c r="E125" s="1"/>
      <c r="F125" s="1"/>
      <c r="G125" s="1"/>
      <c r="H125" s="1"/>
      <c r="I125" s="1"/>
    </row>
    <row r="126" spans="2:9" ht="15.75" customHeight="1" x14ac:dyDescent="0.25">
      <c r="B126" s="1"/>
      <c r="C126" s="1"/>
      <c r="D126" s="1"/>
      <c r="E126" s="1"/>
      <c r="F126" s="1"/>
      <c r="G126" s="1"/>
      <c r="H126" s="1"/>
      <c r="I126" s="1"/>
    </row>
    <row r="127" spans="2:9" ht="15.75" customHeight="1" x14ac:dyDescent="0.25">
      <c r="B127" s="1"/>
      <c r="C127" s="1"/>
      <c r="D127" s="1"/>
      <c r="E127" s="1"/>
      <c r="F127" s="1"/>
      <c r="G127" s="1"/>
      <c r="H127" s="1"/>
      <c r="I127" s="1"/>
    </row>
    <row r="128" spans="2:9" ht="15.75" customHeight="1" x14ac:dyDescent="0.25">
      <c r="B128" s="1"/>
      <c r="C128" s="1"/>
      <c r="D128" s="1"/>
      <c r="E128" s="1"/>
      <c r="F128" s="1"/>
      <c r="G128" s="1"/>
      <c r="H128" s="1"/>
      <c r="I128" s="1"/>
    </row>
    <row r="129" spans="2:9" ht="15.75" customHeight="1" x14ac:dyDescent="0.25">
      <c r="B129" s="1"/>
      <c r="C129" s="1"/>
      <c r="D129" s="1"/>
      <c r="E129" s="1"/>
      <c r="F129" s="1"/>
      <c r="G129" s="1"/>
      <c r="H129" s="1"/>
      <c r="I129" s="1"/>
    </row>
    <row r="130" spans="2:9" ht="15.75" customHeight="1" x14ac:dyDescent="0.25">
      <c r="B130" s="1"/>
      <c r="C130" s="1"/>
      <c r="D130" s="1"/>
      <c r="E130" s="1"/>
      <c r="F130" s="1"/>
      <c r="G130" s="1"/>
      <c r="H130" s="1"/>
      <c r="I130" s="1"/>
    </row>
    <row r="131" spans="2:9" ht="15.75" customHeight="1" x14ac:dyDescent="0.25">
      <c r="B131" s="1"/>
      <c r="C131" s="1"/>
      <c r="D131" s="1"/>
      <c r="E131" s="1"/>
      <c r="F131" s="1"/>
      <c r="G131" s="1"/>
      <c r="H131" s="1"/>
      <c r="I131" s="1"/>
    </row>
    <row r="132" spans="2:9" ht="15.75" customHeight="1" x14ac:dyDescent="0.25">
      <c r="B132" s="1"/>
      <c r="C132" s="1"/>
      <c r="D132" s="1"/>
      <c r="E132" s="1"/>
      <c r="F132" s="1"/>
      <c r="G132" s="1"/>
      <c r="H132" s="1"/>
      <c r="I132" s="1"/>
    </row>
    <row r="133" spans="2:9" ht="15.75" customHeight="1" x14ac:dyDescent="0.25">
      <c r="B133" s="1"/>
      <c r="C133" s="1"/>
      <c r="D133" s="1"/>
      <c r="E133" s="1"/>
      <c r="F133" s="1"/>
      <c r="G133" s="1"/>
      <c r="H133" s="1"/>
      <c r="I133" s="1"/>
    </row>
    <row r="134" spans="2:9" ht="15.75" customHeight="1" x14ac:dyDescent="0.25">
      <c r="B134" s="1"/>
      <c r="C134" s="1"/>
      <c r="D134" s="1"/>
      <c r="E134" s="1"/>
      <c r="F134" s="1"/>
      <c r="G134" s="1"/>
      <c r="H134" s="1"/>
      <c r="I134" s="1"/>
    </row>
    <row r="135" spans="2:9" ht="15.75" customHeight="1" x14ac:dyDescent="0.25">
      <c r="B135" s="1"/>
      <c r="C135" s="1"/>
      <c r="D135" s="1"/>
      <c r="E135" s="1"/>
      <c r="F135" s="1"/>
      <c r="G135" s="1"/>
      <c r="H135" s="1"/>
      <c r="I135" s="1"/>
    </row>
    <row r="136" spans="2:9" ht="15.75" customHeight="1" x14ac:dyDescent="0.25">
      <c r="B136" s="1"/>
      <c r="C136" s="1"/>
      <c r="D136" s="1"/>
      <c r="E136" s="1"/>
      <c r="F136" s="1"/>
      <c r="G136" s="1"/>
      <c r="H136" s="1"/>
      <c r="I136" s="1"/>
    </row>
    <row r="137" spans="2:9" ht="15.75" customHeight="1" x14ac:dyDescent="0.25">
      <c r="B137" s="1"/>
      <c r="C137" s="1"/>
      <c r="D137" s="1"/>
      <c r="E137" s="1"/>
      <c r="F137" s="1"/>
      <c r="G137" s="1"/>
      <c r="H137" s="1"/>
      <c r="I137" s="1"/>
    </row>
    <row r="138" spans="2:9" ht="15.75" customHeight="1" x14ac:dyDescent="0.25">
      <c r="B138" s="1"/>
      <c r="C138" s="1"/>
      <c r="D138" s="1"/>
      <c r="E138" s="1"/>
      <c r="F138" s="1"/>
      <c r="G138" s="1"/>
      <c r="H138" s="1"/>
      <c r="I138" s="1"/>
    </row>
    <row r="139" spans="2:9" ht="15.75" customHeight="1" x14ac:dyDescent="0.25">
      <c r="B139" s="1"/>
      <c r="C139" s="1"/>
      <c r="D139" s="1"/>
      <c r="E139" s="1"/>
      <c r="F139" s="1"/>
      <c r="G139" s="1"/>
      <c r="H139" s="1"/>
      <c r="I139" s="1"/>
    </row>
    <row r="140" spans="2:9" ht="15.75" customHeight="1" x14ac:dyDescent="0.25">
      <c r="B140" s="1"/>
      <c r="C140" s="1"/>
      <c r="D140" s="1"/>
      <c r="E140" s="1"/>
      <c r="F140" s="1"/>
      <c r="G140" s="1"/>
      <c r="H140" s="1"/>
      <c r="I140" s="1"/>
    </row>
    <row r="141" spans="2:9" ht="15.75" customHeight="1" x14ac:dyDescent="0.25">
      <c r="B141" s="1"/>
      <c r="C141" s="1"/>
      <c r="D141" s="1"/>
      <c r="E141" s="1"/>
      <c r="F141" s="1"/>
      <c r="G141" s="1"/>
      <c r="H141" s="1"/>
      <c r="I141" s="1"/>
    </row>
    <row r="142" spans="2:9" ht="15.75" customHeight="1" x14ac:dyDescent="0.25">
      <c r="B142" s="1"/>
      <c r="C142" s="1"/>
      <c r="D142" s="1"/>
      <c r="E142" s="1"/>
      <c r="F142" s="1"/>
      <c r="G142" s="1"/>
      <c r="H142" s="1"/>
      <c r="I142" s="1"/>
    </row>
    <row r="143" spans="2:9" ht="15.75" customHeight="1" x14ac:dyDescent="0.25">
      <c r="B143" s="1"/>
      <c r="C143" s="1"/>
      <c r="D143" s="1"/>
      <c r="E143" s="1"/>
      <c r="F143" s="1"/>
      <c r="G143" s="1"/>
      <c r="H143" s="1"/>
      <c r="I143" s="1"/>
    </row>
    <row r="144" spans="2:9" ht="15.75" customHeight="1" x14ac:dyDescent="0.25">
      <c r="B144" s="1"/>
      <c r="C144" s="1"/>
      <c r="D144" s="1"/>
      <c r="E144" s="1"/>
      <c r="F144" s="1"/>
      <c r="G144" s="1"/>
      <c r="H144" s="1"/>
      <c r="I144" s="1"/>
    </row>
    <row r="145" spans="2:9" ht="15.75" customHeight="1" x14ac:dyDescent="0.25">
      <c r="B145" s="1"/>
      <c r="C145" s="1"/>
      <c r="D145" s="1"/>
      <c r="E145" s="1"/>
      <c r="F145" s="1"/>
      <c r="G145" s="1"/>
      <c r="H145" s="1"/>
      <c r="I145" s="1"/>
    </row>
    <row r="146" spans="2:9" ht="15.75" customHeight="1" x14ac:dyDescent="0.25">
      <c r="B146" s="1"/>
      <c r="C146" s="1"/>
      <c r="D146" s="1"/>
      <c r="E146" s="1"/>
      <c r="F146" s="1"/>
      <c r="G146" s="1"/>
      <c r="H146" s="1"/>
      <c r="I146" s="1"/>
    </row>
    <row r="147" spans="2:9" ht="15.75" customHeight="1" x14ac:dyDescent="0.25">
      <c r="B147" s="1"/>
      <c r="C147" s="1"/>
      <c r="D147" s="1"/>
      <c r="E147" s="1"/>
      <c r="F147" s="1"/>
      <c r="G147" s="1"/>
      <c r="H147" s="1"/>
      <c r="I147" s="1"/>
    </row>
    <row r="148" spans="2:9" ht="15.75" customHeight="1" x14ac:dyDescent="0.25">
      <c r="B148" s="1"/>
      <c r="C148" s="1"/>
      <c r="D148" s="1"/>
      <c r="E148" s="1"/>
      <c r="F148" s="1"/>
      <c r="G148" s="1"/>
      <c r="H148" s="1"/>
      <c r="I148" s="1"/>
    </row>
    <row r="149" spans="2:9" ht="15.75" customHeight="1" x14ac:dyDescent="0.25">
      <c r="B149" s="1"/>
      <c r="C149" s="1"/>
      <c r="D149" s="1"/>
      <c r="E149" s="1"/>
      <c r="F149" s="1"/>
      <c r="G149" s="1"/>
      <c r="H149" s="1"/>
      <c r="I149" s="1"/>
    </row>
    <row r="150" spans="2:9" ht="15.75" customHeight="1" x14ac:dyDescent="0.25">
      <c r="B150" s="1"/>
      <c r="C150" s="1"/>
      <c r="D150" s="1"/>
      <c r="E150" s="1"/>
      <c r="F150" s="1"/>
      <c r="G150" s="1"/>
      <c r="H150" s="1"/>
      <c r="I150" s="1"/>
    </row>
    <row r="151" spans="2:9" ht="15.75" customHeight="1" x14ac:dyDescent="0.25">
      <c r="B151" s="1"/>
      <c r="C151" s="1"/>
      <c r="D151" s="1"/>
      <c r="E151" s="1"/>
      <c r="F151" s="1"/>
      <c r="G151" s="1"/>
      <c r="H151" s="1"/>
      <c r="I151" s="1"/>
    </row>
    <row r="152" spans="2:9" ht="15.75" customHeight="1" x14ac:dyDescent="0.25">
      <c r="B152" s="1"/>
      <c r="C152" s="1"/>
      <c r="D152" s="1"/>
      <c r="E152" s="1"/>
      <c r="F152" s="1"/>
      <c r="G152" s="1"/>
      <c r="H152" s="1"/>
      <c r="I152" s="1"/>
    </row>
    <row r="153" spans="2:9" ht="15.75" customHeight="1" x14ac:dyDescent="0.25">
      <c r="B153" s="1"/>
      <c r="C153" s="1"/>
      <c r="D153" s="1"/>
      <c r="E153" s="1"/>
      <c r="F153" s="1"/>
      <c r="G153" s="1"/>
      <c r="H153" s="1"/>
      <c r="I153" s="1"/>
    </row>
    <row r="154" spans="2:9" ht="15.75" customHeight="1" x14ac:dyDescent="0.25">
      <c r="B154" s="1"/>
      <c r="C154" s="1"/>
      <c r="D154" s="1"/>
      <c r="E154" s="1"/>
      <c r="F154" s="1"/>
      <c r="G154" s="1"/>
      <c r="H154" s="1"/>
      <c r="I154" s="1"/>
    </row>
    <row r="155" spans="2:9" ht="15.75" customHeight="1" x14ac:dyDescent="0.25">
      <c r="B155" s="1"/>
      <c r="C155" s="1"/>
      <c r="D155" s="1"/>
      <c r="E155" s="1"/>
      <c r="F155" s="1"/>
      <c r="G155" s="1"/>
      <c r="H155" s="1"/>
      <c r="I155" s="1"/>
    </row>
    <row r="156" spans="2:9" ht="15.75" customHeight="1" x14ac:dyDescent="0.25">
      <c r="B156" s="1"/>
      <c r="C156" s="1"/>
      <c r="D156" s="1"/>
      <c r="E156" s="1"/>
      <c r="F156" s="1"/>
      <c r="G156" s="1"/>
      <c r="H156" s="1"/>
      <c r="I156" s="1"/>
    </row>
    <row r="157" spans="2:9" ht="15.75" customHeight="1" x14ac:dyDescent="0.25">
      <c r="B157" s="1"/>
      <c r="C157" s="1"/>
      <c r="D157" s="1"/>
      <c r="E157" s="1"/>
      <c r="F157" s="1"/>
      <c r="G157" s="1"/>
      <c r="H157" s="1"/>
      <c r="I157" s="1"/>
    </row>
    <row r="158" spans="2:9" ht="15.75" customHeight="1" x14ac:dyDescent="0.25">
      <c r="B158" s="1"/>
      <c r="C158" s="1"/>
      <c r="D158" s="1"/>
      <c r="E158" s="1"/>
      <c r="F158" s="1"/>
      <c r="G158" s="1"/>
      <c r="H158" s="1"/>
      <c r="I158" s="1"/>
    </row>
    <row r="159" spans="2:9" ht="15.75" customHeight="1" x14ac:dyDescent="0.25">
      <c r="B159" s="1"/>
      <c r="C159" s="1"/>
      <c r="D159" s="1"/>
      <c r="E159" s="1"/>
      <c r="F159" s="1"/>
      <c r="G159" s="1"/>
      <c r="H159" s="1"/>
      <c r="I159" s="1"/>
    </row>
    <row r="160" spans="2:9" ht="15.75" customHeight="1" x14ac:dyDescent="0.25">
      <c r="B160" s="1"/>
      <c r="C160" s="1"/>
      <c r="D160" s="1"/>
      <c r="E160" s="1"/>
      <c r="F160" s="1"/>
      <c r="G160" s="1"/>
      <c r="H160" s="1"/>
      <c r="I160" s="1"/>
    </row>
    <row r="161" spans="2:9" ht="15.75" customHeight="1" x14ac:dyDescent="0.25">
      <c r="B161" s="1"/>
      <c r="C161" s="1"/>
      <c r="D161" s="1"/>
      <c r="E161" s="1"/>
      <c r="F161" s="1"/>
      <c r="G161" s="1"/>
      <c r="H161" s="1"/>
      <c r="I161" s="1"/>
    </row>
    <row r="162" spans="2:9" ht="15.75" customHeight="1" x14ac:dyDescent="0.25">
      <c r="B162" s="1"/>
      <c r="C162" s="1"/>
      <c r="D162" s="1"/>
      <c r="E162" s="1"/>
      <c r="F162" s="1"/>
      <c r="G162" s="1"/>
      <c r="H162" s="1"/>
      <c r="I162" s="1"/>
    </row>
    <row r="163" spans="2:9" ht="15.75" customHeight="1" x14ac:dyDescent="0.25">
      <c r="B163" s="1"/>
      <c r="C163" s="1"/>
      <c r="D163" s="1"/>
      <c r="E163" s="1"/>
      <c r="F163" s="1"/>
      <c r="G163" s="1"/>
      <c r="H163" s="1"/>
      <c r="I163" s="1"/>
    </row>
    <row r="164" spans="2:9" ht="15.75" customHeight="1" x14ac:dyDescent="0.25">
      <c r="B164" s="1"/>
      <c r="C164" s="1"/>
      <c r="D164" s="1"/>
      <c r="E164" s="1"/>
      <c r="F164" s="1"/>
      <c r="G164" s="1"/>
      <c r="H164" s="1"/>
      <c r="I164" s="1"/>
    </row>
    <row r="165" spans="2:9" ht="15.75" customHeight="1" x14ac:dyDescent="0.25">
      <c r="B165" s="1"/>
      <c r="C165" s="1"/>
      <c r="D165" s="1"/>
      <c r="E165" s="1"/>
      <c r="F165" s="1"/>
      <c r="G165" s="1"/>
      <c r="H165" s="1"/>
      <c r="I165" s="1"/>
    </row>
    <row r="166" spans="2:9" ht="15.75" customHeight="1" x14ac:dyDescent="0.25">
      <c r="B166" s="1"/>
      <c r="C166" s="1"/>
      <c r="D166" s="1"/>
      <c r="E166" s="1"/>
      <c r="F166" s="1"/>
      <c r="G166" s="1"/>
      <c r="H166" s="1"/>
      <c r="I166" s="1"/>
    </row>
    <row r="167" spans="2:9" ht="15.75" customHeight="1" x14ac:dyDescent="0.25">
      <c r="B167" s="1"/>
      <c r="C167" s="1"/>
      <c r="D167" s="1"/>
      <c r="E167" s="1"/>
      <c r="F167" s="1"/>
      <c r="G167" s="1"/>
      <c r="H167" s="1"/>
      <c r="I167" s="1"/>
    </row>
    <row r="168" spans="2:9" ht="15.75" customHeight="1" x14ac:dyDescent="0.25">
      <c r="B168" s="1"/>
      <c r="C168" s="1"/>
      <c r="D168" s="1"/>
      <c r="E168" s="1"/>
      <c r="F168" s="1"/>
      <c r="G168" s="1"/>
      <c r="H168" s="1"/>
      <c r="I168" s="1"/>
    </row>
    <row r="169" spans="2:9" ht="15.75" customHeight="1" x14ac:dyDescent="0.25">
      <c r="B169" s="1"/>
      <c r="C169" s="1"/>
      <c r="D169" s="1"/>
      <c r="E169" s="1"/>
      <c r="F169" s="1"/>
      <c r="G169" s="1"/>
      <c r="H169" s="1"/>
      <c r="I169" s="1"/>
    </row>
    <row r="170" spans="2:9" ht="15.75" customHeight="1" x14ac:dyDescent="0.25">
      <c r="B170" s="1"/>
      <c r="C170" s="1"/>
      <c r="D170" s="1"/>
      <c r="E170" s="1"/>
      <c r="F170" s="1"/>
      <c r="G170" s="1"/>
      <c r="H170" s="1"/>
      <c r="I170" s="1"/>
    </row>
    <row r="171" spans="2:9" ht="15.75" customHeight="1" x14ac:dyDescent="0.25">
      <c r="B171" s="1"/>
      <c r="C171" s="1"/>
      <c r="D171" s="1"/>
      <c r="E171" s="1"/>
      <c r="F171" s="1"/>
      <c r="G171" s="1"/>
      <c r="H171" s="1"/>
      <c r="I171" s="1"/>
    </row>
    <row r="172" spans="2:9" ht="15.75" customHeight="1" x14ac:dyDescent="0.25">
      <c r="B172" s="1"/>
      <c r="C172" s="1"/>
      <c r="D172" s="1"/>
      <c r="E172" s="1"/>
      <c r="F172" s="1"/>
      <c r="G172" s="1"/>
      <c r="H172" s="1"/>
      <c r="I172" s="1"/>
    </row>
    <row r="173" spans="2:9" ht="15.75" customHeight="1" x14ac:dyDescent="0.25">
      <c r="B173" s="1"/>
      <c r="C173" s="1"/>
      <c r="D173" s="1"/>
      <c r="E173" s="1"/>
      <c r="F173" s="1"/>
      <c r="G173" s="1"/>
      <c r="H173" s="1"/>
      <c r="I173" s="1"/>
    </row>
    <row r="174" spans="2:9" ht="15.75" customHeight="1" x14ac:dyDescent="0.25">
      <c r="B174" s="1"/>
      <c r="C174" s="1"/>
      <c r="D174" s="1"/>
      <c r="E174" s="1"/>
      <c r="F174" s="1"/>
      <c r="G174" s="1"/>
      <c r="H174" s="1"/>
      <c r="I174" s="1"/>
    </row>
    <row r="175" spans="2:9" ht="15.75" customHeight="1" x14ac:dyDescent="0.25">
      <c r="B175" s="1"/>
      <c r="C175" s="1"/>
      <c r="D175" s="1"/>
      <c r="E175" s="1"/>
      <c r="F175" s="1"/>
      <c r="G175" s="1"/>
      <c r="H175" s="1"/>
      <c r="I175" s="1"/>
    </row>
    <row r="176" spans="2:9" ht="15.75" customHeight="1" x14ac:dyDescent="0.25">
      <c r="B176" s="1"/>
      <c r="C176" s="1"/>
      <c r="D176" s="1"/>
      <c r="E176" s="1"/>
      <c r="F176" s="1"/>
      <c r="G176" s="1"/>
      <c r="H176" s="1"/>
      <c r="I176" s="1"/>
    </row>
    <row r="177" spans="2:9" ht="15.75" customHeight="1" x14ac:dyDescent="0.25">
      <c r="B177" s="1"/>
      <c r="C177" s="1"/>
      <c r="D177" s="1"/>
      <c r="E177" s="1"/>
      <c r="F177" s="1"/>
      <c r="G177" s="1"/>
      <c r="H177" s="1"/>
      <c r="I177" s="1"/>
    </row>
    <row r="178" spans="2:9" ht="15.75" customHeight="1" x14ac:dyDescent="0.25">
      <c r="B178" s="1"/>
      <c r="C178" s="1"/>
      <c r="D178" s="1"/>
      <c r="E178" s="1"/>
      <c r="F178" s="1"/>
      <c r="G178" s="1"/>
      <c r="H178" s="1"/>
      <c r="I178" s="1"/>
    </row>
    <row r="179" spans="2:9" ht="15.75" customHeight="1" x14ac:dyDescent="0.25">
      <c r="B179" s="1"/>
      <c r="C179" s="1"/>
      <c r="D179" s="1"/>
      <c r="E179" s="1"/>
      <c r="F179" s="1"/>
      <c r="G179" s="1"/>
      <c r="H179" s="1"/>
      <c r="I179" s="1"/>
    </row>
    <row r="180" spans="2:9" ht="15.75" customHeight="1" x14ac:dyDescent="0.25">
      <c r="B180" s="1"/>
      <c r="C180" s="1"/>
      <c r="D180" s="1"/>
      <c r="E180" s="1"/>
      <c r="F180" s="1"/>
      <c r="G180" s="1"/>
      <c r="H180" s="1"/>
      <c r="I180" s="1"/>
    </row>
    <row r="181" spans="2:9" ht="15.75" customHeight="1" x14ac:dyDescent="0.25">
      <c r="B181" s="1"/>
      <c r="C181" s="1"/>
      <c r="D181" s="1"/>
      <c r="E181" s="1"/>
      <c r="F181" s="1"/>
      <c r="G181" s="1"/>
      <c r="H181" s="1"/>
      <c r="I181" s="1"/>
    </row>
    <row r="182" spans="2:9" ht="15.75" customHeight="1" x14ac:dyDescent="0.25">
      <c r="B182" s="1"/>
      <c r="C182" s="1"/>
      <c r="D182" s="1"/>
      <c r="E182" s="1"/>
      <c r="F182" s="1"/>
      <c r="G182" s="1"/>
      <c r="H182" s="1"/>
      <c r="I182" s="1"/>
    </row>
    <row r="183" spans="2:9" ht="15.75" customHeight="1" x14ac:dyDescent="0.25">
      <c r="B183" s="1"/>
      <c r="C183" s="1"/>
      <c r="D183" s="1"/>
      <c r="E183" s="1"/>
      <c r="F183" s="1"/>
      <c r="G183" s="1"/>
      <c r="H183" s="1"/>
      <c r="I183" s="1"/>
    </row>
    <row r="184" spans="2:9" ht="15.75" customHeight="1" x14ac:dyDescent="0.25">
      <c r="B184" s="1"/>
      <c r="C184" s="1"/>
      <c r="D184" s="1"/>
      <c r="E184" s="1"/>
      <c r="F184" s="1"/>
      <c r="G184" s="1"/>
      <c r="H184" s="1"/>
      <c r="I184" s="1"/>
    </row>
    <row r="185" spans="2:9" ht="15.75" customHeight="1" x14ac:dyDescent="0.25">
      <c r="B185" s="1"/>
      <c r="C185" s="1"/>
      <c r="D185" s="1"/>
      <c r="E185" s="1"/>
      <c r="F185" s="1"/>
      <c r="G185" s="1"/>
      <c r="H185" s="1"/>
      <c r="I185" s="1"/>
    </row>
    <row r="186" spans="2:9" ht="15.75" customHeight="1" x14ac:dyDescent="0.25">
      <c r="B186" s="1"/>
      <c r="C186" s="1"/>
      <c r="D186" s="1"/>
      <c r="E186" s="1"/>
      <c r="F186" s="1"/>
      <c r="G186" s="1"/>
      <c r="H186" s="1"/>
      <c r="I186" s="1"/>
    </row>
    <row r="187" spans="2:9" ht="15.75" customHeight="1" x14ac:dyDescent="0.25">
      <c r="B187" s="1"/>
      <c r="C187" s="1"/>
      <c r="D187" s="1"/>
      <c r="E187" s="1"/>
      <c r="F187" s="1"/>
      <c r="G187" s="1"/>
      <c r="H187" s="1"/>
      <c r="I187" s="1"/>
    </row>
    <row r="188" spans="2:9" ht="15.75" customHeight="1" x14ac:dyDescent="0.25">
      <c r="B188" s="1"/>
      <c r="C188" s="1"/>
      <c r="D188" s="1"/>
      <c r="E188" s="1"/>
      <c r="F188" s="1"/>
      <c r="G188" s="1"/>
      <c r="H188" s="1"/>
      <c r="I188" s="1"/>
    </row>
    <row r="189" spans="2:9" ht="15.75" customHeight="1" x14ac:dyDescent="0.25">
      <c r="B189" s="1"/>
      <c r="C189" s="1"/>
      <c r="D189" s="1"/>
      <c r="E189" s="1"/>
      <c r="F189" s="1"/>
      <c r="G189" s="1"/>
      <c r="H189" s="1"/>
      <c r="I189" s="1"/>
    </row>
    <row r="190" spans="2:9" ht="15.75" customHeight="1" x14ac:dyDescent="0.25">
      <c r="B190" s="1"/>
      <c r="C190" s="1"/>
      <c r="D190" s="1"/>
      <c r="E190" s="1"/>
      <c r="F190" s="1"/>
      <c r="G190" s="1"/>
      <c r="H190" s="1"/>
      <c r="I190" s="1"/>
    </row>
    <row r="191" spans="2:9" ht="15.75" customHeight="1" x14ac:dyDescent="0.25">
      <c r="B191" s="1"/>
      <c r="C191" s="1"/>
      <c r="D191" s="1"/>
      <c r="E191" s="1"/>
      <c r="F191" s="1"/>
      <c r="G191" s="1"/>
      <c r="H191" s="1"/>
      <c r="I191" s="1"/>
    </row>
    <row r="192" spans="2:9" ht="15.75" customHeight="1" x14ac:dyDescent="0.25">
      <c r="B192" s="1"/>
      <c r="C192" s="1"/>
      <c r="D192" s="1"/>
      <c r="E192" s="1"/>
      <c r="F192" s="1"/>
      <c r="G192" s="1"/>
      <c r="H192" s="1"/>
      <c r="I192" s="1"/>
    </row>
    <row r="193" spans="2:9" ht="15.75" customHeight="1" x14ac:dyDescent="0.25">
      <c r="B193" s="1"/>
      <c r="C193" s="1"/>
      <c r="D193" s="1"/>
      <c r="E193" s="1"/>
      <c r="F193" s="1"/>
      <c r="G193" s="1"/>
      <c r="H193" s="1"/>
      <c r="I193" s="1"/>
    </row>
    <row r="194" spans="2:9" ht="15.75" customHeight="1" x14ac:dyDescent="0.25">
      <c r="B194" s="1"/>
      <c r="C194" s="1"/>
      <c r="D194" s="1"/>
      <c r="E194" s="1"/>
      <c r="F194" s="1"/>
      <c r="G194" s="1"/>
      <c r="H194" s="1"/>
      <c r="I194" s="1"/>
    </row>
    <row r="195" spans="2:9" ht="15.75" customHeight="1" x14ac:dyDescent="0.25">
      <c r="B195" s="1"/>
      <c r="C195" s="1"/>
      <c r="D195" s="1"/>
      <c r="E195" s="1"/>
      <c r="F195" s="1"/>
      <c r="G195" s="1"/>
      <c r="H195" s="1"/>
      <c r="I195" s="1"/>
    </row>
    <row r="196" spans="2:9" ht="15.75" customHeight="1" x14ac:dyDescent="0.25">
      <c r="B196" s="1"/>
      <c r="C196" s="1"/>
      <c r="D196" s="1"/>
      <c r="E196" s="1"/>
      <c r="F196" s="1"/>
      <c r="G196" s="1"/>
      <c r="H196" s="1"/>
      <c r="I196" s="1"/>
    </row>
    <row r="197" spans="2:9" ht="15.75" customHeight="1" x14ac:dyDescent="0.25">
      <c r="B197" s="1"/>
      <c r="C197" s="1"/>
      <c r="D197" s="1"/>
      <c r="E197" s="1"/>
      <c r="F197" s="1"/>
      <c r="G197" s="1"/>
      <c r="H197" s="1"/>
      <c r="I197" s="1"/>
    </row>
    <row r="198" spans="2:9" ht="15.75" customHeight="1" x14ac:dyDescent="0.25">
      <c r="B198" s="1"/>
      <c r="C198" s="1"/>
      <c r="D198" s="1"/>
      <c r="E198" s="1"/>
      <c r="F198" s="1"/>
      <c r="G198" s="1"/>
      <c r="H198" s="1"/>
      <c r="I198" s="1"/>
    </row>
    <row r="199" spans="2:9" ht="15.75" customHeight="1" x14ac:dyDescent="0.25">
      <c r="B199" s="1"/>
      <c r="C199" s="1"/>
      <c r="D199" s="1"/>
      <c r="E199" s="1"/>
      <c r="F199" s="1"/>
      <c r="G199" s="1"/>
      <c r="H199" s="1"/>
      <c r="I199" s="1"/>
    </row>
    <row r="200" spans="2:9" ht="15.75" customHeight="1" x14ac:dyDescent="0.25">
      <c r="B200" s="1"/>
      <c r="C200" s="1"/>
      <c r="D200" s="1"/>
      <c r="E200" s="1"/>
      <c r="F200" s="1"/>
      <c r="G200" s="1"/>
      <c r="H200" s="1"/>
      <c r="I200" s="1"/>
    </row>
    <row r="201" spans="2:9" ht="15.75" customHeight="1" x14ac:dyDescent="0.25">
      <c r="B201" s="1"/>
      <c r="C201" s="1"/>
      <c r="D201" s="1"/>
      <c r="E201" s="1"/>
      <c r="F201" s="1"/>
      <c r="G201" s="1"/>
      <c r="H201" s="1"/>
      <c r="I201" s="1"/>
    </row>
    <row r="202" spans="2:9" ht="15.75" customHeight="1" x14ac:dyDescent="0.25">
      <c r="B202" s="1"/>
      <c r="C202" s="1"/>
      <c r="D202" s="1"/>
      <c r="E202" s="1"/>
      <c r="F202" s="1"/>
      <c r="G202" s="1"/>
      <c r="H202" s="1"/>
      <c r="I202" s="1"/>
    </row>
    <row r="203" spans="2:9" ht="15.75" customHeight="1" x14ac:dyDescent="0.25">
      <c r="B203" s="1"/>
      <c r="C203" s="1"/>
      <c r="D203" s="1"/>
      <c r="E203" s="1"/>
      <c r="F203" s="1"/>
      <c r="G203" s="1"/>
      <c r="H203" s="1"/>
      <c r="I203" s="1"/>
    </row>
    <row r="204" spans="2:9" ht="15.75" customHeight="1" x14ac:dyDescent="0.25">
      <c r="B204" s="1"/>
      <c r="C204" s="1"/>
      <c r="D204" s="1"/>
      <c r="E204" s="1"/>
      <c r="F204" s="1"/>
      <c r="G204" s="1"/>
      <c r="H204" s="1"/>
      <c r="I204" s="1"/>
    </row>
    <row r="205" spans="2:9" ht="15.75" customHeight="1" x14ac:dyDescent="0.25">
      <c r="B205" s="1"/>
      <c r="C205" s="1"/>
      <c r="D205" s="1"/>
      <c r="E205" s="1"/>
      <c r="F205" s="1"/>
      <c r="G205" s="1"/>
      <c r="H205" s="1"/>
      <c r="I205" s="1"/>
    </row>
    <row r="206" spans="2:9" ht="15.75" customHeight="1" x14ac:dyDescent="0.25">
      <c r="B206" s="1"/>
      <c r="C206" s="1"/>
      <c r="D206" s="1"/>
      <c r="E206" s="1"/>
      <c r="F206" s="1"/>
      <c r="G206" s="1"/>
      <c r="H206" s="1"/>
      <c r="I206" s="1"/>
    </row>
    <row r="207" spans="2:9" ht="15.75" customHeight="1" x14ac:dyDescent="0.25">
      <c r="B207" s="1"/>
      <c r="C207" s="1"/>
      <c r="D207" s="1"/>
      <c r="E207" s="1"/>
      <c r="F207" s="1"/>
      <c r="G207" s="1"/>
      <c r="H207" s="1"/>
      <c r="I207" s="1"/>
    </row>
    <row r="208" spans="2:9" ht="15.75" customHeight="1" x14ac:dyDescent="0.25">
      <c r="B208" s="1"/>
      <c r="C208" s="1"/>
      <c r="D208" s="1"/>
      <c r="E208" s="1"/>
      <c r="F208" s="1"/>
      <c r="G208" s="1"/>
      <c r="H208" s="1"/>
      <c r="I208" s="1"/>
    </row>
    <row r="209" spans="2:9" ht="15.75" customHeight="1" x14ac:dyDescent="0.25">
      <c r="B209" s="1"/>
      <c r="C209" s="1"/>
      <c r="D209" s="1"/>
      <c r="E209" s="1"/>
      <c r="F209" s="1"/>
      <c r="G209" s="1"/>
      <c r="H209" s="1"/>
      <c r="I209" s="1"/>
    </row>
    <row r="210" spans="2:9" ht="15.75" customHeight="1" x14ac:dyDescent="0.25">
      <c r="B210" s="1"/>
      <c r="C210" s="1"/>
      <c r="D210" s="1"/>
      <c r="E210" s="1"/>
      <c r="F210" s="1"/>
      <c r="G210" s="1"/>
      <c r="H210" s="1"/>
      <c r="I210" s="1"/>
    </row>
    <row r="211" spans="2:9" ht="15.75" customHeight="1" x14ac:dyDescent="0.25">
      <c r="B211" s="1"/>
      <c r="C211" s="1"/>
      <c r="D211" s="1"/>
      <c r="E211" s="1"/>
      <c r="F211" s="1"/>
      <c r="G211" s="1"/>
      <c r="H211" s="1"/>
      <c r="I211" s="1"/>
    </row>
    <row r="212" spans="2:9" ht="15.75" customHeight="1" x14ac:dyDescent="0.25">
      <c r="B212" s="1"/>
      <c r="C212" s="1"/>
      <c r="D212" s="1"/>
      <c r="E212" s="1"/>
      <c r="F212" s="1"/>
      <c r="G212" s="1"/>
      <c r="H212" s="1"/>
      <c r="I212" s="1"/>
    </row>
    <row r="213" spans="2:9" ht="15.75" customHeight="1" x14ac:dyDescent="0.25">
      <c r="B213" s="1"/>
      <c r="C213" s="1"/>
      <c r="D213" s="1"/>
      <c r="E213" s="1"/>
      <c r="F213" s="1"/>
      <c r="G213" s="1"/>
      <c r="H213" s="1"/>
      <c r="I213" s="1"/>
    </row>
    <row r="214" spans="2:9" ht="15.75" customHeight="1" x14ac:dyDescent="0.25">
      <c r="B214" s="1"/>
      <c r="C214" s="1"/>
      <c r="D214" s="1"/>
      <c r="E214" s="1"/>
      <c r="F214" s="1"/>
      <c r="G214" s="1"/>
      <c r="H214" s="1"/>
      <c r="I214" s="1"/>
    </row>
    <row r="215" spans="2:9" ht="15.75" customHeight="1" x14ac:dyDescent="0.25">
      <c r="B215" s="1"/>
      <c r="C215" s="1"/>
      <c r="D215" s="1"/>
      <c r="E215" s="1"/>
      <c r="F215" s="1"/>
      <c r="G215" s="1"/>
      <c r="H215" s="1"/>
      <c r="I215" s="1"/>
    </row>
    <row r="216" spans="2:9" ht="15.75" customHeight="1" x14ac:dyDescent="0.25">
      <c r="B216" s="1"/>
      <c r="C216" s="1"/>
      <c r="D216" s="1"/>
      <c r="E216" s="1"/>
      <c r="F216" s="1"/>
      <c r="G216" s="1"/>
      <c r="H216" s="1"/>
      <c r="I216" s="1"/>
    </row>
    <row r="217" spans="2:9" ht="15.75" customHeight="1" x14ac:dyDescent="0.25">
      <c r="B217" s="1"/>
      <c r="C217" s="1"/>
      <c r="D217" s="1"/>
      <c r="E217" s="1"/>
      <c r="F217" s="1"/>
      <c r="G217" s="1"/>
      <c r="H217" s="1"/>
      <c r="I217" s="1"/>
    </row>
    <row r="218" spans="2:9" ht="15.75" customHeight="1" x14ac:dyDescent="0.25">
      <c r="B218" s="1"/>
      <c r="C218" s="1"/>
      <c r="D218" s="1"/>
      <c r="E218" s="1"/>
      <c r="F218" s="1"/>
      <c r="G218" s="1"/>
      <c r="H218" s="1"/>
      <c r="I218" s="1"/>
    </row>
    <row r="219" spans="2:9" ht="15.75" customHeight="1" x14ac:dyDescent="0.25">
      <c r="B219" s="1"/>
      <c r="C219" s="1"/>
      <c r="D219" s="1"/>
      <c r="E219" s="1"/>
      <c r="F219" s="1"/>
      <c r="G219" s="1"/>
      <c r="H219" s="1"/>
      <c r="I219" s="1"/>
    </row>
    <row r="220" spans="2:9" ht="15.75" customHeight="1" x14ac:dyDescent="0.25">
      <c r="B220" s="1"/>
      <c r="C220" s="1"/>
      <c r="D220" s="1"/>
      <c r="E220" s="1"/>
      <c r="F220" s="1"/>
      <c r="G220" s="1"/>
      <c r="H220" s="1"/>
      <c r="I220" s="1"/>
    </row>
    <row r="221" spans="2:9" ht="15.75" customHeight="1" x14ac:dyDescent="0.25">
      <c r="B221" s="1"/>
      <c r="C221" s="1"/>
      <c r="D221" s="1"/>
      <c r="E221" s="1"/>
      <c r="F221" s="1"/>
      <c r="G221" s="1"/>
      <c r="H221" s="1"/>
      <c r="I221" s="1"/>
    </row>
    <row r="222" spans="2:9" ht="15.75" customHeight="1" x14ac:dyDescent="0.25">
      <c r="B222" s="1"/>
      <c r="C222" s="1"/>
      <c r="D222" s="1"/>
      <c r="E222" s="1"/>
      <c r="F222" s="1"/>
      <c r="G222" s="1"/>
      <c r="H222" s="1"/>
      <c r="I222" s="1"/>
    </row>
    <row r="223" spans="2:9" ht="15.75" customHeight="1" x14ac:dyDescent="0.25">
      <c r="B223" s="1"/>
      <c r="C223" s="1"/>
      <c r="D223" s="1"/>
      <c r="E223" s="1"/>
      <c r="F223" s="1"/>
      <c r="G223" s="1"/>
      <c r="H223" s="1"/>
      <c r="I223" s="1"/>
    </row>
    <row r="224" spans="2:9" ht="15.75" customHeight="1" x14ac:dyDescent="0.25">
      <c r="B224" s="1"/>
      <c r="C224" s="1"/>
      <c r="D224" s="1"/>
      <c r="E224" s="1"/>
      <c r="F224" s="1"/>
      <c r="G224" s="1"/>
      <c r="H224" s="1"/>
      <c r="I224" s="1"/>
    </row>
    <row r="225" spans="2:9" ht="15.75" customHeight="1" x14ac:dyDescent="0.25">
      <c r="B225" s="1"/>
      <c r="C225" s="1"/>
      <c r="D225" s="1"/>
      <c r="E225" s="1"/>
      <c r="F225" s="1"/>
      <c r="G225" s="1"/>
      <c r="H225" s="1"/>
      <c r="I225" s="1"/>
    </row>
    <row r="226" spans="2:9" ht="15.75" customHeight="1" x14ac:dyDescent="0.25">
      <c r="B226" s="1"/>
      <c r="C226" s="1"/>
      <c r="D226" s="1"/>
      <c r="E226" s="1"/>
      <c r="F226" s="1"/>
      <c r="G226" s="1"/>
      <c r="H226" s="1"/>
      <c r="I226" s="1"/>
    </row>
    <row r="227" spans="2:9" ht="15.75" customHeight="1" x14ac:dyDescent="0.25">
      <c r="B227" s="1"/>
      <c r="C227" s="1"/>
      <c r="D227" s="1"/>
      <c r="E227" s="1"/>
      <c r="F227" s="1"/>
      <c r="G227" s="1"/>
      <c r="H227" s="1"/>
      <c r="I227" s="1"/>
    </row>
    <row r="228" spans="2:9" ht="15.75" customHeight="1" x14ac:dyDescent="0.25">
      <c r="B228" s="1"/>
      <c r="C228" s="1"/>
      <c r="D228" s="1"/>
      <c r="E228" s="1"/>
      <c r="F228" s="1"/>
      <c r="G228" s="1"/>
      <c r="H228" s="1"/>
      <c r="I228" s="1"/>
    </row>
    <row r="229" spans="2:9" ht="15.75" customHeight="1" x14ac:dyDescent="0.25">
      <c r="B229" s="1"/>
      <c r="C229" s="1"/>
      <c r="D229" s="1"/>
      <c r="E229" s="1"/>
      <c r="F229" s="1"/>
      <c r="G229" s="1"/>
      <c r="H229" s="1"/>
      <c r="I229" s="1"/>
    </row>
    <row r="230" spans="2:9" ht="15.75" customHeight="1" x14ac:dyDescent="0.25">
      <c r="B230" s="1"/>
      <c r="C230" s="1"/>
      <c r="D230" s="1"/>
      <c r="E230" s="1"/>
      <c r="F230" s="1"/>
      <c r="G230" s="1"/>
      <c r="H230" s="1"/>
      <c r="I230" s="1"/>
    </row>
    <row r="231" spans="2:9" ht="15.75" customHeight="1" x14ac:dyDescent="0.25">
      <c r="B231" s="1"/>
      <c r="C231" s="1"/>
      <c r="D231" s="1"/>
      <c r="E231" s="1"/>
      <c r="F231" s="1"/>
      <c r="G231" s="1"/>
      <c r="H231" s="1"/>
      <c r="I231" s="1"/>
    </row>
    <row r="232" spans="2:9" ht="15.75" customHeight="1" x14ac:dyDescent="0.25">
      <c r="B232" s="1"/>
      <c r="C232" s="1"/>
      <c r="D232" s="1"/>
      <c r="E232" s="1"/>
      <c r="F232" s="1"/>
      <c r="G232" s="1"/>
      <c r="H232" s="1"/>
      <c r="I232" s="1"/>
    </row>
    <row r="233" spans="2:9" ht="15.75" customHeight="1" x14ac:dyDescent="0.25">
      <c r="B233" s="1"/>
      <c r="C233" s="1"/>
      <c r="D233" s="1"/>
      <c r="E233" s="1"/>
      <c r="F233" s="1"/>
      <c r="G233" s="1"/>
      <c r="H233" s="1"/>
      <c r="I233" s="1"/>
    </row>
    <row r="234" spans="2:9" ht="15.75" customHeight="1" x14ac:dyDescent="0.25">
      <c r="B234" s="1"/>
      <c r="C234" s="1"/>
      <c r="D234" s="1"/>
      <c r="E234" s="1"/>
      <c r="F234" s="1"/>
      <c r="G234" s="1"/>
      <c r="H234" s="1"/>
      <c r="I234" s="1"/>
    </row>
    <row r="235" spans="2:9" ht="15.75" customHeight="1" x14ac:dyDescent="0.25">
      <c r="B235" s="1"/>
      <c r="C235" s="1"/>
      <c r="D235" s="1"/>
      <c r="E235" s="1"/>
      <c r="F235" s="1"/>
      <c r="G235" s="1"/>
      <c r="H235" s="1"/>
      <c r="I235" s="1"/>
    </row>
    <row r="236" spans="2:9" ht="15.75" customHeight="1" x14ac:dyDescent="0.25">
      <c r="B236" s="1"/>
      <c r="C236" s="1"/>
      <c r="D236" s="1"/>
      <c r="E236" s="1"/>
      <c r="F236" s="1"/>
      <c r="G236" s="1"/>
      <c r="H236" s="1"/>
      <c r="I236" s="1"/>
    </row>
    <row r="237" spans="2:9" ht="15.75" customHeight="1" x14ac:dyDescent="0.25">
      <c r="B237" s="1"/>
      <c r="C237" s="1"/>
      <c r="D237" s="1"/>
      <c r="E237" s="1"/>
      <c r="F237" s="1"/>
      <c r="G237" s="1"/>
      <c r="H237" s="1"/>
      <c r="I237" s="1"/>
    </row>
    <row r="238" spans="2:9" ht="15.75" customHeight="1" x14ac:dyDescent="0.25">
      <c r="B238" s="1"/>
      <c r="C238" s="1"/>
      <c r="D238" s="1"/>
      <c r="E238" s="1"/>
      <c r="F238" s="1"/>
      <c r="G238" s="1"/>
      <c r="H238" s="1"/>
      <c r="I238" s="1"/>
    </row>
    <row r="239" spans="2:9" ht="15.75" customHeight="1" x14ac:dyDescent="0.25">
      <c r="B239" s="1"/>
      <c r="C239" s="1"/>
      <c r="D239" s="1"/>
      <c r="E239" s="1"/>
      <c r="F239" s="1"/>
      <c r="G239" s="1"/>
      <c r="H239" s="1"/>
      <c r="I239" s="1"/>
    </row>
    <row r="240" spans="2:9" ht="15.75" customHeight="1" x14ac:dyDescent="0.25">
      <c r="B240" s="1"/>
      <c r="C240" s="1"/>
      <c r="D240" s="1"/>
      <c r="E240" s="1"/>
      <c r="F240" s="1"/>
      <c r="G240" s="1"/>
      <c r="H240" s="1"/>
      <c r="I240" s="1"/>
    </row>
    <row r="241" spans="2:9" ht="15.75" customHeight="1" x14ac:dyDescent="0.25">
      <c r="B241" s="1"/>
      <c r="C241" s="1"/>
      <c r="D241" s="1"/>
      <c r="E241" s="1"/>
      <c r="F241" s="1"/>
      <c r="G241" s="1"/>
      <c r="H241" s="1"/>
      <c r="I241" s="1"/>
    </row>
    <row r="242" spans="2:9" ht="15.75" customHeight="1" x14ac:dyDescent="0.25">
      <c r="B242" s="1"/>
      <c r="C242" s="1"/>
      <c r="D242" s="1"/>
      <c r="E242" s="1"/>
      <c r="F242" s="1"/>
      <c r="G242" s="1"/>
      <c r="H242" s="1"/>
      <c r="I242" s="1"/>
    </row>
    <row r="243" spans="2:9" ht="15.75" customHeight="1" x14ac:dyDescent="0.25">
      <c r="B243" s="1"/>
      <c r="C243" s="1"/>
      <c r="D243" s="1"/>
      <c r="E243" s="1"/>
      <c r="F243" s="1"/>
      <c r="G243" s="1"/>
      <c r="H243" s="1"/>
      <c r="I243" s="1"/>
    </row>
    <row r="244" spans="2:9" ht="15.75" customHeight="1" x14ac:dyDescent="0.25">
      <c r="B244" s="1"/>
      <c r="C244" s="1"/>
      <c r="D244" s="1"/>
      <c r="E244" s="1"/>
      <c r="F244" s="1"/>
      <c r="G244" s="1"/>
      <c r="H244" s="1"/>
      <c r="I244" s="1"/>
    </row>
    <row r="245" spans="2:9" ht="15.75" customHeight="1" x14ac:dyDescent="0.25">
      <c r="B245" s="1"/>
      <c r="C245" s="1"/>
      <c r="D245" s="1"/>
      <c r="E245" s="1"/>
      <c r="F245" s="1"/>
      <c r="G245" s="1"/>
      <c r="H245" s="1"/>
      <c r="I245" s="1"/>
    </row>
    <row r="246" spans="2:9" ht="15.75" customHeight="1" x14ac:dyDescent="0.25">
      <c r="B246" s="1"/>
      <c r="C246" s="1"/>
      <c r="D246" s="1"/>
      <c r="E246" s="1"/>
      <c r="F246" s="1"/>
      <c r="G246" s="1"/>
      <c r="H246" s="1"/>
      <c r="I246" s="1"/>
    </row>
    <row r="247" spans="2:9" ht="15.75" customHeight="1" x14ac:dyDescent="0.25">
      <c r="B247" s="1"/>
      <c r="C247" s="1"/>
      <c r="D247" s="1"/>
      <c r="E247" s="1"/>
      <c r="F247" s="1"/>
      <c r="G247" s="1"/>
      <c r="H247" s="1"/>
      <c r="I247" s="1"/>
    </row>
    <row r="248" spans="2:9" ht="15.75" customHeight="1" x14ac:dyDescent="0.25">
      <c r="B248" s="1"/>
      <c r="C248" s="1"/>
      <c r="D248" s="1"/>
      <c r="E248" s="1"/>
      <c r="F248" s="1"/>
      <c r="G248" s="1"/>
      <c r="H248" s="1"/>
      <c r="I248" s="1"/>
    </row>
    <row r="249" spans="2:9" ht="15.75" customHeight="1" x14ac:dyDescent="0.25">
      <c r="B249" s="1"/>
      <c r="C249" s="1"/>
      <c r="D249" s="1"/>
      <c r="E249" s="1"/>
      <c r="F249" s="1"/>
      <c r="G249" s="1"/>
      <c r="H249" s="1"/>
      <c r="I249" s="1"/>
    </row>
    <row r="250" spans="2:9" ht="15.75" customHeight="1" x14ac:dyDescent="0.25">
      <c r="B250" s="1"/>
      <c r="C250" s="1"/>
      <c r="D250" s="1"/>
      <c r="E250" s="1"/>
      <c r="F250" s="1"/>
      <c r="G250" s="1"/>
      <c r="H250" s="1"/>
      <c r="I250" s="1"/>
    </row>
    <row r="251" spans="2:9" ht="15.75" customHeight="1" x14ac:dyDescent="0.25">
      <c r="B251" s="1"/>
      <c r="C251" s="1"/>
      <c r="D251" s="1"/>
      <c r="E251" s="1"/>
      <c r="F251" s="1"/>
      <c r="G251" s="1"/>
      <c r="H251" s="1"/>
      <c r="I251" s="1"/>
    </row>
    <row r="252" spans="2:9" ht="15.75" customHeight="1" x14ac:dyDescent="0.25">
      <c r="B252" s="1"/>
      <c r="C252" s="1"/>
      <c r="D252" s="1"/>
      <c r="E252" s="1"/>
      <c r="F252" s="1"/>
      <c r="G252" s="1"/>
      <c r="H252" s="1"/>
      <c r="I252" s="1"/>
    </row>
    <row r="253" spans="2:9" ht="15.75" customHeight="1" x14ac:dyDescent="0.25">
      <c r="B253" s="1"/>
      <c r="C253" s="1"/>
      <c r="D253" s="1"/>
      <c r="E253" s="1"/>
      <c r="F253" s="1"/>
      <c r="G253" s="1"/>
      <c r="H253" s="1"/>
      <c r="I253" s="1"/>
    </row>
    <row r="254" spans="2:9" ht="15.75" customHeight="1" x14ac:dyDescent="0.25">
      <c r="B254" s="1"/>
      <c r="C254" s="1"/>
      <c r="D254" s="1"/>
      <c r="E254" s="1"/>
      <c r="F254" s="1"/>
      <c r="G254" s="1"/>
      <c r="H254" s="1"/>
      <c r="I254" s="1"/>
    </row>
    <row r="255" spans="2:9" ht="15.75" customHeight="1" x14ac:dyDescent="0.25">
      <c r="B255" s="1"/>
      <c r="C255" s="1"/>
      <c r="D255" s="1"/>
      <c r="E255" s="1"/>
      <c r="F255" s="1"/>
      <c r="G255" s="1"/>
      <c r="H255" s="1"/>
      <c r="I255" s="1"/>
    </row>
    <row r="256" spans="2:9" ht="15.75" customHeight="1" x14ac:dyDescent="0.25">
      <c r="B256" s="1"/>
      <c r="C256" s="1"/>
      <c r="D256" s="1"/>
      <c r="E256" s="1"/>
      <c r="F256" s="1"/>
      <c r="G256" s="1"/>
      <c r="H256" s="1"/>
      <c r="I256" s="1"/>
    </row>
    <row r="257" spans="2:9" ht="15.75" customHeight="1" x14ac:dyDescent="0.25">
      <c r="B257" s="1"/>
      <c r="C257" s="1"/>
      <c r="D257" s="1"/>
      <c r="E257" s="1"/>
      <c r="F257" s="1"/>
      <c r="G257" s="1"/>
      <c r="H257" s="1"/>
      <c r="I257" s="1"/>
    </row>
    <row r="258" spans="2:9" ht="15.75" customHeight="1" x14ac:dyDescent="0.25">
      <c r="B258" s="1"/>
      <c r="C258" s="1"/>
      <c r="D258" s="1"/>
      <c r="E258" s="1"/>
      <c r="F258" s="1"/>
      <c r="G258" s="1"/>
      <c r="H258" s="1"/>
      <c r="I258" s="1"/>
    </row>
    <row r="259" spans="2:9" ht="15.75" customHeight="1" x14ac:dyDescent="0.25">
      <c r="B259" s="1"/>
      <c r="C259" s="1"/>
      <c r="D259" s="1"/>
      <c r="E259" s="1"/>
      <c r="F259" s="1"/>
      <c r="G259" s="1"/>
      <c r="H259" s="1"/>
      <c r="I259" s="1"/>
    </row>
    <row r="260" spans="2:9" ht="15.75" customHeight="1" x14ac:dyDescent="0.25">
      <c r="B260" s="1"/>
      <c r="C260" s="1"/>
      <c r="D260" s="1"/>
      <c r="E260" s="1"/>
      <c r="F260" s="1"/>
      <c r="G260" s="1"/>
      <c r="H260" s="1"/>
      <c r="I260" s="1"/>
    </row>
    <row r="261" spans="2:9" ht="15.75" customHeight="1" x14ac:dyDescent="0.25">
      <c r="B261" s="1"/>
      <c r="C261" s="1"/>
      <c r="D261" s="1"/>
      <c r="E261" s="1"/>
      <c r="F261" s="1"/>
      <c r="G261" s="1"/>
      <c r="H261" s="1"/>
      <c r="I261" s="1"/>
    </row>
    <row r="262" spans="2:9" ht="15.75" customHeight="1" x14ac:dyDescent="0.25">
      <c r="B262" s="1"/>
      <c r="C262" s="1"/>
      <c r="D262" s="1"/>
      <c r="E262" s="1"/>
      <c r="F262" s="1"/>
      <c r="G262" s="1"/>
      <c r="H262" s="1"/>
      <c r="I262" s="1"/>
    </row>
    <row r="263" spans="2:9" ht="15.75" customHeight="1" x14ac:dyDescent="0.25">
      <c r="B263" s="1"/>
      <c r="C263" s="1"/>
      <c r="D263" s="1"/>
      <c r="E263" s="1"/>
      <c r="F263" s="1"/>
      <c r="G263" s="1"/>
      <c r="H263" s="1"/>
      <c r="I263" s="1"/>
    </row>
    <row r="264" spans="2:9" ht="15.75" customHeight="1" x14ac:dyDescent="0.25">
      <c r="B264" s="1"/>
      <c r="C264" s="1"/>
      <c r="D264" s="1"/>
      <c r="E264" s="1"/>
      <c r="F264" s="1"/>
      <c r="G264" s="1"/>
      <c r="H264" s="1"/>
      <c r="I264" s="1"/>
    </row>
    <row r="265" spans="2:9" ht="15.75" customHeight="1" x14ac:dyDescent="0.25">
      <c r="B265" s="1"/>
      <c r="C265" s="1"/>
      <c r="D265" s="1"/>
      <c r="E265" s="1"/>
      <c r="F265" s="1"/>
      <c r="G265" s="1"/>
      <c r="H265" s="1"/>
      <c r="I265" s="1"/>
    </row>
    <row r="266" spans="2:9" ht="15.75" customHeight="1" x14ac:dyDescent="0.25">
      <c r="B266" s="1"/>
      <c r="C266" s="1"/>
      <c r="D266" s="1"/>
      <c r="E266" s="1"/>
      <c r="F266" s="1"/>
      <c r="G266" s="1"/>
      <c r="H266" s="1"/>
      <c r="I266" s="1"/>
    </row>
    <row r="267" spans="2:9" ht="15.75" customHeight="1" x14ac:dyDescent="0.25">
      <c r="B267" s="1"/>
      <c r="C267" s="1"/>
      <c r="D267" s="1"/>
      <c r="E267" s="1"/>
      <c r="F267" s="1"/>
      <c r="G267" s="1"/>
      <c r="H267" s="1"/>
      <c r="I267" s="1"/>
    </row>
    <row r="268" spans="2:9" ht="15.75" customHeight="1" x14ac:dyDescent="0.25">
      <c r="B268" s="1"/>
      <c r="C268" s="1"/>
      <c r="D268" s="1"/>
      <c r="E268" s="1"/>
      <c r="F268" s="1"/>
      <c r="G268" s="1"/>
      <c r="H268" s="1"/>
      <c r="I268" s="1"/>
    </row>
    <row r="269" spans="2:9" ht="15.75" customHeight="1" x14ac:dyDescent="0.25">
      <c r="B269" s="1"/>
      <c r="C269" s="1"/>
      <c r="D269" s="1"/>
      <c r="E269" s="1"/>
      <c r="F269" s="1"/>
      <c r="G269" s="1"/>
      <c r="H269" s="1"/>
      <c r="I269" s="1"/>
    </row>
    <row r="270" spans="2:9" ht="15.75" customHeight="1" x14ac:dyDescent="0.25">
      <c r="B270" s="1"/>
      <c r="C270" s="1"/>
      <c r="D270" s="1"/>
      <c r="E270" s="1"/>
      <c r="F270" s="1"/>
      <c r="G270" s="1"/>
      <c r="H270" s="1"/>
      <c r="I270" s="1"/>
    </row>
    <row r="271" spans="2:9" ht="15.75" customHeight="1" x14ac:dyDescent="0.25">
      <c r="B271" s="1"/>
      <c r="C271" s="1"/>
      <c r="D271" s="1"/>
      <c r="E271" s="1"/>
      <c r="F271" s="1"/>
      <c r="G271" s="1"/>
      <c r="H271" s="1"/>
      <c r="I271" s="1"/>
    </row>
    <row r="272" spans="2:9" ht="15.75" customHeight="1" x14ac:dyDescent="0.25">
      <c r="B272" s="1"/>
      <c r="C272" s="1"/>
      <c r="D272" s="1"/>
      <c r="E272" s="1"/>
      <c r="F272" s="1"/>
      <c r="G272" s="1"/>
      <c r="H272" s="1"/>
      <c r="I272" s="1"/>
    </row>
    <row r="273" spans="2:9" ht="15.75" customHeight="1" x14ac:dyDescent="0.25">
      <c r="B273" s="1"/>
      <c r="C273" s="1"/>
      <c r="D273" s="1"/>
      <c r="E273" s="1"/>
      <c r="F273" s="1"/>
      <c r="G273" s="1"/>
      <c r="H273" s="1"/>
      <c r="I273" s="1"/>
    </row>
    <row r="274" spans="2:9" ht="15.75" customHeight="1" x14ac:dyDescent="0.25">
      <c r="B274" s="1"/>
      <c r="C274" s="1"/>
      <c r="D274" s="1"/>
      <c r="E274" s="1"/>
      <c r="F274" s="1"/>
      <c r="G274" s="1"/>
      <c r="H274" s="1"/>
      <c r="I274" s="1"/>
    </row>
    <row r="275" spans="2:9" ht="15.75" customHeight="1" x14ac:dyDescent="0.25">
      <c r="B275" s="1"/>
      <c r="C275" s="1"/>
      <c r="D275" s="1"/>
      <c r="E275" s="1"/>
      <c r="F275" s="1"/>
      <c r="G275" s="1"/>
      <c r="H275" s="1"/>
      <c r="I275" s="1"/>
    </row>
    <row r="276" spans="2:9" ht="15.75" customHeight="1" x14ac:dyDescent="0.25">
      <c r="B276" s="1"/>
      <c r="C276" s="1"/>
      <c r="D276" s="1"/>
      <c r="E276" s="1"/>
      <c r="F276" s="1"/>
      <c r="G276" s="1"/>
      <c r="H276" s="1"/>
      <c r="I276" s="1"/>
    </row>
    <row r="277" spans="2:9" ht="15.75" customHeight="1" x14ac:dyDescent="0.25">
      <c r="B277" s="1"/>
      <c r="C277" s="1"/>
      <c r="D277" s="1"/>
      <c r="E277" s="1"/>
      <c r="F277" s="1"/>
      <c r="G277" s="1"/>
      <c r="H277" s="1"/>
      <c r="I277" s="1"/>
    </row>
    <row r="278" spans="2:9" ht="15.75" customHeight="1" x14ac:dyDescent="0.25">
      <c r="B278" s="1"/>
      <c r="C278" s="1"/>
      <c r="D278" s="1"/>
      <c r="E278" s="1"/>
      <c r="F278" s="1"/>
      <c r="G278" s="1"/>
      <c r="H278" s="1"/>
      <c r="I278" s="1"/>
    </row>
    <row r="279" spans="2:9" ht="15.75" customHeight="1" x14ac:dyDescent="0.25">
      <c r="B279" s="1"/>
      <c r="C279" s="1"/>
      <c r="D279" s="1"/>
      <c r="E279" s="1"/>
      <c r="F279" s="1"/>
      <c r="G279" s="1"/>
      <c r="H279" s="1"/>
      <c r="I279" s="1"/>
    </row>
    <row r="280" spans="2:9" ht="15.75" customHeight="1" x14ac:dyDescent="0.25">
      <c r="B280" s="1"/>
      <c r="C280" s="1"/>
      <c r="D280" s="1"/>
      <c r="E280" s="1"/>
      <c r="F280" s="1"/>
      <c r="G280" s="1"/>
      <c r="H280" s="1"/>
      <c r="I280" s="1"/>
    </row>
    <row r="281" spans="2:9" ht="15.75" customHeight="1" x14ac:dyDescent="0.25">
      <c r="B281" s="1"/>
      <c r="C281" s="1"/>
      <c r="D281" s="1"/>
      <c r="E281" s="1"/>
      <c r="F281" s="1"/>
      <c r="G281" s="1"/>
      <c r="H281" s="1"/>
      <c r="I281" s="1"/>
    </row>
    <row r="282" spans="2:9" ht="15.75" customHeight="1" x14ac:dyDescent="0.25">
      <c r="B282" s="1"/>
      <c r="C282" s="1"/>
      <c r="D282" s="1"/>
      <c r="E282" s="1"/>
      <c r="F282" s="1"/>
      <c r="G282" s="1"/>
      <c r="H282" s="1"/>
      <c r="I282" s="1"/>
    </row>
    <row r="283" spans="2:9" ht="15.75" customHeight="1" x14ac:dyDescent="0.25">
      <c r="B283" s="1"/>
      <c r="C283" s="1"/>
      <c r="D283" s="1"/>
      <c r="E283" s="1"/>
      <c r="F283" s="1"/>
      <c r="G283" s="1"/>
      <c r="H283" s="1"/>
      <c r="I283" s="1"/>
    </row>
    <row r="284" spans="2:9" ht="15.75" customHeight="1" x14ac:dyDescent="0.25">
      <c r="B284" s="1"/>
      <c r="C284" s="1"/>
      <c r="D284" s="1"/>
      <c r="E284" s="1"/>
      <c r="F284" s="1"/>
      <c r="G284" s="1"/>
      <c r="H284" s="1"/>
      <c r="I284" s="1"/>
    </row>
    <row r="285" spans="2:9" ht="15.75" customHeight="1" x14ac:dyDescent="0.25">
      <c r="B285" s="1"/>
      <c r="C285" s="1"/>
      <c r="D285" s="1"/>
      <c r="E285" s="1"/>
      <c r="F285" s="1"/>
      <c r="G285" s="1"/>
      <c r="H285" s="1"/>
      <c r="I285" s="1"/>
    </row>
    <row r="286" spans="2:9" ht="15.75" customHeight="1" x14ac:dyDescent="0.25">
      <c r="B286" s="1"/>
      <c r="C286" s="1"/>
      <c r="D286" s="1"/>
      <c r="E286" s="1"/>
      <c r="F286" s="1"/>
      <c r="G286" s="1"/>
      <c r="H286" s="1"/>
      <c r="I286" s="1"/>
    </row>
    <row r="287" spans="2:9" ht="15.75" customHeight="1" x14ac:dyDescent="0.25">
      <c r="B287" s="1"/>
      <c r="C287" s="1"/>
      <c r="D287" s="1"/>
      <c r="E287" s="1"/>
      <c r="F287" s="1"/>
      <c r="G287" s="1"/>
      <c r="H287" s="1"/>
      <c r="I287" s="1"/>
    </row>
    <row r="288" spans="2:9" ht="15.75" customHeight="1" x14ac:dyDescent="0.25">
      <c r="B288" s="1"/>
      <c r="C288" s="1"/>
      <c r="D288" s="1"/>
      <c r="E288" s="1"/>
      <c r="F288" s="1"/>
      <c r="G288" s="1"/>
      <c r="H288" s="1"/>
      <c r="I288" s="1"/>
    </row>
    <row r="289" spans="2:9" ht="15.75" customHeight="1" x14ac:dyDescent="0.25">
      <c r="B289" s="1"/>
      <c r="C289" s="1"/>
      <c r="D289" s="1"/>
      <c r="E289" s="1"/>
      <c r="F289" s="1"/>
      <c r="G289" s="1"/>
      <c r="H289" s="1"/>
      <c r="I289" s="1"/>
    </row>
    <row r="290" spans="2:9" ht="15.75" customHeight="1" x14ac:dyDescent="0.25">
      <c r="B290" s="1"/>
      <c r="C290" s="1"/>
      <c r="D290" s="1"/>
      <c r="E290" s="1"/>
      <c r="F290" s="1"/>
      <c r="G290" s="1"/>
      <c r="H290" s="1"/>
      <c r="I290" s="1"/>
    </row>
    <row r="291" spans="2:9" ht="15.75" customHeight="1" x14ac:dyDescent="0.25">
      <c r="B291" s="1"/>
      <c r="C291" s="1"/>
      <c r="D291" s="1"/>
      <c r="E291" s="1"/>
      <c r="F291" s="1"/>
      <c r="G291" s="1"/>
      <c r="H291" s="1"/>
      <c r="I291" s="1"/>
    </row>
    <row r="292" spans="2:9" ht="15.75" customHeight="1" x14ac:dyDescent="0.25">
      <c r="B292" s="1"/>
      <c r="C292" s="1"/>
      <c r="D292" s="1"/>
      <c r="E292" s="1"/>
      <c r="F292" s="1"/>
      <c r="G292" s="1"/>
      <c r="H292" s="1"/>
      <c r="I292" s="1"/>
    </row>
    <row r="293" spans="2:9" ht="15.75" customHeight="1" x14ac:dyDescent="0.25">
      <c r="B293" s="1"/>
      <c r="C293" s="1"/>
      <c r="D293" s="1"/>
      <c r="E293" s="1"/>
      <c r="F293" s="1"/>
      <c r="G293" s="1"/>
      <c r="H293" s="1"/>
      <c r="I293" s="1"/>
    </row>
    <row r="294" spans="2:9" ht="15.75" customHeight="1" x14ac:dyDescent="0.25">
      <c r="B294" s="1"/>
      <c r="C294" s="1"/>
      <c r="D294" s="1"/>
      <c r="E294" s="1"/>
      <c r="F294" s="1"/>
      <c r="G294" s="1"/>
      <c r="H294" s="1"/>
      <c r="I294" s="1"/>
    </row>
    <row r="295" spans="2:9" ht="15.75" customHeight="1" x14ac:dyDescent="0.25">
      <c r="B295" s="1"/>
      <c r="C295" s="1"/>
      <c r="D295" s="1"/>
      <c r="E295" s="1"/>
      <c r="F295" s="1"/>
      <c r="G295" s="1"/>
      <c r="H295" s="1"/>
      <c r="I295" s="1"/>
    </row>
    <row r="296" spans="2:9" ht="15.75" customHeight="1" x14ac:dyDescent="0.25">
      <c r="B296" s="1"/>
      <c r="C296" s="1"/>
      <c r="D296" s="1"/>
      <c r="E296" s="1"/>
      <c r="F296" s="1"/>
      <c r="G296" s="1"/>
      <c r="H296" s="1"/>
      <c r="I296" s="1"/>
    </row>
    <row r="297" spans="2:9" ht="15.75" customHeight="1" x14ac:dyDescent="0.25">
      <c r="B297" s="1"/>
      <c r="C297" s="1"/>
      <c r="D297" s="1"/>
      <c r="E297" s="1"/>
      <c r="F297" s="1"/>
      <c r="G297" s="1"/>
      <c r="H297" s="1"/>
      <c r="I297" s="1"/>
    </row>
    <row r="298" spans="2:9" ht="15.75" customHeight="1" x14ac:dyDescent="0.25">
      <c r="B298" s="1"/>
      <c r="C298" s="1"/>
      <c r="D298" s="1"/>
      <c r="E298" s="1"/>
      <c r="F298" s="1"/>
      <c r="G298" s="1"/>
      <c r="H298" s="1"/>
      <c r="I298" s="1"/>
    </row>
    <row r="299" spans="2:9" ht="15.75" customHeight="1" x14ac:dyDescent="0.25">
      <c r="B299" s="1"/>
      <c r="C299" s="1"/>
      <c r="D299" s="1"/>
      <c r="E299" s="1"/>
      <c r="F299" s="1"/>
      <c r="G299" s="1"/>
      <c r="H299" s="1"/>
      <c r="I299" s="1"/>
    </row>
    <row r="300" spans="2:9" ht="15.75" customHeight="1" x14ac:dyDescent="0.25">
      <c r="B300" s="1"/>
      <c r="C300" s="1"/>
      <c r="D300" s="1"/>
      <c r="E300" s="1"/>
      <c r="F300" s="1"/>
      <c r="G300" s="1"/>
      <c r="H300" s="1"/>
      <c r="I300" s="1"/>
    </row>
    <row r="301" spans="2:9" ht="15.75" customHeight="1" x14ac:dyDescent="0.25">
      <c r="B301" s="1"/>
      <c r="C301" s="1"/>
      <c r="D301" s="1"/>
      <c r="E301" s="1"/>
      <c r="F301" s="1"/>
      <c r="G301" s="1"/>
      <c r="H301" s="1"/>
      <c r="I301" s="1"/>
    </row>
    <row r="302" spans="2:9" ht="15.75" customHeight="1" x14ac:dyDescent="0.25">
      <c r="B302" s="1"/>
      <c r="C302" s="1"/>
      <c r="D302" s="1"/>
      <c r="E302" s="1"/>
      <c r="F302" s="1"/>
      <c r="G302" s="1"/>
      <c r="H302" s="1"/>
      <c r="I302" s="1"/>
    </row>
    <row r="303" spans="2:9" ht="15.75" customHeight="1" x14ac:dyDescent="0.25">
      <c r="B303" s="1"/>
      <c r="C303" s="1"/>
      <c r="D303" s="1"/>
      <c r="E303" s="1"/>
      <c r="F303" s="1"/>
      <c r="G303" s="1"/>
      <c r="H303" s="1"/>
      <c r="I303" s="1"/>
    </row>
    <row r="304" spans="2:9" ht="15.75" customHeight="1" x14ac:dyDescent="0.25">
      <c r="B304" s="1"/>
      <c r="C304" s="1"/>
      <c r="D304" s="1"/>
      <c r="E304" s="1"/>
      <c r="F304" s="1"/>
      <c r="G304" s="1"/>
      <c r="H304" s="1"/>
      <c r="I304" s="1"/>
    </row>
    <row r="305" spans="2:9" ht="15.75" customHeight="1" x14ac:dyDescent="0.25">
      <c r="B305" s="1"/>
      <c r="C305" s="1"/>
      <c r="D305" s="1"/>
      <c r="E305" s="1"/>
      <c r="F305" s="1"/>
      <c r="G305" s="1"/>
      <c r="H305" s="1"/>
      <c r="I305" s="1"/>
    </row>
    <row r="306" spans="2:9" ht="15.75" customHeight="1" x14ac:dyDescent="0.25">
      <c r="B306" s="1"/>
      <c r="C306" s="1"/>
      <c r="D306" s="1"/>
      <c r="E306" s="1"/>
      <c r="F306" s="1"/>
      <c r="G306" s="1"/>
      <c r="H306" s="1"/>
      <c r="I306" s="1"/>
    </row>
    <row r="307" spans="2:9" ht="15.75" customHeight="1" x14ac:dyDescent="0.25">
      <c r="B307" s="1"/>
      <c r="C307" s="1"/>
      <c r="D307" s="1"/>
      <c r="E307" s="1"/>
      <c r="F307" s="1"/>
      <c r="G307" s="1"/>
      <c r="H307" s="1"/>
      <c r="I307" s="1"/>
    </row>
    <row r="308" spans="2:9" ht="15.75" customHeight="1" x14ac:dyDescent="0.25">
      <c r="B308" s="1"/>
      <c r="C308" s="1"/>
      <c r="D308" s="1"/>
      <c r="E308" s="1"/>
      <c r="F308" s="1"/>
      <c r="G308" s="1"/>
      <c r="H308" s="1"/>
      <c r="I308" s="1"/>
    </row>
    <row r="309" spans="2:9" ht="15.75" customHeight="1" x14ac:dyDescent="0.25">
      <c r="B309" s="1"/>
      <c r="C309" s="1"/>
      <c r="D309" s="1"/>
      <c r="E309" s="1"/>
      <c r="F309" s="1"/>
      <c r="G309" s="1"/>
      <c r="H309" s="1"/>
      <c r="I309" s="1"/>
    </row>
    <row r="310" spans="2:9" ht="15.75" customHeight="1" x14ac:dyDescent="0.25">
      <c r="B310" s="1"/>
      <c r="C310" s="1"/>
      <c r="D310" s="1"/>
      <c r="E310" s="1"/>
      <c r="F310" s="1"/>
      <c r="G310" s="1"/>
      <c r="H310" s="1"/>
      <c r="I310" s="1"/>
    </row>
    <row r="311" spans="2:9" ht="15.75" customHeight="1" x14ac:dyDescent="0.25">
      <c r="B311" s="1"/>
      <c r="C311" s="1"/>
      <c r="D311" s="1"/>
      <c r="E311" s="1"/>
      <c r="F311" s="1"/>
      <c r="G311" s="1"/>
      <c r="H311" s="1"/>
      <c r="I311" s="1"/>
    </row>
    <row r="312" spans="2:9" ht="15.75" customHeight="1" x14ac:dyDescent="0.25">
      <c r="B312" s="1"/>
      <c r="C312" s="1"/>
      <c r="D312" s="1"/>
      <c r="E312" s="1"/>
      <c r="F312" s="1"/>
      <c r="G312" s="1"/>
      <c r="H312" s="1"/>
      <c r="I312" s="1"/>
    </row>
    <row r="313" spans="2:9" ht="15.75" customHeight="1" x14ac:dyDescent="0.25">
      <c r="B313" s="1"/>
      <c r="C313" s="1"/>
      <c r="D313" s="1"/>
      <c r="E313" s="1"/>
      <c r="F313" s="1"/>
      <c r="G313" s="1"/>
      <c r="H313" s="1"/>
      <c r="I313" s="1"/>
    </row>
    <row r="314" spans="2:9" ht="15.75" customHeight="1" x14ac:dyDescent="0.25">
      <c r="B314" s="1"/>
      <c r="C314" s="1"/>
      <c r="D314" s="1"/>
      <c r="E314" s="1"/>
      <c r="F314" s="1"/>
      <c r="G314" s="1"/>
      <c r="H314" s="1"/>
      <c r="I314" s="1"/>
    </row>
    <row r="315" spans="2:9" ht="15.75" customHeight="1" x14ac:dyDescent="0.25">
      <c r="B315" s="1"/>
      <c r="C315" s="1"/>
      <c r="D315" s="1"/>
      <c r="E315" s="1"/>
      <c r="F315" s="1"/>
      <c r="G315" s="1"/>
      <c r="H315" s="1"/>
      <c r="I315" s="1"/>
    </row>
    <row r="316" spans="2:9" ht="15.75" customHeight="1" x14ac:dyDescent="0.25">
      <c r="B316" s="1"/>
      <c r="C316" s="1"/>
      <c r="D316" s="1"/>
      <c r="E316" s="1"/>
      <c r="F316" s="1"/>
      <c r="G316" s="1"/>
      <c r="H316" s="1"/>
      <c r="I316" s="1"/>
    </row>
    <row r="317" spans="2:9" ht="15.75" customHeight="1" x14ac:dyDescent="0.25">
      <c r="B317" s="1"/>
      <c r="C317" s="1"/>
      <c r="D317" s="1"/>
      <c r="E317" s="1"/>
      <c r="F317" s="1"/>
      <c r="G317" s="1"/>
      <c r="H317" s="1"/>
      <c r="I317" s="1"/>
    </row>
    <row r="318" spans="2:9" ht="15.75" customHeight="1" x14ac:dyDescent="0.25">
      <c r="B318" s="1"/>
      <c r="C318" s="1"/>
      <c r="D318" s="1"/>
      <c r="E318" s="1"/>
      <c r="F318" s="1"/>
      <c r="G318" s="1"/>
      <c r="H318" s="1"/>
      <c r="I318" s="1"/>
    </row>
    <row r="319" spans="2:9" ht="15.75" customHeight="1" x14ac:dyDescent="0.25">
      <c r="B319" s="1"/>
      <c r="C319" s="1"/>
      <c r="D319" s="1"/>
      <c r="E319" s="1"/>
      <c r="F319" s="1"/>
      <c r="G319" s="1"/>
      <c r="H319" s="1"/>
      <c r="I319" s="1"/>
    </row>
    <row r="320" spans="2:9" ht="15.75" customHeight="1" x14ac:dyDescent="0.25">
      <c r="B320" s="1"/>
      <c r="C320" s="1"/>
      <c r="D320" s="1"/>
      <c r="E320" s="1"/>
      <c r="F320" s="1"/>
      <c r="G320" s="1"/>
      <c r="H320" s="1"/>
      <c r="I320" s="1"/>
    </row>
    <row r="321" spans="2:9" ht="15.75" customHeight="1" x14ac:dyDescent="0.25">
      <c r="B321" s="1"/>
      <c r="C321" s="1"/>
      <c r="D321" s="1"/>
      <c r="E321" s="1"/>
      <c r="F321" s="1"/>
      <c r="G321" s="1"/>
      <c r="H321" s="1"/>
      <c r="I321" s="1"/>
    </row>
    <row r="322" spans="2:9" ht="15.75" customHeight="1" x14ac:dyDescent="0.25">
      <c r="B322" s="1"/>
      <c r="C322" s="1"/>
      <c r="D322" s="1"/>
      <c r="E322" s="1"/>
      <c r="F322" s="1"/>
      <c r="G322" s="1"/>
      <c r="H322" s="1"/>
      <c r="I322" s="1"/>
    </row>
    <row r="323" spans="2:9" ht="15.75" customHeight="1" x14ac:dyDescent="0.25">
      <c r="B323" s="1"/>
      <c r="C323" s="1"/>
      <c r="D323" s="1"/>
      <c r="E323" s="1"/>
      <c r="F323" s="1"/>
      <c r="G323" s="1"/>
      <c r="H323" s="1"/>
      <c r="I323" s="1"/>
    </row>
    <row r="324" spans="2:9" ht="15.75" customHeight="1" x14ac:dyDescent="0.25">
      <c r="B324" s="1"/>
      <c r="C324" s="1"/>
      <c r="D324" s="1"/>
      <c r="E324" s="1"/>
      <c r="F324" s="1"/>
      <c r="G324" s="1"/>
      <c r="H324" s="1"/>
      <c r="I324" s="1"/>
    </row>
    <row r="325" spans="2:9" ht="15.75" customHeight="1" x14ac:dyDescent="0.25">
      <c r="B325" s="1"/>
      <c r="C325" s="1"/>
      <c r="D325" s="1"/>
      <c r="E325" s="1"/>
      <c r="F325" s="1"/>
      <c r="G325" s="1"/>
      <c r="H325" s="1"/>
      <c r="I325" s="1"/>
    </row>
    <row r="326" spans="2:9" ht="15.75" customHeight="1" x14ac:dyDescent="0.25">
      <c r="B326" s="1"/>
      <c r="C326" s="1"/>
      <c r="D326" s="1"/>
      <c r="E326" s="1"/>
      <c r="F326" s="1"/>
      <c r="G326" s="1"/>
      <c r="H326" s="1"/>
      <c r="I326" s="1"/>
    </row>
    <row r="327" spans="2:9" ht="15.75" customHeight="1" x14ac:dyDescent="0.25">
      <c r="B327" s="1"/>
      <c r="C327" s="1"/>
      <c r="D327" s="1"/>
      <c r="E327" s="1"/>
      <c r="F327" s="1"/>
      <c r="G327" s="1"/>
      <c r="H327" s="1"/>
      <c r="I327" s="1"/>
    </row>
    <row r="328" spans="2:9" ht="15.75" customHeight="1" x14ac:dyDescent="0.25">
      <c r="B328" s="1"/>
      <c r="C328" s="1"/>
      <c r="D328" s="1"/>
      <c r="E328" s="1"/>
      <c r="F328" s="1"/>
      <c r="G328" s="1"/>
      <c r="H328" s="1"/>
      <c r="I328" s="1"/>
    </row>
    <row r="329" spans="2:9" ht="15.75" customHeight="1" x14ac:dyDescent="0.25">
      <c r="B329" s="1"/>
      <c r="C329" s="1"/>
      <c r="D329" s="1"/>
      <c r="E329" s="1"/>
      <c r="F329" s="1"/>
      <c r="G329" s="1"/>
      <c r="H329" s="1"/>
      <c r="I329" s="1"/>
    </row>
    <row r="330" spans="2:9" ht="15.75" customHeight="1" x14ac:dyDescent="0.25">
      <c r="B330" s="1"/>
      <c r="C330" s="1"/>
      <c r="D330" s="1"/>
      <c r="E330" s="1"/>
      <c r="F330" s="1"/>
      <c r="G330" s="1"/>
      <c r="H330" s="1"/>
      <c r="I330" s="1"/>
    </row>
    <row r="331" spans="2:9" ht="15.75" customHeight="1" x14ac:dyDescent="0.25">
      <c r="B331" s="1"/>
      <c r="C331" s="1"/>
      <c r="D331" s="1"/>
      <c r="E331" s="1"/>
      <c r="F331" s="1"/>
      <c r="G331" s="1"/>
      <c r="H331" s="1"/>
      <c r="I331" s="1"/>
    </row>
    <row r="332" spans="2:9" ht="15.75" customHeight="1" x14ac:dyDescent="0.25">
      <c r="B332" s="1"/>
      <c r="C332" s="1"/>
      <c r="D332" s="1"/>
      <c r="E332" s="1"/>
      <c r="F332" s="1"/>
      <c r="G332" s="1"/>
      <c r="H332" s="1"/>
      <c r="I332" s="1"/>
    </row>
    <row r="333" spans="2:9" ht="15.75" customHeight="1" x14ac:dyDescent="0.25">
      <c r="B333" s="1"/>
      <c r="C333" s="1"/>
      <c r="D333" s="1"/>
      <c r="E333" s="1"/>
      <c r="F333" s="1"/>
      <c r="G333" s="1"/>
      <c r="H333" s="1"/>
      <c r="I333" s="1"/>
    </row>
    <row r="334" spans="2:9" ht="15.75" customHeight="1" x14ac:dyDescent="0.25">
      <c r="B334" s="1"/>
      <c r="C334" s="1"/>
      <c r="D334" s="1"/>
      <c r="E334" s="1"/>
      <c r="F334" s="1"/>
      <c r="G334" s="1"/>
      <c r="H334" s="1"/>
      <c r="I334" s="1"/>
    </row>
    <row r="335" spans="2:9" ht="15.75" customHeight="1" x14ac:dyDescent="0.25">
      <c r="B335" s="1"/>
      <c r="C335" s="1"/>
      <c r="D335" s="1"/>
      <c r="E335" s="1"/>
      <c r="F335" s="1"/>
      <c r="G335" s="1"/>
      <c r="H335" s="1"/>
      <c r="I335" s="1"/>
    </row>
    <row r="336" spans="2:9" ht="15.75" customHeight="1" x14ac:dyDescent="0.25">
      <c r="B336" s="1"/>
      <c r="C336" s="1"/>
      <c r="D336" s="1"/>
      <c r="E336" s="1"/>
      <c r="F336" s="1"/>
      <c r="G336" s="1"/>
      <c r="H336" s="1"/>
      <c r="I336" s="1"/>
    </row>
    <row r="337" spans="2:9" ht="15.75" customHeight="1" x14ac:dyDescent="0.25">
      <c r="B337" s="1"/>
      <c r="C337" s="1"/>
      <c r="D337" s="1"/>
      <c r="E337" s="1"/>
      <c r="F337" s="1"/>
      <c r="G337" s="1"/>
      <c r="H337" s="1"/>
      <c r="I337" s="1"/>
    </row>
    <row r="338" spans="2:9" ht="15.75" customHeight="1" x14ac:dyDescent="0.25">
      <c r="B338" s="1"/>
      <c r="C338" s="1"/>
      <c r="D338" s="1"/>
      <c r="E338" s="1"/>
      <c r="F338" s="1"/>
      <c r="G338" s="1"/>
      <c r="H338" s="1"/>
      <c r="I338" s="1"/>
    </row>
    <row r="339" spans="2:9" ht="15.75" customHeight="1" x14ac:dyDescent="0.25">
      <c r="B339" s="1"/>
      <c r="C339" s="1"/>
      <c r="D339" s="1"/>
      <c r="E339" s="1"/>
      <c r="F339" s="1"/>
      <c r="G339" s="1"/>
      <c r="H339" s="1"/>
      <c r="I339" s="1"/>
    </row>
    <row r="340" spans="2:9" ht="15.75" customHeight="1" x14ac:dyDescent="0.25">
      <c r="B340" s="1"/>
      <c r="C340" s="1"/>
      <c r="D340" s="1"/>
      <c r="E340" s="1"/>
      <c r="F340" s="1"/>
      <c r="G340" s="1"/>
      <c r="H340" s="1"/>
      <c r="I340" s="1"/>
    </row>
    <row r="341" spans="2:9" ht="15.75" customHeight="1" x14ac:dyDescent="0.25">
      <c r="B341" s="1"/>
      <c r="C341" s="1"/>
      <c r="D341" s="1"/>
      <c r="E341" s="1"/>
      <c r="F341" s="1"/>
      <c r="G341" s="1"/>
      <c r="H341" s="1"/>
      <c r="I341" s="1"/>
    </row>
    <row r="342" spans="2:9" ht="15.75" customHeight="1" x14ac:dyDescent="0.25">
      <c r="B342" s="1"/>
      <c r="C342" s="1"/>
      <c r="D342" s="1"/>
      <c r="E342" s="1"/>
      <c r="F342" s="1"/>
      <c r="G342" s="1"/>
      <c r="H342" s="1"/>
      <c r="I342" s="1"/>
    </row>
    <row r="343" spans="2:9" ht="15.75" customHeight="1" x14ac:dyDescent="0.25">
      <c r="B343" s="1"/>
      <c r="C343" s="1"/>
      <c r="D343" s="1"/>
      <c r="E343" s="1"/>
      <c r="F343" s="1"/>
      <c r="G343" s="1"/>
      <c r="H343" s="1"/>
      <c r="I343" s="1"/>
    </row>
    <row r="344" spans="2:9" ht="15.75" customHeight="1" x14ac:dyDescent="0.25">
      <c r="B344" s="1"/>
      <c r="C344" s="1"/>
      <c r="D344" s="1"/>
      <c r="E344" s="1"/>
      <c r="F344" s="1"/>
      <c r="G344" s="1"/>
      <c r="H344" s="1"/>
      <c r="I344" s="1"/>
    </row>
    <row r="345" spans="2:9" ht="15.75" customHeight="1" x14ac:dyDescent="0.25">
      <c r="B345" s="1"/>
      <c r="C345" s="1"/>
      <c r="D345" s="1"/>
      <c r="E345" s="1"/>
      <c r="F345" s="1"/>
      <c r="G345" s="1"/>
      <c r="H345" s="1"/>
      <c r="I345" s="1"/>
    </row>
    <row r="346" spans="2:9" ht="15.75" customHeight="1" x14ac:dyDescent="0.25">
      <c r="B346" s="1"/>
      <c r="C346" s="1"/>
      <c r="D346" s="1"/>
      <c r="E346" s="1"/>
      <c r="F346" s="1"/>
      <c r="G346" s="1"/>
      <c r="H346" s="1"/>
      <c r="I346" s="1"/>
    </row>
    <row r="347" spans="2:9" ht="15.75" customHeight="1" x14ac:dyDescent="0.25">
      <c r="B347" s="1"/>
      <c r="C347" s="1"/>
      <c r="D347" s="1"/>
      <c r="E347" s="1"/>
      <c r="F347" s="1"/>
      <c r="G347" s="1"/>
      <c r="H347" s="1"/>
      <c r="I347" s="1"/>
    </row>
    <row r="348" spans="2:9" ht="15.75" customHeight="1" x14ac:dyDescent="0.25">
      <c r="B348" s="1"/>
      <c r="C348" s="1"/>
      <c r="D348" s="1"/>
      <c r="E348" s="1"/>
      <c r="F348" s="1"/>
      <c r="G348" s="1"/>
      <c r="H348" s="1"/>
      <c r="I348" s="1"/>
    </row>
    <row r="349" spans="2:9" ht="15.75" customHeight="1" x14ac:dyDescent="0.25">
      <c r="B349" s="1"/>
      <c r="C349" s="1"/>
      <c r="D349" s="1"/>
      <c r="E349" s="1"/>
      <c r="F349" s="1"/>
      <c r="G349" s="1"/>
      <c r="H349" s="1"/>
      <c r="I349" s="1"/>
    </row>
    <row r="350" spans="2:9" ht="15.75" customHeight="1" x14ac:dyDescent="0.25">
      <c r="B350" s="1"/>
      <c r="C350" s="1"/>
      <c r="D350" s="1"/>
      <c r="E350" s="1"/>
      <c r="F350" s="1"/>
      <c r="G350" s="1"/>
      <c r="H350" s="1"/>
      <c r="I350" s="1"/>
    </row>
    <row r="351" spans="2:9" ht="15.75" customHeight="1" x14ac:dyDescent="0.25">
      <c r="B351" s="1"/>
      <c r="C351" s="1"/>
      <c r="D351" s="1"/>
      <c r="E351" s="1"/>
      <c r="F351" s="1"/>
      <c r="G351" s="1"/>
      <c r="H351" s="1"/>
      <c r="I351" s="1"/>
    </row>
    <row r="352" spans="2:9" ht="15.75" customHeight="1" x14ac:dyDescent="0.25">
      <c r="B352" s="1"/>
      <c r="C352" s="1"/>
      <c r="D352" s="1"/>
      <c r="E352" s="1"/>
      <c r="F352" s="1"/>
      <c r="G352" s="1"/>
      <c r="H352" s="1"/>
      <c r="I352" s="1"/>
    </row>
    <row r="353" spans="2:9" ht="15.75" customHeight="1" x14ac:dyDescent="0.25">
      <c r="B353" s="1"/>
      <c r="C353" s="1"/>
      <c r="D353" s="1"/>
      <c r="E353" s="1"/>
      <c r="F353" s="1"/>
      <c r="G353" s="1"/>
      <c r="H353" s="1"/>
      <c r="I353" s="1"/>
    </row>
    <row r="354" spans="2:9" ht="15.75" customHeight="1" x14ac:dyDescent="0.25">
      <c r="B354" s="1"/>
      <c r="C354" s="1"/>
      <c r="D354" s="1"/>
      <c r="E354" s="1"/>
      <c r="F354" s="1"/>
      <c r="G354" s="1"/>
      <c r="H354" s="1"/>
      <c r="I354" s="1"/>
    </row>
    <row r="355" spans="2:9" ht="15.75" customHeight="1" x14ac:dyDescent="0.25">
      <c r="B355" s="1"/>
      <c r="C355" s="1"/>
      <c r="D355" s="1"/>
      <c r="E355" s="1"/>
      <c r="F355" s="1"/>
      <c r="G355" s="1"/>
      <c r="H355" s="1"/>
      <c r="I355" s="1"/>
    </row>
    <row r="356" spans="2:9" ht="15.75" customHeight="1" x14ac:dyDescent="0.25">
      <c r="B356" s="1"/>
      <c r="C356" s="1"/>
      <c r="D356" s="1"/>
      <c r="E356" s="1"/>
      <c r="F356" s="1"/>
      <c r="G356" s="1"/>
      <c r="H356" s="1"/>
      <c r="I356" s="1"/>
    </row>
    <row r="357" spans="2:9" ht="15.75" customHeight="1" x14ac:dyDescent="0.25">
      <c r="B357" s="1"/>
      <c r="C357" s="1"/>
      <c r="D357" s="1"/>
      <c r="E357" s="1"/>
      <c r="F357" s="1"/>
      <c r="G357" s="1"/>
      <c r="H357" s="1"/>
      <c r="I357" s="1"/>
    </row>
    <row r="358" spans="2:9" ht="15.75" customHeight="1" x14ac:dyDescent="0.25">
      <c r="B358" s="1"/>
      <c r="C358" s="1"/>
      <c r="D358" s="1"/>
      <c r="E358" s="1"/>
      <c r="F358" s="1"/>
      <c r="G358" s="1"/>
      <c r="H358" s="1"/>
      <c r="I358" s="1"/>
    </row>
    <row r="359" spans="2:9" ht="15.75" customHeight="1" x14ac:dyDescent="0.25">
      <c r="B359" s="1"/>
      <c r="C359" s="1"/>
      <c r="D359" s="1"/>
      <c r="E359" s="1"/>
      <c r="F359" s="1"/>
      <c r="G359" s="1"/>
      <c r="H359" s="1"/>
      <c r="I359" s="1"/>
    </row>
    <row r="360" spans="2:9" ht="15.75" customHeight="1" x14ac:dyDescent="0.25">
      <c r="B360" s="1"/>
      <c r="C360" s="1"/>
      <c r="D360" s="1"/>
      <c r="E360" s="1"/>
      <c r="F360" s="1"/>
      <c r="G360" s="1"/>
      <c r="H360" s="1"/>
      <c r="I360" s="1"/>
    </row>
    <row r="361" spans="2:9" ht="15.75" customHeight="1" x14ac:dyDescent="0.25">
      <c r="B361" s="1"/>
      <c r="C361" s="1"/>
      <c r="D361" s="1"/>
      <c r="E361" s="1"/>
      <c r="F361" s="1"/>
      <c r="G361" s="1"/>
      <c r="H361" s="1"/>
      <c r="I361" s="1"/>
    </row>
    <row r="362" spans="2:9" ht="15.75" customHeight="1" x14ac:dyDescent="0.25">
      <c r="B362" s="1"/>
      <c r="C362" s="1"/>
      <c r="D362" s="1"/>
      <c r="E362" s="1"/>
      <c r="F362" s="1"/>
      <c r="G362" s="1"/>
      <c r="H362" s="1"/>
      <c r="I362" s="1"/>
    </row>
    <row r="363" spans="2:9" ht="15.75" customHeight="1" x14ac:dyDescent="0.25">
      <c r="B363" s="1"/>
      <c r="C363" s="1"/>
      <c r="D363" s="1"/>
      <c r="E363" s="1"/>
      <c r="F363" s="1"/>
      <c r="G363" s="1"/>
      <c r="H363" s="1"/>
      <c r="I363" s="1"/>
    </row>
    <row r="364" spans="2:9" ht="15.75" customHeight="1" x14ac:dyDescent="0.25">
      <c r="B364" s="1"/>
      <c r="C364" s="1"/>
      <c r="D364" s="1"/>
      <c r="E364" s="1"/>
      <c r="F364" s="1"/>
      <c r="G364" s="1"/>
      <c r="H364" s="1"/>
      <c r="I364" s="1"/>
    </row>
    <row r="365" spans="2:9" ht="15.75" customHeight="1" x14ac:dyDescent="0.25">
      <c r="B365" s="1"/>
      <c r="C365" s="1"/>
      <c r="D365" s="1"/>
      <c r="E365" s="1"/>
      <c r="F365" s="1"/>
      <c r="G365" s="1"/>
      <c r="H365" s="1"/>
      <c r="I365" s="1"/>
    </row>
    <row r="366" spans="2:9" ht="15.75" customHeight="1" x14ac:dyDescent="0.25">
      <c r="B366" s="1"/>
      <c r="C366" s="1"/>
      <c r="D366" s="1"/>
      <c r="E366" s="1"/>
      <c r="F366" s="1"/>
      <c r="G366" s="1"/>
      <c r="H366" s="1"/>
      <c r="I366" s="1"/>
    </row>
    <row r="367" spans="2:9" ht="15.75" customHeight="1" x14ac:dyDescent="0.25">
      <c r="B367" s="1"/>
      <c r="C367" s="1"/>
      <c r="D367" s="1"/>
      <c r="E367" s="1"/>
      <c r="F367" s="1"/>
      <c r="G367" s="1"/>
      <c r="H367" s="1"/>
      <c r="I367" s="1"/>
    </row>
    <row r="368" spans="2:9" ht="15.75" customHeight="1" x14ac:dyDescent="0.25">
      <c r="B368" s="1"/>
      <c r="C368" s="1"/>
      <c r="D368" s="1"/>
      <c r="E368" s="1"/>
      <c r="F368" s="1"/>
      <c r="G368" s="1"/>
      <c r="H368" s="1"/>
      <c r="I368" s="1"/>
    </row>
    <row r="369" spans="2:9" ht="15.75" customHeight="1" x14ac:dyDescent="0.25">
      <c r="B369" s="1"/>
      <c r="C369" s="1"/>
      <c r="D369" s="1"/>
      <c r="E369" s="1"/>
      <c r="F369" s="1"/>
      <c r="G369" s="1"/>
      <c r="H369" s="1"/>
      <c r="I369" s="1"/>
    </row>
    <row r="370" spans="2:9" ht="15.75" customHeight="1" x14ac:dyDescent="0.25">
      <c r="B370" s="1"/>
      <c r="C370" s="1"/>
      <c r="D370" s="1"/>
      <c r="E370" s="1"/>
      <c r="F370" s="1"/>
      <c r="G370" s="1"/>
      <c r="H370" s="1"/>
      <c r="I370" s="1"/>
    </row>
    <row r="371" spans="2:9" ht="15.75" customHeight="1" x14ac:dyDescent="0.25">
      <c r="B371" s="1"/>
      <c r="C371" s="1"/>
      <c r="D371" s="1"/>
      <c r="E371" s="1"/>
      <c r="F371" s="1"/>
      <c r="G371" s="1"/>
      <c r="H371" s="1"/>
      <c r="I371" s="1"/>
    </row>
    <row r="372" spans="2:9" ht="15.75" customHeight="1" x14ac:dyDescent="0.25">
      <c r="B372" s="1"/>
      <c r="C372" s="1"/>
      <c r="D372" s="1"/>
      <c r="E372" s="1"/>
      <c r="F372" s="1"/>
      <c r="G372" s="1"/>
      <c r="H372" s="1"/>
      <c r="I372" s="1"/>
    </row>
    <row r="373" spans="2:9" ht="15.75" customHeight="1" x14ac:dyDescent="0.25">
      <c r="B373" s="1"/>
      <c r="C373" s="1"/>
      <c r="D373" s="1"/>
      <c r="E373" s="1"/>
      <c r="F373" s="1"/>
      <c r="G373" s="1"/>
      <c r="H373" s="1"/>
      <c r="I373" s="1"/>
    </row>
    <row r="374" spans="2:9" ht="15.75" customHeight="1" x14ac:dyDescent="0.25">
      <c r="B374" s="1"/>
      <c r="C374" s="1"/>
      <c r="D374" s="1"/>
      <c r="E374" s="1"/>
      <c r="F374" s="1"/>
      <c r="G374" s="1"/>
      <c r="H374" s="1"/>
      <c r="I374" s="1"/>
    </row>
    <row r="375" spans="2:9" ht="15.75" customHeight="1" x14ac:dyDescent="0.25">
      <c r="B375" s="1"/>
      <c r="C375" s="1"/>
      <c r="D375" s="1"/>
      <c r="E375" s="1"/>
      <c r="F375" s="1"/>
      <c r="G375" s="1"/>
      <c r="H375" s="1"/>
      <c r="I375" s="1"/>
    </row>
    <row r="376" spans="2:9" ht="15.75" customHeight="1" x14ac:dyDescent="0.25">
      <c r="B376" s="1"/>
      <c r="C376" s="1"/>
      <c r="D376" s="1"/>
      <c r="E376" s="1"/>
      <c r="F376" s="1"/>
      <c r="G376" s="1"/>
      <c r="H376" s="1"/>
      <c r="I376" s="1"/>
    </row>
    <row r="377" spans="2:9" ht="15.75" customHeight="1" x14ac:dyDescent="0.25">
      <c r="B377" s="1"/>
      <c r="C377" s="1"/>
      <c r="D377" s="1"/>
      <c r="E377" s="1"/>
      <c r="F377" s="1"/>
      <c r="G377" s="1"/>
      <c r="H377" s="1"/>
      <c r="I377" s="1"/>
    </row>
    <row r="378" spans="2:9" ht="15.75" customHeight="1" x14ac:dyDescent="0.25">
      <c r="B378" s="1"/>
      <c r="C378" s="1"/>
      <c r="D378" s="1"/>
      <c r="E378" s="1"/>
      <c r="F378" s="1"/>
      <c r="G378" s="1"/>
      <c r="H378" s="1"/>
      <c r="I378" s="1"/>
    </row>
    <row r="379" spans="2:9" ht="15.75" customHeight="1" x14ac:dyDescent="0.25">
      <c r="B379" s="1"/>
      <c r="C379" s="1"/>
      <c r="D379" s="1"/>
      <c r="E379" s="1"/>
      <c r="F379" s="1"/>
      <c r="G379" s="1"/>
      <c r="H379" s="1"/>
      <c r="I379" s="1"/>
    </row>
    <row r="380" spans="2:9" ht="15.75" customHeight="1" x14ac:dyDescent="0.25">
      <c r="B380" s="1"/>
      <c r="C380" s="1"/>
      <c r="D380" s="1"/>
      <c r="E380" s="1"/>
      <c r="F380" s="1"/>
      <c r="G380" s="1"/>
      <c r="H380" s="1"/>
      <c r="I380" s="1"/>
    </row>
    <row r="381" spans="2:9" ht="15.75" customHeight="1" x14ac:dyDescent="0.25">
      <c r="B381" s="1"/>
      <c r="C381" s="1"/>
      <c r="D381" s="1"/>
      <c r="E381" s="1"/>
      <c r="F381" s="1"/>
      <c r="G381" s="1"/>
      <c r="H381" s="1"/>
      <c r="I381" s="1"/>
    </row>
    <row r="382" spans="2:9" ht="15.75" customHeight="1" x14ac:dyDescent="0.25">
      <c r="B382" s="1"/>
      <c r="C382" s="1"/>
      <c r="D382" s="1"/>
      <c r="E382" s="1"/>
      <c r="F382" s="1"/>
      <c r="G382" s="1"/>
      <c r="H382" s="1"/>
      <c r="I382" s="1"/>
    </row>
    <row r="383" spans="2:9" ht="15.75" customHeight="1" x14ac:dyDescent="0.25">
      <c r="B383" s="1"/>
      <c r="C383" s="1"/>
      <c r="D383" s="1"/>
      <c r="E383" s="1"/>
      <c r="F383" s="1"/>
      <c r="G383" s="1"/>
      <c r="H383" s="1"/>
      <c r="I383" s="1"/>
    </row>
    <row r="384" spans="2:9" ht="15.75" customHeight="1" x14ac:dyDescent="0.25">
      <c r="B384" s="1"/>
      <c r="C384" s="1"/>
      <c r="D384" s="1"/>
      <c r="E384" s="1"/>
      <c r="F384" s="1"/>
      <c r="G384" s="1"/>
      <c r="H384" s="1"/>
      <c r="I384" s="1"/>
    </row>
    <row r="385" spans="2:9" ht="15.75" customHeight="1" x14ac:dyDescent="0.25">
      <c r="B385" s="1"/>
      <c r="C385" s="1"/>
      <c r="D385" s="1"/>
      <c r="E385" s="1"/>
      <c r="F385" s="1"/>
      <c r="G385" s="1"/>
      <c r="H385" s="1"/>
      <c r="I385" s="1"/>
    </row>
    <row r="386" spans="2:9" ht="15.75" customHeight="1" x14ac:dyDescent="0.25">
      <c r="B386" s="1"/>
      <c r="C386" s="1"/>
      <c r="D386" s="1"/>
      <c r="E386" s="1"/>
      <c r="F386" s="1"/>
      <c r="G386" s="1"/>
      <c r="H386" s="1"/>
      <c r="I386" s="1"/>
    </row>
    <row r="387" spans="2:9" ht="15.75" customHeight="1" x14ac:dyDescent="0.25">
      <c r="B387" s="1"/>
      <c r="C387" s="1"/>
      <c r="D387" s="1"/>
      <c r="E387" s="1"/>
      <c r="F387" s="1"/>
      <c r="G387" s="1"/>
      <c r="H387" s="1"/>
      <c r="I387" s="1"/>
    </row>
    <row r="388" spans="2:9" ht="15.75" customHeight="1" x14ac:dyDescent="0.25">
      <c r="B388" s="1"/>
      <c r="C388" s="1"/>
      <c r="D388" s="1"/>
      <c r="E388" s="1"/>
      <c r="F388" s="1"/>
      <c r="G388" s="1"/>
      <c r="H388" s="1"/>
      <c r="I388" s="1"/>
    </row>
    <row r="389" spans="2:9" ht="15.75" customHeight="1" x14ac:dyDescent="0.25">
      <c r="B389" s="1"/>
      <c r="C389" s="1"/>
      <c r="D389" s="1"/>
      <c r="E389" s="1"/>
      <c r="F389" s="1"/>
      <c r="G389" s="1"/>
      <c r="H389" s="1"/>
      <c r="I389" s="1"/>
    </row>
    <row r="390" spans="2:9" ht="15.75" customHeight="1" x14ac:dyDescent="0.25">
      <c r="B390" s="1"/>
      <c r="C390" s="1"/>
      <c r="D390" s="1"/>
      <c r="E390" s="1"/>
      <c r="F390" s="1"/>
      <c r="G390" s="1"/>
      <c r="H390" s="1"/>
      <c r="I390" s="1"/>
    </row>
    <row r="391" spans="2:9" ht="15.75" customHeight="1" x14ac:dyDescent="0.25">
      <c r="B391" s="1"/>
      <c r="C391" s="1"/>
      <c r="D391" s="1"/>
      <c r="E391" s="1"/>
      <c r="F391" s="1"/>
      <c r="G391" s="1"/>
      <c r="H391" s="1"/>
      <c r="I391" s="1"/>
    </row>
    <row r="392" spans="2:9" ht="15.75" customHeight="1" x14ac:dyDescent="0.25">
      <c r="B392" s="1"/>
      <c r="C392" s="1"/>
      <c r="D392" s="1"/>
      <c r="E392" s="1"/>
      <c r="F392" s="1"/>
      <c r="G392" s="1"/>
      <c r="H392" s="1"/>
      <c r="I392" s="1"/>
    </row>
    <row r="393" spans="2:9" ht="15.75" customHeight="1" x14ac:dyDescent="0.25">
      <c r="B393" s="1"/>
      <c r="C393" s="1"/>
      <c r="D393" s="1"/>
      <c r="E393" s="1"/>
      <c r="F393" s="1"/>
      <c r="G393" s="1"/>
      <c r="H393" s="1"/>
      <c r="I393" s="1"/>
    </row>
    <row r="394" spans="2:9" ht="15.75" customHeight="1" x14ac:dyDescent="0.25">
      <c r="B394" s="1"/>
      <c r="C394" s="1"/>
      <c r="D394" s="1"/>
      <c r="E394" s="1"/>
      <c r="F394" s="1"/>
      <c r="G394" s="1"/>
      <c r="H394" s="1"/>
      <c r="I394" s="1"/>
    </row>
    <row r="395" spans="2:9" ht="15.75" customHeight="1" x14ac:dyDescent="0.25">
      <c r="B395" s="1"/>
      <c r="C395" s="1"/>
      <c r="D395" s="1"/>
      <c r="E395" s="1"/>
      <c r="F395" s="1"/>
      <c r="G395" s="1"/>
      <c r="H395" s="1"/>
      <c r="I395" s="1"/>
    </row>
    <row r="396" spans="2:9" ht="15.75" customHeight="1" x14ac:dyDescent="0.25">
      <c r="B396" s="1"/>
      <c r="C396" s="1"/>
      <c r="D396" s="1"/>
      <c r="E396" s="1"/>
      <c r="F396" s="1"/>
      <c r="G396" s="1"/>
      <c r="H396" s="1"/>
      <c r="I396" s="1"/>
    </row>
    <row r="397" spans="2:9" ht="15.75" customHeight="1" x14ac:dyDescent="0.25">
      <c r="B397" s="1"/>
      <c r="C397" s="1"/>
      <c r="D397" s="1"/>
      <c r="E397" s="1"/>
      <c r="F397" s="1"/>
      <c r="G397" s="1"/>
      <c r="H397" s="1"/>
      <c r="I397" s="1"/>
    </row>
    <row r="398" spans="2:9" ht="15.75" customHeight="1" x14ac:dyDescent="0.25">
      <c r="B398" s="1"/>
      <c r="C398" s="1"/>
      <c r="D398" s="1"/>
      <c r="E398" s="1"/>
      <c r="F398" s="1"/>
      <c r="G398" s="1"/>
      <c r="H398" s="1"/>
      <c r="I398" s="1"/>
    </row>
    <row r="399" spans="2:9" ht="15.75" customHeight="1" x14ac:dyDescent="0.25">
      <c r="B399" s="1"/>
      <c r="C399" s="1"/>
      <c r="D399" s="1"/>
      <c r="E399" s="1"/>
      <c r="F399" s="1"/>
      <c r="G399" s="1"/>
      <c r="H399" s="1"/>
      <c r="I399" s="1"/>
    </row>
    <row r="400" spans="2:9" ht="15.75" customHeight="1" x14ac:dyDescent="0.25">
      <c r="B400" s="1"/>
      <c r="C400" s="1"/>
      <c r="D400" s="1"/>
      <c r="E400" s="1"/>
      <c r="F400" s="1"/>
      <c r="G400" s="1"/>
      <c r="H400" s="1"/>
      <c r="I400" s="1"/>
    </row>
    <row r="401" spans="2:9" ht="15.75" customHeight="1" x14ac:dyDescent="0.25">
      <c r="B401" s="1"/>
      <c r="C401" s="1"/>
      <c r="D401" s="1"/>
      <c r="E401" s="1"/>
      <c r="F401" s="1"/>
      <c r="G401" s="1"/>
      <c r="H401" s="1"/>
      <c r="I401" s="1"/>
    </row>
    <row r="402" spans="2:9" ht="15.75" customHeight="1" x14ac:dyDescent="0.25">
      <c r="B402" s="1"/>
      <c r="C402" s="1"/>
      <c r="D402" s="1"/>
      <c r="E402" s="1"/>
      <c r="F402" s="1"/>
      <c r="G402" s="1"/>
      <c r="H402" s="1"/>
      <c r="I402" s="1"/>
    </row>
    <row r="403" spans="2:9" ht="15.75" customHeight="1" x14ac:dyDescent="0.25">
      <c r="B403" s="1"/>
      <c r="C403" s="1"/>
      <c r="D403" s="1"/>
      <c r="E403" s="1"/>
      <c r="F403" s="1"/>
      <c r="G403" s="1"/>
      <c r="H403" s="1"/>
      <c r="I403" s="1"/>
    </row>
    <row r="404" spans="2:9" ht="15.75" customHeight="1" x14ac:dyDescent="0.25">
      <c r="B404" s="1"/>
      <c r="C404" s="1"/>
      <c r="D404" s="1"/>
      <c r="E404" s="1"/>
      <c r="F404" s="1"/>
      <c r="G404" s="1"/>
      <c r="H404" s="1"/>
      <c r="I404" s="1"/>
    </row>
    <row r="405" spans="2:9" ht="15.75" customHeight="1" x14ac:dyDescent="0.25">
      <c r="B405" s="1"/>
      <c r="C405" s="1"/>
      <c r="D405" s="1"/>
      <c r="E405" s="1"/>
      <c r="F405" s="1"/>
      <c r="G405" s="1"/>
      <c r="H405" s="1"/>
      <c r="I405" s="1"/>
    </row>
    <row r="406" spans="2:9" ht="15.75" customHeight="1" x14ac:dyDescent="0.25">
      <c r="B406" s="1"/>
      <c r="C406" s="1"/>
      <c r="D406" s="1"/>
      <c r="E406" s="1"/>
      <c r="F406" s="1"/>
      <c r="G406" s="1"/>
      <c r="H406" s="1"/>
      <c r="I406" s="1"/>
    </row>
    <row r="407" spans="2:9" ht="15.75" customHeight="1" x14ac:dyDescent="0.25">
      <c r="B407" s="1"/>
      <c r="C407" s="1"/>
      <c r="D407" s="1"/>
      <c r="E407" s="1"/>
      <c r="F407" s="1"/>
      <c r="G407" s="1"/>
      <c r="H407" s="1"/>
      <c r="I407" s="1"/>
    </row>
    <row r="408" spans="2:9" ht="15.75" customHeight="1" x14ac:dyDescent="0.25">
      <c r="B408" s="1"/>
      <c r="C408" s="1"/>
      <c r="D408" s="1"/>
      <c r="E408" s="1"/>
      <c r="F408" s="1"/>
      <c r="G408" s="1"/>
      <c r="H408" s="1"/>
      <c r="I408" s="1"/>
    </row>
    <row r="409" spans="2:9" ht="15.75" customHeight="1" x14ac:dyDescent="0.25">
      <c r="B409" s="1"/>
      <c r="C409" s="1"/>
      <c r="D409" s="1"/>
      <c r="E409" s="1"/>
      <c r="F409" s="1"/>
      <c r="G409" s="1"/>
      <c r="H409" s="1"/>
      <c r="I409" s="1"/>
    </row>
    <row r="410" spans="2:9" ht="15.75" customHeight="1" x14ac:dyDescent="0.25">
      <c r="B410" s="1"/>
      <c r="C410" s="1"/>
      <c r="D410" s="1"/>
      <c r="E410" s="1"/>
      <c r="F410" s="1"/>
      <c r="G410" s="1"/>
      <c r="H410" s="1"/>
      <c r="I410" s="1"/>
    </row>
    <row r="411" spans="2:9" ht="15.75" customHeight="1" x14ac:dyDescent="0.25">
      <c r="B411" s="1"/>
      <c r="C411" s="1"/>
      <c r="D411" s="1"/>
      <c r="E411" s="1"/>
      <c r="F411" s="1"/>
      <c r="G411" s="1"/>
      <c r="H411" s="1"/>
      <c r="I411" s="1"/>
    </row>
    <row r="412" spans="2:9" ht="15.75" customHeight="1" x14ac:dyDescent="0.25">
      <c r="B412" s="1"/>
      <c r="C412" s="1"/>
      <c r="D412" s="1"/>
      <c r="E412" s="1"/>
      <c r="F412" s="1"/>
      <c r="G412" s="1"/>
      <c r="H412" s="1"/>
      <c r="I412" s="1"/>
    </row>
    <row r="413" spans="2:9" ht="15.75" customHeight="1" x14ac:dyDescent="0.25">
      <c r="B413" s="1"/>
      <c r="C413" s="1"/>
      <c r="D413" s="1"/>
      <c r="E413" s="1"/>
      <c r="F413" s="1"/>
      <c r="G413" s="1"/>
      <c r="H413" s="1"/>
      <c r="I413" s="1"/>
    </row>
    <row r="414" spans="2:9" ht="15.75" customHeight="1" x14ac:dyDescent="0.25">
      <c r="B414" s="1"/>
      <c r="C414" s="1"/>
      <c r="D414" s="1"/>
      <c r="E414" s="1"/>
      <c r="F414" s="1"/>
      <c r="G414" s="1"/>
      <c r="H414" s="1"/>
      <c r="I414" s="1"/>
    </row>
    <row r="415" spans="2:9" ht="15.75" customHeight="1" x14ac:dyDescent="0.25">
      <c r="B415" s="1"/>
      <c r="C415" s="1"/>
      <c r="D415" s="1"/>
      <c r="E415" s="1"/>
      <c r="F415" s="1"/>
      <c r="G415" s="1"/>
      <c r="H415" s="1"/>
      <c r="I415" s="1"/>
    </row>
    <row r="416" spans="2:9" ht="15.75" customHeight="1" x14ac:dyDescent="0.25">
      <c r="B416" s="1"/>
      <c r="C416" s="1"/>
      <c r="D416" s="1"/>
      <c r="E416" s="1"/>
      <c r="F416" s="1"/>
      <c r="G416" s="1"/>
      <c r="H416" s="1"/>
      <c r="I416" s="1"/>
    </row>
    <row r="417" spans="2:9" ht="15.75" customHeight="1" x14ac:dyDescent="0.25">
      <c r="B417" s="1"/>
      <c r="C417" s="1"/>
      <c r="D417" s="1"/>
      <c r="E417" s="1"/>
      <c r="F417" s="1"/>
      <c r="G417" s="1"/>
      <c r="H417" s="1"/>
      <c r="I417" s="1"/>
    </row>
    <row r="418" spans="2:9" ht="15.75" customHeight="1" x14ac:dyDescent="0.25">
      <c r="B418" s="1"/>
      <c r="C418" s="1"/>
      <c r="D418" s="1"/>
      <c r="E418" s="1"/>
      <c r="F418" s="1"/>
      <c r="G418" s="1"/>
      <c r="H418" s="1"/>
      <c r="I418" s="1"/>
    </row>
    <row r="419" spans="2:9" ht="15.75" customHeight="1" x14ac:dyDescent="0.25">
      <c r="B419" s="1"/>
      <c r="C419" s="1"/>
      <c r="D419" s="1"/>
      <c r="E419" s="1"/>
      <c r="F419" s="1"/>
      <c r="G419" s="1"/>
      <c r="H419" s="1"/>
      <c r="I419" s="1"/>
    </row>
    <row r="420" spans="2:9" ht="15.75" customHeight="1" x14ac:dyDescent="0.25">
      <c r="B420" s="1"/>
      <c r="C420" s="1"/>
      <c r="D420" s="1"/>
      <c r="E420" s="1"/>
      <c r="F420" s="1"/>
      <c r="G420" s="1"/>
      <c r="H420" s="1"/>
      <c r="I420" s="1"/>
    </row>
    <row r="421" spans="2:9" ht="15.75" customHeight="1" x14ac:dyDescent="0.25">
      <c r="B421" s="1"/>
      <c r="C421" s="1"/>
      <c r="D421" s="1"/>
      <c r="E421" s="1"/>
      <c r="F421" s="1"/>
      <c r="G421" s="1"/>
      <c r="H421" s="1"/>
      <c r="I421" s="1"/>
    </row>
    <row r="422" spans="2:9" ht="15.75" customHeight="1" x14ac:dyDescent="0.25">
      <c r="B422" s="1"/>
      <c r="C422" s="1"/>
      <c r="D422" s="1"/>
      <c r="E422" s="1"/>
      <c r="F422" s="1"/>
      <c r="G422" s="1"/>
      <c r="H422" s="1"/>
      <c r="I422" s="1"/>
    </row>
    <row r="423" spans="2:9" ht="15.75" customHeight="1" x14ac:dyDescent="0.25">
      <c r="B423" s="1"/>
      <c r="C423" s="1"/>
      <c r="D423" s="1"/>
      <c r="E423" s="1"/>
      <c r="F423" s="1"/>
      <c r="G423" s="1"/>
      <c r="H423" s="1"/>
      <c r="I423" s="1"/>
    </row>
    <row r="424" spans="2:9" ht="15.75" customHeight="1" x14ac:dyDescent="0.25">
      <c r="B424" s="1"/>
      <c r="C424" s="1"/>
      <c r="D424" s="1"/>
      <c r="E424" s="1"/>
      <c r="F424" s="1"/>
      <c r="G424" s="1"/>
      <c r="H424" s="1"/>
      <c r="I424" s="1"/>
    </row>
    <row r="425" spans="2:9" ht="15.75" customHeight="1" x14ac:dyDescent="0.25">
      <c r="B425" s="1"/>
      <c r="C425" s="1"/>
      <c r="D425" s="1"/>
      <c r="E425" s="1"/>
      <c r="F425" s="1"/>
      <c r="G425" s="1"/>
      <c r="H425" s="1"/>
      <c r="I425" s="1"/>
    </row>
    <row r="426" spans="2:9" ht="15.75" customHeight="1" x14ac:dyDescent="0.25">
      <c r="B426" s="1"/>
      <c r="C426" s="1"/>
      <c r="D426" s="1"/>
      <c r="E426" s="1"/>
      <c r="F426" s="1"/>
      <c r="G426" s="1"/>
      <c r="H426" s="1"/>
      <c r="I426" s="1"/>
    </row>
    <row r="427" spans="2:9" ht="15.75" customHeight="1" x14ac:dyDescent="0.25">
      <c r="B427" s="1"/>
      <c r="C427" s="1"/>
      <c r="D427" s="1"/>
      <c r="E427" s="1"/>
      <c r="F427" s="1"/>
      <c r="G427" s="1"/>
      <c r="H427" s="1"/>
      <c r="I427" s="1"/>
    </row>
    <row r="428" spans="2:9" ht="15.75" customHeight="1" x14ac:dyDescent="0.25">
      <c r="B428" s="1"/>
      <c r="C428" s="1"/>
      <c r="D428" s="1"/>
      <c r="E428" s="1"/>
      <c r="F428" s="1"/>
      <c r="G428" s="1"/>
      <c r="H428" s="1"/>
      <c r="I428" s="1"/>
    </row>
    <row r="429" spans="2:9" ht="15.75" customHeight="1" x14ac:dyDescent="0.25">
      <c r="B429" s="1"/>
      <c r="C429" s="1"/>
      <c r="D429" s="1"/>
      <c r="E429" s="1"/>
      <c r="F429" s="1"/>
      <c r="G429" s="1"/>
      <c r="H429" s="1"/>
      <c r="I429" s="1"/>
    </row>
    <row r="430" spans="2:9" ht="15.75" customHeight="1" x14ac:dyDescent="0.25">
      <c r="B430" s="1"/>
      <c r="C430" s="1"/>
      <c r="D430" s="1"/>
      <c r="E430" s="1"/>
      <c r="F430" s="1"/>
      <c r="G430" s="1"/>
      <c r="H430" s="1"/>
      <c r="I430" s="1"/>
    </row>
    <row r="431" spans="2:9" ht="15.75" customHeight="1" x14ac:dyDescent="0.25">
      <c r="B431" s="1"/>
      <c r="C431" s="1"/>
      <c r="D431" s="1"/>
      <c r="E431" s="1"/>
      <c r="F431" s="1"/>
      <c r="G431" s="1"/>
      <c r="H431" s="1"/>
      <c r="I431" s="1"/>
    </row>
    <row r="432" spans="2:9" ht="15.75" customHeight="1" x14ac:dyDescent="0.25">
      <c r="B432" s="1"/>
      <c r="C432" s="1"/>
      <c r="D432" s="1"/>
      <c r="E432" s="1"/>
      <c r="F432" s="1"/>
      <c r="G432" s="1"/>
      <c r="H432" s="1"/>
      <c r="I432" s="1"/>
    </row>
    <row r="433" spans="2:9" ht="15.75" customHeight="1" x14ac:dyDescent="0.25">
      <c r="B433" s="1"/>
      <c r="C433" s="1"/>
      <c r="D433" s="1"/>
      <c r="E433" s="1"/>
      <c r="F433" s="1"/>
      <c r="G433" s="1"/>
      <c r="H433" s="1"/>
      <c r="I433" s="1"/>
    </row>
    <row r="434" spans="2:9" ht="15.75" customHeight="1" x14ac:dyDescent="0.25">
      <c r="B434" s="1"/>
      <c r="C434" s="1"/>
      <c r="D434" s="1"/>
      <c r="E434" s="1"/>
      <c r="F434" s="1"/>
      <c r="G434" s="1"/>
      <c r="H434" s="1"/>
      <c r="I434" s="1"/>
    </row>
    <row r="435" spans="2:9" ht="15.75" customHeight="1" x14ac:dyDescent="0.25">
      <c r="B435" s="1"/>
      <c r="C435" s="1"/>
      <c r="D435" s="1"/>
      <c r="E435" s="1"/>
      <c r="F435" s="1"/>
      <c r="G435" s="1"/>
      <c r="H435" s="1"/>
      <c r="I435" s="1"/>
    </row>
    <row r="436" spans="2:9" ht="15.75" customHeight="1" x14ac:dyDescent="0.25">
      <c r="B436" s="1"/>
      <c r="C436" s="1"/>
      <c r="D436" s="1"/>
      <c r="E436" s="1"/>
      <c r="F436" s="1"/>
      <c r="G436" s="1"/>
      <c r="H436" s="1"/>
      <c r="I436" s="1"/>
    </row>
    <row r="437" spans="2:9" ht="15.75" customHeight="1" x14ac:dyDescent="0.25">
      <c r="B437" s="1"/>
      <c r="C437" s="1"/>
      <c r="D437" s="1"/>
      <c r="E437" s="1"/>
      <c r="F437" s="1"/>
      <c r="G437" s="1"/>
      <c r="H437" s="1"/>
      <c r="I437" s="1"/>
    </row>
    <row r="438" spans="2:9" ht="15.75" customHeight="1" x14ac:dyDescent="0.25">
      <c r="B438" s="1"/>
      <c r="C438" s="1"/>
      <c r="D438" s="1"/>
      <c r="E438" s="1"/>
      <c r="F438" s="1"/>
      <c r="G438" s="1"/>
      <c r="H438" s="1"/>
      <c r="I438" s="1"/>
    </row>
    <row r="439" spans="2:9" ht="15.75" customHeight="1" x14ac:dyDescent="0.25">
      <c r="B439" s="1"/>
      <c r="C439" s="1"/>
      <c r="D439" s="1"/>
      <c r="E439" s="1"/>
      <c r="F439" s="1"/>
      <c r="G439" s="1"/>
      <c r="H439" s="1"/>
      <c r="I439" s="1"/>
    </row>
    <row r="440" spans="2:9" ht="15.75" customHeight="1" x14ac:dyDescent="0.25">
      <c r="B440" s="1"/>
      <c r="C440" s="1"/>
      <c r="D440" s="1"/>
      <c r="E440" s="1"/>
      <c r="F440" s="1"/>
      <c r="G440" s="1"/>
      <c r="H440" s="1"/>
      <c r="I440" s="1"/>
    </row>
    <row r="441" spans="2:9" ht="15.75" customHeight="1" x14ac:dyDescent="0.25">
      <c r="B441" s="1"/>
      <c r="C441" s="1"/>
      <c r="D441" s="1"/>
      <c r="E441" s="1"/>
      <c r="F441" s="1"/>
      <c r="G441" s="1"/>
      <c r="H441" s="1"/>
      <c r="I441" s="1"/>
    </row>
    <row r="442" spans="2:9" ht="15.75" customHeight="1" x14ac:dyDescent="0.25">
      <c r="B442" s="1"/>
      <c r="C442" s="1"/>
      <c r="D442" s="1"/>
      <c r="E442" s="1"/>
      <c r="F442" s="1"/>
      <c r="G442" s="1"/>
      <c r="H442" s="1"/>
      <c r="I442" s="1"/>
    </row>
    <row r="443" spans="2:9" ht="15.75" customHeight="1" x14ac:dyDescent="0.25">
      <c r="B443" s="1"/>
      <c r="C443" s="1"/>
      <c r="D443" s="1"/>
      <c r="E443" s="1"/>
      <c r="F443" s="1"/>
      <c r="G443" s="1"/>
      <c r="H443" s="1"/>
      <c r="I443" s="1"/>
    </row>
    <row r="444" spans="2:9" ht="15.75" customHeight="1" x14ac:dyDescent="0.25">
      <c r="B444" s="1"/>
      <c r="C444" s="1"/>
      <c r="D444" s="1"/>
      <c r="E444" s="1"/>
      <c r="F444" s="1"/>
      <c r="G444" s="1"/>
      <c r="H444" s="1"/>
      <c r="I444" s="1"/>
    </row>
    <row r="445" spans="2:9" ht="15.75" customHeight="1" x14ac:dyDescent="0.25">
      <c r="B445" s="1"/>
      <c r="C445" s="1"/>
      <c r="D445" s="1"/>
      <c r="E445" s="1"/>
      <c r="F445" s="1"/>
      <c r="G445" s="1"/>
      <c r="H445" s="1"/>
      <c r="I445" s="1"/>
    </row>
    <row r="446" spans="2:9" ht="15.75" customHeight="1" x14ac:dyDescent="0.25">
      <c r="B446" s="1"/>
      <c r="C446" s="1"/>
      <c r="D446" s="1"/>
      <c r="E446" s="1"/>
      <c r="F446" s="1"/>
      <c r="G446" s="1"/>
      <c r="H446" s="1"/>
      <c r="I446" s="1"/>
    </row>
    <row r="447" spans="2:9" ht="15.75" customHeight="1" x14ac:dyDescent="0.25">
      <c r="B447" s="1"/>
      <c r="C447" s="1"/>
      <c r="D447" s="1"/>
      <c r="E447" s="1"/>
      <c r="F447" s="1"/>
      <c r="G447" s="1"/>
      <c r="H447" s="1"/>
      <c r="I447" s="1"/>
    </row>
    <row r="448" spans="2:9" ht="15.75" customHeight="1" x14ac:dyDescent="0.25">
      <c r="B448" s="1"/>
      <c r="C448" s="1"/>
      <c r="D448" s="1"/>
      <c r="E448" s="1"/>
      <c r="F448" s="1"/>
      <c r="G448" s="1"/>
      <c r="H448" s="1"/>
      <c r="I448" s="1"/>
    </row>
    <row r="449" spans="2:9" ht="15.75" customHeight="1" x14ac:dyDescent="0.25">
      <c r="B449" s="1"/>
      <c r="C449" s="1"/>
      <c r="D449" s="1"/>
      <c r="E449" s="1"/>
      <c r="F449" s="1"/>
      <c r="G449" s="1"/>
      <c r="H449" s="1"/>
      <c r="I449" s="1"/>
    </row>
    <row r="450" spans="2:9" ht="15.75" customHeight="1" x14ac:dyDescent="0.25">
      <c r="B450" s="1"/>
      <c r="C450" s="1"/>
      <c r="D450" s="1"/>
      <c r="E450" s="1"/>
      <c r="F450" s="1"/>
      <c r="G450" s="1"/>
      <c r="H450" s="1"/>
      <c r="I450" s="1"/>
    </row>
    <row r="451" spans="2:9" ht="15.75" customHeight="1" x14ac:dyDescent="0.25">
      <c r="B451" s="1"/>
      <c r="C451" s="1"/>
      <c r="D451" s="1"/>
      <c r="E451" s="1"/>
      <c r="F451" s="1"/>
      <c r="G451" s="1"/>
      <c r="H451" s="1"/>
      <c r="I451" s="1"/>
    </row>
    <row r="452" spans="2:9" ht="15.75" customHeight="1" x14ac:dyDescent="0.25">
      <c r="B452" s="1"/>
      <c r="C452" s="1"/>
      <c r="D452" s="1"/>
      <c r="E452" s="1"/>
      <c r="F452" s="1"/>
      <c r="G452" s="1"/>
      <c r="H452" s="1"/>
      <c r="I452" s="1"/>
    </row>
    <row r="453" spans="2:9" ht="15.75" customHeight="1" x14ac:dyDescent="0.25">
      <c r="B453" s="1"/>
      <c r="C453" s="1"/>
      <c r="D453" s="1"/>
      <c r="E453" s="1"/>
      <c r="F453" s="1"/>
      <c r="G453" s="1"/>
      <c r="H453" s="1"/>
      <c r="I453" s="1"/>
    </row>
    <row r="454" spans="2:9" ht="15.75" customHeight="1" x14ac:dyDescent="0.25">
      <c r="B454" s="1"/>
      <c r="C454" s="1"/>
      <c r="D454" s="1"/>
      <c r="E454" s="1"/>
      <c r="F454" s="1"/>
      <c r="G454" s="1"/>
      <c r="H454" s="1"/>
      <c r="I454" s="1"/>
    </row>
    <row r="455" spans="2:9" ht="15.75" customHeight="1" x14ac:dyDescent="0.25">
      <c r="B455" s="1"/>
      <c r="C455" s="1"/>
      <c r="D455" s="1"/>
      <c r="E455" s="1"/>
      <c r="F455" s="1"/>
      <c r="G455" s="1"/>
      <c r="H455" s="1"/>
      <c r="I455" s="1"/>
    </row>
    <row r="456" spans="2:9" ht="15.75" customHeight="1" x14ac:dyDescent="0.25">
      <c r="B456" s="1"/>
      <c r="C456" s="1"/>
      <c r="D456" s="1"/>
      <c r="E456" s="1"/>
      <c r="F456" s="1"/>
      <c r="G456" s="1"/>
      <c r="H456" s="1"/>
      <c r="I456" s="1"/>
    </row>
    <row r="457" spans="2:9" ht="15.75" customHeight="1" x14ac:dyDescent="0.25">
      <c r="B457" s="1"/>
      <c r="C457" s="1"/>
      <c r="D457" s="1"/>
      <c r="E457" s="1"/>
      <c r="F457" s="1"/>
      <c r="G457" s="1"/>
      <c r="H457" s="1"/>
      <c r="I457" s="1"/>
    </row>
    <row r="458" spans="2:9" ht="15.75" customHeight="1" x14ac:dyDescent="0.25">
      <c r="B458" s="1"/>
      <c r="C458" s="1"/>
      <c r="D458" s="1"/>
      <c r="E458" s="1"/>
      <c r="F458" s="1"/>
      <c r="G458" s="1"/>
      <c r="H458" s="1"/>
      <c r="I458" s="1"/>
    </row>
    <row r="459" spans="2:9" ht="15.75" customHeight="1" x14ac:dyDescent="0.25">
      <c r="B459" s="1"/>
      <c r="C459" s="1"/>
      <c r="D459" s="1"/>
      <c r="E459" s="1"/>
      <c r="F459" s="1"/>
      <c r="G459" s="1"/>
      <c r="H459" s="1"/>
      <c r="I459" s="1"/>
    </row>
    <row r="460" spans="2:9" ht="15.75" customHeight="1" x14ac:dyDescent="0.25">
      <c r="B460" s="1"/>
      <c r="C460" s="1"/>
      <c r="D460" s="1"/>
      <c r="E460" s="1"/>
      <c r="F460" s="1"/>
      <c r="G460" s="1"/>
      <c r="H460" s="1"/>
      <c r="I460" s="1"/>
    </row>
    <row r="461" spans="2:9" ht="15.75" customHeight="1" x14ac:dyDescent="0.25">
      <c r="B461" s="1"/>
      <c r="C461" s="1"/>
      <c r="D461" s="1"/>
      <c r="E461" s="1"/>
      <c r="F461" s="1"/>
      <c r="G461" s="1"/>
      <c r="H461" s="1"/>
      <c r="I461" s="1"/>
    </row>
    <row r="462" spans="2:9" ht="15.75" customHeight="1" x14ac:dyDescent="0.25">
      <c r="B462" s="1"/>
      <c r="C462" s="1"/>
      <c r="D462" s="1"/>
      <c r="E462" s="1"/>
      <c r="F462" s="1"/>
      <c r="G462" s="1"/>
      <c r="H462" s="1"/>
      <c r="I462" s="1"/>
    </row>
    <row r="463" spans="2:9" ht="15.75" customHeight="1" x14ac:dyDescent="0.25">
      <c r="B463" s="1"/>
      <c r="C463" s="1"/>
      <c r="D463" s="1"/>
      <c r="E463" s="1"/>
      <c r="F463" s="1"/>
      <c r="G463" s="1"/>
      <c r="H463" s="1"/>
      <c r="I463" s="1"/>
    </row>
    <row r="464" spans="2:9" ht="15.75" customHeight="1" x14ac:dyDescent="0.25">
      <c r="B464" s="1"/>
      <c r="C464" s="1"/>
      <c r="D464" s="1"/>
      <c r="E464" s="1"/>
      <c r="F464" s="1"/>
      <c r="G464" s="1"/>
      <c r="H464" s="1"/>
      <c r="I464" s="1"/>
    </row>
    <row r="465" spans="2:9" ht="15.75" customHeight="1" x14ac:dyDescent="0.25">
      <c r="B465" s="1"/>
      <c r="C465" s="1"/>
      <c r="D465" s="1"/>
      <c r="E465" s="1"/>
      <c r="F465" s="1"/>
      <c r="G465" s="1"/>
      <c r="H465" s="1"/>
      <c r="I465" s="1"/>
    </row>
    <row r="466" spans="2:9" ht="15.75" customHeight="1" x14ac:dyDescent="0.25">
      <c r="B466" s="1"/>
      <c r="C466" s="1"/>
      <c r="D466" s="1"/>
      <c r="E466" s="1"/>
      <c r="F466" s="1"/>
      <c r="G466" s="1"/>
      <c r="H466" s="1"/>
      <c r="I466" s="1"/>
    </row>
    <row r="467" spans="2:9" ht="15.75" customHeight="1" x14ac:dyDescent="0.25">
      <c r="B467" s="1"/>
      <c r="C467" s="1"/>
      <c r="D467" s="1"/>
      <c r="E467" s="1"/>
      <c r="F467" s="1"/>
      <c r="G467" s="1"/>
      <c r="H467" s="1"/>
      <c r="I467" s="1"/>
    </row>
    <row r="468" spans="2:9" ht="15.75" customHeight="1" x14ac:dyDescent="0.25">
      <c r="B468" s="1"/>
      <c r="C468" s="1"/>
      <c r="D468" s="1"/>
      <c r="E468" s="1"/>
      <c r="F468" s="1"/>
      <c r="G468" s="1"/>
      <c r="H468" s="1"/>
      <c r="I468" s="1"/>
    </row>
    <row r="469" spans="2:9" ht="15.75" customHeight="1" x14ac:dyDescent="0.25">
      <c r="B469" s="1"/>
      <c r="C469" s="1"/>
      <c r="D469" s="1"/>
      <c r="E469" s="1"/>
      <c r="F469" s="1"/>
      <c r="G469" s="1"/>
      <c r="H469" s="1"/>
      <c r="I469" s="1"/>
    </row>
    <row r="470" spans="2:9" ht="15.75" customHeight="1" x14ac:dyDescent="0.25">
      <c r="B470" s="1"/>
      <c r="C470" s="1"/>
      <c r="D470" s="1"/>
      <c r="E470" s="1"/>
      <c r="F470" s="1"/>
      <c r="G470" s="1"/>
      <c r="H470" s="1"/>
      <c r="I470" s="1"/>
    </row>
    <row r="471" spans="2:9" ht="15.75" customHeight="1" x14ac:dyDescent="0.25">
      <c r="B471" s="1"/>
      <c r="C471" s="1"/>
      <c r="D471" s="1"/>
      <c r="E471" s="1"/>
      <c r="F471" s="1"/>
      <c r="G471" s="1"/>
      <c r="H471" s="1"/>
      <c r="I471" s="1"/>
    </row>
    <row r="472" spans="2:9" ht="15.75" customHeight="1" x14ac:dyDescent="0.25">
      <c r="B472" s="1"/>
      <c r="C472" s="1"/>
      <c r="D472" s="1"/>
      <c r="E472" s="1"/>
      <c r="F472" s="1"/>
      <c r="G472" s="1"/>
      <c r="H472" s="1"/>
      <c r="I472" s="1"/>
    </row>
    <row r="473" spans="2:9" ht="15.75" customHeight="1" x14ac:dyDescent="0.25">
      <c r="B473" s="1"/>
      <c r="C473" s="1"/>
      <c r="D473" s="1"/>
      <c r="E473" s="1"/>
      <c r="F473" s="1"/>
      <c r="G473" s="1"/>
      <c r="H473" s="1"/>
      <c r="I473" s="1"/>
    </row>
    <row r="474" spans="2:9" ht="15.75" customHeight="1" x14ac:dyDescent="0.25">
      <c r="B474" s="1"/>
      <c r="C474" s="1"/>
      <c r="D474" s="1"/>
      <c r="E474" s="1"/>
      <c r="F474" s="1"/>
      <c r="G474" s="1"/>
      <c r="H474" s="1"/>
      <c r="I474" s="1"/>
    </row>
    <row r="475" spans="2:9" ht="15.75" customHeight="1" x14ac:dyDescent="0.25">
      <c r="B475" s="1"/>
      <c r="C475" s="1"/>
      <c r="D475" s="1"/>
      <c r="E475" s="1"/>
      <c r="F475" s="1"/>
      <c r="G475" s="1"/>
      <c r="H475" s="1"/>
      <c r="I475" s="1"/>
    </row>
    <row r="476" spans="2:9" ht="15.75" customHeight="1" x14ac:dyDescent="0.25">
      <c r="B476" s="1"/>
      <c r="C476" s="1"/>
      <c r="D476" s="1"/>
      <c r="E476" s="1"/>
      <c r="F476" s="1"/>
      <c r="G476" s="1"/>
      <c r="H476" s="1"/>
      <c r="I476" s="1"/>
    </row>
    <row r="477" spans="2:9" ht="15.75" customHeight="1" x14ac:dyDescent="0.25">
      <c r="B477" s="1"/>
      <c r="C477" s="1"/>
      <c r="D477" s="1"/>
      <c r="E477" s="1"/>
      <c r="F477" s="1"/>
      <c r="G477" s="1"/>
      <c r="H477" s="1"/>
      <c r="I477" s="1"/>
    </row>
    <row r="478" spans="2:9" ht="15.75" customHeight="1" x14ac:dyDescent="0.25">
      <c r="B478" s="1"/>
      <c r="C478" s="1"/>
      <c r="D478" s="1"/>
      <c r="E478" s="1"/>
      <c r="F478" s="1"/>
      <c r="G478" s="1"/>
      <c r="H478" s="1"/>
      <c r="I478" s="1"/>
    </row>
    <row r="479" spans="2:9" ht="15.75" customHeight="1" x14ac:dyDescent="0.25">
      <c r="B479" s="1"/>
      <c r="C479" s="1"/>
      <c r="D479" s="1"/>
      <c r="E479" s="1"/>
      <c r="F479" s="1"/>
      <c r="G479" s="1"/>
      <c r="H479" s="1"/>
      <c r="I479" s="1"/>
    </row>
    <row r="480" spans="2:9" ht="15.75" customHeight="1" x14ac:dyDescent="0.25">
      <c r="B480" s="1"/>
      <c r="C480" s="1"/>
      <c r="D480" s="1"/>
      <c r="E480" s="1"/>
      <c r="F480" s="1"/>
      <c r="G480" s="1"/>
      <c r="H480" s="1"/>
      <c r="I480" s="1"/>
    </row>
    <row r="481" spans="2:9" ht="15.75" customHeight="1" x14ac:dyDescent="0.25">
      <c r="B481" s="1"/>
      <c r="C481" s="1"/>
      <c r="D481" s="1"/>
      <c r="E481" s="1"/>
      <c r="F481" s="1"/>
      <c r="G481" s="1"/>
      <c r="H481" s="1"/>
      <c r="I481" s="1"/>
    </row>
    <row r="482" spans="2:9" ht="15.75" customHeight="1" x14ac:dyDescent="0.25">
      <c r="B482" s="1"/>
      <c r="C482" s="1"/>
      <c r="D482" s="1"/>
      <c r="E482" s="1"/>
      <c r="F482" s="1"/>
      <c r="G482" s="1"/>
      <c r="H482" s="1"/>
      <c r="I482" s="1"/>
    </row>
    <row r="483" spans="2:9" ht="15.75" customHeight="1" x14ac:dyDescent="0.25">
      <c r="B483" s="1"/>
      <c r="C483" s="1"/>
      <c r="D483" s="1"/>
      <c r="E483" s="1"/>
      <c r="F483" s="1"/>
      <c r="G483" s="1"/>
      <c r="H483" s="1"/>
      <c r="I483" s="1"/>
    </row>
    <row r="484" spans="2:9" ht="15.75" customHeight="1" x14ac:dyDescent="0.25">
      <c r="B484" s="1"/>
      <c r="C484" s="1"/>
      <c r="D484" s="1"/>
      <c r="E484" s="1"/>
      <c r="F484" s="1"/>
      <c r="G484" s="1"/>
      <c r="H484" s="1"/>
      <c r="I484" s="1"/>
    </row>
    <row r="485" spans="2:9" ht="15.75" customHeight="1" x14ac:dyDescent="0.25">
      <c r="B485" s="1"/>
      <c r="C485" s="1"/>
      <c r="D485" s="1"/>
      <c r="E485" s="1"/>
      <c r="F485" s="1"/>
      <c r="G485" s="1"/>
      <c r="H485" s="1"/>
      <c r="I485" s="1"/>
    </row>
    <row r="486" spans="2:9" ht="15.75" customHeight="1" x14ac:dyDescent="0.25">
      <c r="B486" s="1"/>
      <c r="C486" s="1"/>
      <c r="D486" s="1"/>
      <c r="E486" s="1"/>
      <c r="F486" s="1"/>
      <c r="G486" s="1"/>
      <c r="H486" s="1"/>
      <c r="I486" s="1"/>
    </row>
    <row r="487" spans="2:9" ht="15.75" customHeight="1" x14ac:dyDescent="0.25">
      <c r="B487" s="1"/>
      <c r="C487" s="1"/>
      <c r="D487" s="1"/>
      <c r="E487" s="1"/>
      <c r="F487" s="1"/>
      <c r="G487" s="1"/>
      <c r="H487" s="1"/>
      <c r="I487" s="1"/>
    </row>
    <row r="488" spans="2:9" ht="15.75" customHeight="1" x14ac:dyDescent="0.25">
      <c r="B488" s="1"/>
      <c r="C488" s="1"/>
      <c r="D488" s="1"/>
      <c r="E488" s="1"/>
      <c r="F488" s="1"/>
      <c r="G488" s="1"/>
      <c r="H488" s="1"/>
      <c r="I488" s="1"/>
    </row>
    <row r="489" spans="2:9" ht="15.75" customHeight="1" x14ac:dyDescent="0.25">
      <c r="B489" s="1"/>
      <c r="C489" s="1"/>
      <c r="D489" s="1"/>
      <c r="E489" s="1"/>
      <c r="F489" s="1"/>
      <c r="G489" s="1"/>
      <c r="H489" s="1"/>
      <c r="I489" s="1"/>
    </row>
    <row r="490" spans="2:9" ht="15.75" customHeight="1" x14ac:dyDescent="0.25">
      <c r="B490" s="1"/>
      <c r="C490" s="1"/>
      <c r="D490" s="1"/>
      <c r="E490" s="1"/>
      <c r="F490" s="1"/>
      <c r="G490" s="1"/>
      <c r="H490" s="1"/>
      <c r="I490" s="1"/>
    </row>
    <row r="491" spans="2:9" ht="15.75" customHeight="1" x14ac:dyDescent="0.25">
      <c r="B491" s="1"/>
      <c r="C491" s="1"/>
      <c r="D491" s="1"/>
      <c r="E491" s="1"/>
      <c r="F491" s="1"/>
      <c r="G491" s="1"/>
      <c r="H491" s="1"/>
      <c r="I491" s="1"/>
    </row>
    <row r="492" spans="2:9" ht="15.75" customHeight="1" x14ac:dyDescent="0.25">
      <c r="B492" s="1"/>
      <c r="C492" s="1"/>
      <c r="D492" s="1"/>
      <c r="E492" s="1"/>
      <c r="F492" s="1"/>
      <c r="G492" s="1"/>
      <c r="H492" s="1"/>
      <c r="I492" s="1"/>
    </row>
    <row r="493" spans="2:9" ht="15.75" customHeight="1" x14ac:dyDescent="0.25">
      <c r="B493" s="1"/>
      <c r="C493" s="1"/>
      <c r="D493" s="1"/>
      <c r="E493" s="1"/>
      <c r="F493" s="1"/>
      <c r="G493" s="1"/>
      <c r="H493" s="1"/>
      <c r="I493" s="1"/>
    </row>
    <row r="494" spans="2:9" ht="15.75" customHeight="1" x14ac:dyDescent="0.25">
      <c r="B494" s="1"/>
      <c r="C494" s="1"/>
      <c r="D494" s="1"/>
      <c r="E494" s="1"/>
      <c r="F494" s="1"/>
      <c r="G494" s="1"/>
      <c r="H494" s="1"/>
      <c r="I494" s="1"/>
    </row>
    <row r="495" spans="2:9" ht="15.75" customHeight="1" x14ac:dyDescent="0.25">
      <c r="B495" s="1"/>
      <c r="C495" s="1"/>
      <c r="D495" s="1"/>
      <c r="E495" s="1"/>
      <c r="F495" s="1"/>
      <c r="G495" s="1"/>
      <c r="H495" s="1"/>
      <c r="I495" s="1"/>
    </row>
    <row r="496" spans="2:9" ht="15.75" customHeight="1" x14ac:dyDescent="0.25">
      <c r="B496" s="1"/>
      <c r="C496" s="1"/>
      <c r="D496" s="1"/>
      <c r="E496" s="1"/>
      <c r="F496" s="1"/>
      <c r="G496" s="1"/>
      <c r="H496" s="1"/>
      <c r="I496" s="1"/>
    </row>
    <row r="497" spans="2:9" ht="15.75" customHeight="1" x14ac:dyDescent="0.25">
      <c r="B497" s="1"/>
      <c r="C497" s="1"/>
      <c r="D497" s="1"/>
      <c r="E497" s="1"/>
      <c r="F497" s="1"/>
      <c r="G497" s="1"/>
      <c r="H497" s="1"/>
      <c r="I497" s="1"/>
    </row>
    <row r="498" spans="2:9" ht="15.75" customHeight="1" x14ac:dyDescent="0.25">
      <c r="B498" s="1"/>
      <c r="C498" s="1"/>
      <c r="D498" s="1"/>
      <c r="E498" s="1"/>
      <c r="F498" s="1"/>
      <c r="G498" s="1"/>
      <c r="H498" s="1"/>
      <c r="I498" s="1"/>
    </row>
    <row r="499" spans="2:9" ht="15.75" customHeight="1" x14ac:dyDescent="0.25">
      <c r="B499" s="1"/>
      <c r="C499" s="1"/>
      <c r="D499" s="1"/>
      <c r="E499" s="1"/>
      <c r="F499" s="1"/>
      <c r="G499" s="1"/>
      <c r="H499" s="1"/>
      <c r="I499" s="1"/>
    </row>
    <row r="500" spans="2:9" ht="15.75" customHeight="1" x14ac:dyDescent="0.25">
      <c r="B500" s="1"/>
      <c r="C500" s="1"/>
      <c r="D500" s="1"/>
      <c r="E500" s="1"/>
      <c r="F500" s="1"/>
      <c r="G500" s="1"/>
      <c r="H500" s="1"/>
      <c r="I500" s="1"/>
    </row>
    <row r="501" spans="2:9" ht="15.75" customHeight="1" x14ac:dyDescent="0.25">
      <c r="B501" s="1"/>
      <c r="C501" s="1"/>
      <c r="D501" s="1"/>
      <c r="E501" s="1"/>
      <c r="F501" s="1"/>
      <c r="G501" s="1"/>
      <c r="H501" s="1"/>
      <c r="I501" s="1"/>
    </row>
    <row r="502" spans="2:9" ht="15.75" customHeight="1" x14ac:dyDescent="0.25">
      <c r="B502" s="1"/>
      <c r="C502" s="1"/>
      <c r="D502" s="1"/>
      <c r="E502" s="1"/>
      <c r="F502" s="1"/>
      <c r="G502" s="1"/>
      <c r="H502" s="1"/>
      <c r="I502" s="1"/>
    </row>
    <row r="503" spans="2:9" ht="15.75" customHeight="1" x14ac:dyDescent="0.25">
      <c r="B503" s="1"/>
      <c r="C503" s="1"/>
      <c r="D503" s="1"/>
      <c r="E503" s="1"/>
      <c r="F503" s="1"/>
      <c r="G503" s="1"/>
      <c r="H503" s="1"/>
      <c r="I503" s="1"/>
    </row>
    <row r="504" spans="2:9" ht="15.75" customHeight="1" x14ac:dyDescent="0.25">
      <c r="B504" s="1"/>
      <c r="C504" s="1"/>
      <c r="D504" s="1"/>
      <c r="E504" s="1"/>
      <c r="F504" s="1"/>
      <c r="G504" s="1"/>
      <c r="H504" s="1"/>
      <c r="I504" s="1"/>
    </row>
    <row r="505" spans="2:9" ht="15.75" customHeight="1" x14ac:dyDescent="0.25">
      <c r="B505" s="1"/>
      <c r="C505" s="1"/>
      <c r="D505" s="1"/>
      <c r="E505" s="1"/>
      <c r="F505" s="1"/>
      <c r="G505" s="1"/>
      <c r="H505" s="1"/>
      <c r="I505" s="1"/>
    </row>
    <row r="506" spans="2:9" ht="15.75" customHeight="1" x14ac:dyDescent="0.25">
      <c r="B506" s="1"/>
      <c r="C506" s="1"/>
      <c r="D506" s="1"/>
      <c r="E506" s="1"/>
      <c r="F506" s="1"/>
      <c r="G506" s="1"/>
      <c r="H506" s="1"/>
      <c r="I506" s="1"/>
    </row>
    <row r="507" spans="2:9" ht="15.75" customHeight="1" x14ac:dyDescent="0.25">
      <c r="B507" s="1"/>
      <c r="C507" s="1"/>
      <c r="D507" s="1"/>
      <c r="E507" s="1"/>
      <c r="F507" s="1"/>
      <c r="G507" s="1"/>
      <c r="H507" s="1"/>
      <c r="I507" s="1"/>
    </row>
    <row r="508" spans="2:9" ht="15.75" customHeight="1" x14ac:dyDescent="0.25">
      <c r="B508" s="1"/>
      <c r="C508" s="1"/>
      <c r="D508" s="1"/>
      <c r="E508" s="1"/>
      <c r="F508" s="1"/>
      <c r="G508" s="1"/>
      <c r="H508" s="1"/>
      <c r="I508" s="1"/>
    </row>
    <row r="509" spans="2:9" ht="15.75" customHeight="1" x14ac:dyDescent="0.25">
      <c r="B509" s="1"/>
      <c r="C509" s="1"/>
      <c r="D509" s="1"/>
      <c r="E509" s="1"/>
      <c r="F509" s="1"/>
      <c r="G509" s="1"/>
      <c r="H509" s="1"/>
      <c r="I509" s="1"/>
    </row>
    <row r="510" spans="2:9" ht="15.75" customHeight="1" x14ac:dyDescent="0.25">
      <c r="B510" s="1"/>
      <c r="C510" s="1"/>
      <c r="D510" s="1"/>
      <c r="E510" s="1"/>
      <c r="F510" s="1"/>
      <c r="G510" s="1"/>
      <c r="H510" s="1"/>
      <c r="I510" s="1"/>
    </row>
    <row r="511" spans="2:9" ht="15.75" customHeight="1" x14ac:dyDescent="0.25">
      <c r="B511" s="1"/>
      <c r="C511" s="1"/>
      <c r="D511" s="1"/>
      <c r="E511" s="1"/>
      <c r="F511" s="1"/>
      <c r="G511" s="1"/>
      <c r="H511" s="1"/>
      <c r="I511" s="1"/>
    </row>
    <row r="512" spans="2:9" ht="15.75" customHeight="1" x14ac:dyDescent="0.25">
      <c r="B512" s="1"/>
      <c r="C512" s="1"/>
      <c r="D512" s="1"/>
      <c r="E512" s="1"/>
      <c r="F512" s="1"/>
      <c r="G512" s="1"/>
      <c r="H512" s="1"/>
      <c r="I512" s="1"/>
    </row>
    <row r="513" spans="2:9" ht="15.75" customHeight="1" x14ac:dyDescent="0.25">
      <c r="B513" s="1"/>
      <c r="C513" s="1"/>
      <c r="D513" s="1"/>
      <c r="E513" s="1"/>
      <c r="F513" s="1"/>
      <c r="G513" s="1"/>
      <c r="H513" s="1"/>
      <c r="I513" s="1"/>
    </row>
    <row r="514" spans="2:9" ht="15.75" customHeight="1" x14ac:dyDescent="0.25">
      <c r="B514" s="1"/>
      <c r="C514" s="1"/>
      <c r="D514" s="1"/>
      <c r="E514" s="1"/>
      <c r="F514" s="1"/>
      <c r="G514" s="1"/>
      <c r="H514" s="1"/>
      <c r="I514" s="1"/>
    </row>
    <row r="515" spans="2:9" ht="15.75" customHeight="1" x14ac:dyDescent="0.25">
      <c r="B515" s="1"/>
      <c r="C515" s="1"/>
      <c r="D515" s="1"/>
      <c r="E515" s="1"/>
      <c r="F515" s="1"/>
      <c r="G515" s="1"/>
      <c r="H515" s="1"/>
      <c r="I515" s="1"/>
    </row>
    <row r="516" spans="2:9" ht="15.75" customHeight="1" x14ac:dyDescent="0.25">
      <c r="B516" s="1"/>
      <c r="C516" s="1"/>
      <c r="D516" s="1"/>
      <c r="E516" s="1"/>
      <c r="F516" s="1"/>
      <c r="G516" s="1"/>
      <c r="H516" s="1"/>
      <c r="I516" s="1"/>
    </row>
    <row r="517" spans="2:9" ht="15.75" customHeight="1" x14ac:dyDescent="0.25">
      <c r="B517" s="1"/>
      <c r="C517" s="1"/>
      <c r="D517" s="1"/>
      <c r="E517" s="1"/>
      <c r="F517" s="1"/>
      <c r="G517" s="1"/>
      <c r="H517" s="1"/>
      <c r="I517" s="1"/>
    </row>
    <row r="518" spans="2:9" ht="15.75" customHeight="1" x14ac:dyDescent="0.25">
      <c r="B518" s="1"/>
      <c r="C518" s="1"/>
      <c r="D518" s="1"/>
      <c r="E518" s="1"/>
      <c r="F518" s="1"/>
      <c r="G518" s="1"/>
      <c r="H518" s="1"/>
      <c r="I518" s="1"/>
    </row>
    <row r="519" spans="2:9" ht="15.75" customHeight="1" x14ac:dyDescent="0.25">
      <c r="B519" s="1"/>
      <c r="C519" s="1"/>
      <c r="D519" s="1"/>
      <c r="E519" s="1"/>
      <c r="F519" s="1"/>
      <c r="G519" s="1"/>
      <c r="H519" s="1"/>
      <c r="I519" s="1"/>
    </row>
    <row r="520" spans="2:9" ht="15.75" customHeight="1" x14ac:dyDescent="0.25">
      <c r="B520" s="1"/>
      <c r="C520" s="1"/>
      <c r="D520" s="1"/>
      <c r="E520" s="1"/>
      <c r="F520" s="1"/>
      <c r="G520" s="1"/>
      <c r="H520" s="1"/>
      <c r="I520" s="1"/>
    </row>
    <row r="521" spans="2:9" ht="15.75" customHeight="1" x14ac:dyDescent="0.25">
      <c r="B521" s="1"/>
      <c r="C521" s="1"/>
      <c r="D521" s="1"/>
      <c r="E521" s="1"/>
      <c r="F521" s="1"/>
      <c r="G521" s="1"/>
      <c r="H521" s="1"/>
      <c r="I521" s="1"/>
    </row>
    <row r="522" spans="2:9" ht="15.75" customHeight="1" x14ac:dyDescent="0.25">
      <c r="B522" s="1"/>
      <c r="C522" s="1"/>
      <c r="D522" s="1"/>
      <c r="E522" s="1"/>
      <c r="F522" s="1"/>
      <c r="G522" s="1"/>
      <c r="H522" s="1"/>
      <c r="I522" s="1"/>
    </row>
    <row r="523" spans="2:9" ht="15.75" customHeight="1" x14ac:dyDescent="0.25">
      <c r="B523" s="1"/>
      <c r="C523" s="1"/>
      <c r="D523" s="1"/>
      <c r="E523" s="1"/>
      <c r="F523" s="1"/>
      <c r="G523" s="1"/>
      <c r="H523" s="1"/>
      <c r="I523" s="1"/>
    </row>
    <row r="524" spans="2:9" ht="15.75" customHeight="1" x14ac:dyDescent="0.25">
      <c r="B524" s="1"/>
      <c r="C524" s="1"/>
      <c r="D524" s="1"/>
      <c r="E524" s="1"/>
      <c r="F524" s="1"/>
      <c r="G524" s="1"/>
      <c r="H524" s="1"/>
      <c r="I524" s="1"/>
    </row>
    <row r="525" spans="2:9" ht="15.75" customHeight="1" x14ac:dyDescent="0.25">
      <c r="B525" s="1"/>
      <c r="C525" s="1"/>
      <c r="D525" s="1"/>
      <c r="E525" s="1"/>
      <c r="F525" s="1"/>
      <c r="G525" s="1"/>
      <c r="H525" s="1"/>
      <c r="I525" s="1"/>
    </row>
    <row r="526" spans="2:9" ht="15.75" customHeight="1" x14ac:dyDescent="0.25">
      <c r="B526" s="1"/>
      <c r="C526" s="1"/>
      <c r="D526" s="1"/>
      <c r="E526" s="1"/>
      <c r="F526" s="1"/>
      <c r="G526" s="1"/>
      <c r="H526" s="1"/>
      <c r="I526" s="1"/>
    </row>
    <row r="527" spans="2:9" ht="15.75" customHeight="1" x14ac:dyDescent="0.25">
      <c r="B527" s="1"/>
      <c r="C527" s="1"/>
      <c r="D527" s="1"/>
      <c r="E527" s="1"/>
      <c r="F527" s="1"/>
      <c r="G527" s="1"/>
      <c r="H527" s="1"/>
      <c r="I527" s="1"/>
    </row>
    <row r="528" spans="2:9" ht="15.75" customHeight="1" x14ac:dyDescent="0.25">
      <c r="B528" s="1"/>
      <c r="C528" s="1"/>
      <c r="D528" s="1"/>
      <c r="E528" s="1"/>
      <c r="F528" s="1"/>
      <c r="G528" s="1"/>
      <c r="H528" s="1"/>
      <c r="I528" s="1"/>
    </row>
    <row r="529" spans="2:9" ht="15.75" customHeight="1" x14ac:dyDescent="0.25">
      <c r="B529" s="1"/>
      <c r="C529" s="1"/>
      <c r="D529" s="1"/>
      <c r="E529" s="1"/>
      <c r="F529" s="1"/>
      <c r="G529" s="1"/>
      <c r="H529" s="1"/>
      <c r="I529" s="1"/>
    </row>
    <row r="530" spans="2:9" ht="15.75" customHeight="1" x14ac:dyDescent="0.25">
      <c r="B530" s="1"/>
      <c r="C530" s="1"/>
      <c r="D530" s="1"/>
      <c r="E530" s="1"/>
      <c r="F530" s="1"/>
      <c r="G530" s="1"/>
      <c r="H530" s="1"/>
      <c r="I530" s="1"/>
    </row>
    <row r="531" spans="2:9" ht="15.75" customHeight="1" x14ac:dyDescent="0.25">
      <c r="B531" s="1"/>
      <c r="C531" s="1"/>
      <c r="D531" s="1"/>
      <c r="E531" s="1"/>
      <c r="F531" s="1"/>
      <c r="G531" s="1"/>
      <c r="H531" s="1"/>
      <c r="I531" s="1"/>
    </row>
    <row r="532" spans="2:9" ht="15.75" customHeight="1" x14ac:dyDescent="0.25">
      <c r="B532" s="1"/>
      <c r="C532" s="1"/>
      <c r="D532" s="1"/>
      <c r="E532" s="1"/>
      <c r="F532" s="1"/>
      <c r="G532" s="1"/>
      <c r="H532" s="1"/>
      <c r="I532" s="1"/>
    </row>
    <row r="533" spans="2:9" ht="15.75" customHeight="1" x14ac:dyDescent="0.25">
      <c r="B533" s="1"/>
      <c r="C533" s="1"/>
      <c r="D533" s="1"/>
      <c r="E533" s="1"/>
      <c r="F533" s="1"/>
      <c r="G533" s="1"/>
      <c r="H533" s="1"/>
      <c r="I533" s="1"/>
    </row>
    <row r="534" spans="2:9" ht="15.75" customHeight="1" x14ac:dyDescent="0.25">
      <c r="B534" s="1"/>
      <c r="C534" s="1"/>
      <c r="D534" s="1"/>
      <c r="E534" s="1"/>
      <c r="F534" s="1"/>
      <c r="G534" s="1"/>
      <c r="H534" s="1"/>
      <c r="I534" s="1"/>
    </row>
    <row r="535" spans="2:9" ht="15.75" customHeight="1" x14ac:dyDescent="0.25">
      <c r="B535" s="1"/>
      <c r="C535" s="1"/>
      <c r="D535" s="1"/>
      <c r="E535" s="1"/>
      <c r="F535" s="1"/>
      <c r="G535" s="1"/>
      <c r="H535" s="1"/>
      <c r="I535" s="1"/>
    </row>
    <row r="536" spans="2:9" ht="15.75" customHeight="1" x14ac:dyDescent="0.25">
      <c r="B536" s="1"/>
      <c r="C536" s="1"/>
      <c r="D536" s="1"/>
      <c r="E536" s="1"/>
      <c r="F536" s="1"/>
      <c r="G536" s="1"/>
      <c r="H536" s="1"/>
      <c r="I536" s="1"/>
    </row>
    <row r="537" spans="2:9" ht="15.75" customHeight="1" x14ac:dyDescent="0.25">
      <c r="B537" s="1"/>
      <c r="C537" s="1"/>
      <c r="D537" s="1"/>
      <c r="E537" s="1"/>
      <c r="F537" s="1"/>
      <c r="G537" s="1"/>
      <c r="H537" s="1"/>
      <c r="I537" s="1"/>
    </row>
    <row r="538" spans="2:9" ht="15.75" customHeight="1" x14ac:dyDescent="0.25">
      <c r="B538" s="1"/>
      <c r="C538" s="1"/>
      <c r="D538" s="1"/>
      <c r="E538" s="1"/>
      <c r="F538" s="1"/>
      <c r="G538" s="1"/>
      <c r="H538" s="1"/>
      <c r="I538" s="1"/>
    </row>
    <row r="539" spans="2:9" ht="15.75" customHeight="1" x14ac:dyDescent="0.25">
      <c r="B539" s="1"/>
      <c r="C539" s="1"/>
      <c r="D539" s="1"/>
      <c r="E539" s="1"/>
      <c r="F539" s="1"/>
      <c r="G539" s="1"/>
      <c r="H539" s="1"/>
      <c r="I539" s="1"/>
    </row>
    <row r="540" spans="2:9" ht="15.75" customHeight="1" x14ac:dyDescent="0.25">
      <c r="B540" s="1"/>
      <c r="C540" s="1"/>
      <c r="D540" s="1"/>
      <c r="E540" s="1"/>
      <c r="F540" s="1"/>
      <c r="G540" s="1"/>
      <c r="H540" s="1"/>
      <c r="I540" s="1"/>
    </row>
    <row r="541" spans="2:9" ht="15.75" customHeight="1" x14ac:dyDescent="0.25">
      <c r="B541" s="1"/>
      <c r="C541" s="1"/>
      <c r="D541" s="1"/>
      <c r="E541" s="1"/>
      <c r="F541" s="1"/>
      <c r="G541" s="1"/>
      <c r="H541" s="1"/>
      <c r="I541" s="1"/>
    </row>
    <row r="542" spans="2:9" ht="15.75" customHeight="1" x14ac:dyDescent="0.25">
      <c r="B542" s="1"/>
      <c r="C542" s="1"/>
      <c r="D542" s="1"/>
      <c r="E542" s="1"/>
      <c r="F542" s="1"/>
      <c r="G542" s="1"/>
      <c r="H542" s="1"/>
      <c r="I542" s="1"/>
    </row>
    <row r="543" spans="2:9" ht="15.75" customHeight="1" x14ac:dyDescent="0.25">
      <c r="B543" s="1"/>
      <c r="C543" s="1"/>
      <c r="D543" s="1"/>
      <c r="E543" s="1"/>
      <c r="F543" s="1"/>
      <c r="G543" s="1"/>
      <c r="H543" s="1"/>
      <c r="I543" s="1"/>
    </row>
    <row r="544" spans="2:9" ht="15.75" customHeight="1" x14ac:dyDescent="0.25">
      <c r="B544" s="1"/>
      <c r="C544" s="1"/>
      <c r="D544" s="1"/>
      <c r="E544" s="1"/>
      <c r="F544" s="1"/>
      <c r="G544" s="1"/>
      <c r="H544" s="1"/>
      <c r="I544" s="1"/>
    </row>
    <row r="545" spans="2:9" ht="15.75" customHeight="1" x14ac:dyDescent="0.25">
      <c r="B545" s="1"/>
      <c r="C545" s="1"/>
      <c r="D545" s="1"/>
      <c r="E545" s="1"/>
      <c r="F545" s="1"/>
      <c r="G545" s="1"/>
      <c r="H545" s="1"/>
      <c r="I545" s="1"/>
    </row>
    <row r="546" spans="2:9" ht="15.75" customHeight="1" x14ac:dyDescent="0.25">
      <c r="B546" s="1"/>
      <c r="C546" s="1"/>
      <c r="D546" s="1"/>
      <c r="E546" s="1"/>
      <c r="F546" s="1"/>
      <c r="G546" s="1"/>
      <c r="H546" s="1"/>
      <c r="I546" s="1"/>
    </row>
    <row r="547" spans="2:9" ht="15.75" customHeight="1" x14ac:dyDescent="0.25">
      <c r="B547" s="1"/>
      <c r="C547" s="1"/>
      <c r="D547" s="1"/>
      <c r="E547" s="1"/>
      <c r="F547" s="1"/>
      <c r="G547" s="1"/>
      <c r="H547" s="1"/>
      <c r="I547" s="1"/>
    </row>
    <row r="548" spans="2:9" ht="15.75" customHeight="1" x14ac:dyDescent="0.25">
      <c r="B548" s="1"/>
      <c r="C548" s="1"/>
      <c r="D548" s="1"/>
      <c r="E548" s="1"/>
      <c r="F548" s="1"/>
      <c r="G548" s="1"/>
      <c r="H548" s="1"/>
      <c r="I548" s="1"/>
    </row>
    <row r="549" spans="2:9" ht="15.75" customHeight="1" x14ac:dyDescent="0.25">
      <c r="B549" s="1"/>
      <c r="C549" s="1"/>
      <c r="D549" s="1"/>
      <c r="E549" s="1"/>
      <c r="F549" s="1"/>
      <c r="G549" s="1"/>
      <c r="H549" s="1"/>
      <c r="I549" s="1"/>
    </row>
    <row r="550" spans="2:9" ht="15.75" customHeight="1" x14ac:dyDescent="0.25">
      <c r="B550" s="1"/>
      <c r="C550" s="1"/>
      <c r="D550" s="1"/>
      <c r="E550" s="1"/>
      <c r="F550" s="1"/>
      <c r="G550" s="1"/>
      <c r="H550" s="1"/>
      <c r="I550" s="1"/>
    </row>
    <row r="551" spans="2:9" ht="15.75" customHeight="1" x14ac:dyDescent="0.25">
      <c r="B551" s="1"/>
      <c r="C551" s="1"/>
      <c r="D551" s="1"/>
      <c r="E551" s="1"/>
      <c r="F551" s="1"/>
      <c r="G551" s="1"/>
      <c r="H551" s="1"/>
      <c r="I551" s="1"/>
    </row>
    <row r="552" spans="2:9" ht="15.75" customHeight="1" x14ac:dyDescent="0.25">
      <c r="B552" s="1"/>
      <c r="C552" s="1"/>
      <c r="D552" s="1"/>
      <c r="E552" s="1"/>
      <c r="F552" s="1"/>
      <c r="G552" s="1"/>
      <c r="H552" s="1"/>
      <c r="I552" s="1"/>
    </row>
    <row r="553" spans="2:9" ht="15.75" customHeight="1" x14ac:dyDescent="0.25">
      <c r="B553" s="1"/>
      <c r="C553" s="1"/>
      <c r="D553" s="1"/>
      <c r="E553" s="1"/>
      <c r="F553" s="1"/>
      <c r="G553" s="1"/>
      <c r="H553" s="1"/>
      <c r="I553" s="1"/>
    </row>
    <row r="554" spans="2:9" ht="15.75" customHeight="1" x14ac:dyDescent="0.25">
      <c r="B554" s="1"/>
      <c r="C554" s="1"/>
      <c r="D554" s="1"/>
      <c r="E554" s="1"/>
      <c r="F554" s="1"/>
      <c r="G554" s="1"/>
      <c r="H554" s="1"/>
      <c r="I554" s="1"/>
    </row>
    <row r="555" spans="2:9" ht="15.75" customHeight="1" x14ac:dyDescent="0.25">
      <c r="B555" s="1"/>
      <c r="C555" s="1"/>
      <c r="D555" s="1"/>
      <c r="E555" s="1"/>
      <c r="F555" s="1"/>
      <c r="G555" s="1"/>
      <c r="H555" s="1"/>
      <c r="I555" s="1"/>
    </row>
    <row r="556" spans="2:9" ht="15.75" customHeight="1" x14ac:dyDescent="0.25">
      <c r="B556" s="1"/>
      <c r="C556" s="1"/>
      <c r="D556" s="1"/>
      <c r="E556" s="1"/>
      <c r="F556" s="1"/>
      <c r="G556" s="1"/>
      <c r="H556" s="1"/>
      <c r="I556" s="1"/>
    </row>
    <row r="557" spans="2:9" ht="15.75" customHeight="1" x14ac:dyDescent="0.25">
      <c r="B557" s="1"/>
      <c r="C557" s="1"/>
      <c r="D557" s="1"/>
      <c r="E557" s="1"/>
      <c r="F557" s="1"/>
      <c r="G557" s="1"/>
      <c r="H557" s="1"/>
      <c r="I557" s="1"/>
    </row>
    <row r="558" spans="2:9" ht="15.75" customHeight="1" x14ac:dyDescent="0.25">
      <c r="B558" s="1"/>
      <c r="C558" s="1"/>
      <c r="D558" s="1"/>
      <c r="E558" s="1"/>
      <c r="F558" s="1"/>
      <c r="G558" s="1"/>
      <c r="H558" s="1"/>
      <c r="I558" s="1"/>
    </row>
    <row r="559" spans="2:9" ht="15.75" customHeight="1" x14ac:dyDescent="0.25">
      <c r="B559" s="1"/>
      <c r="C559" s="1"/>
      <c r="D559" s="1"/>
      <c r="E559" s="1"/>
      <c r="F559" s="1"/>
      <c r="G559" s="1"/>
      <c r="H559" s="1"/>
      <c r="I559" s="1"/>
    </row>
    <row r="560" spans="2:9" ht="15.75" customHeight="1" x14ac:dyDescent="0.25">
      <c r="B560" s="1"/>
      <c r="C560" s="1"/>
      <c r="D560" s="1"/>
      <c r="E560" s="1"/>
      <c r="F560" s="1"/>
      <c r="G560" s="1"/>
      <c r="H560" s="1"/>
      <c r="I560" s="1"/>
    </row>
    <row r="561" spans="2:9" ht="15.75" customHeight="1" x14ac:dyDescent="0.25">
      <c r="B561" s="1"/>
      <c r="C561" s="1"/>
      <c r="D561" s="1"/>
      <c r="E561" s="1"/>
      <c r="F561" s="1"/>
      <c r="G561" s="1"/>
      <c r="H561" s="1"/>
      <c r="I561" s="1"/>
    </row>
    <row r="562" spans="2:9" ht="15.75" customHeight="1" x14ac:dyDescent="0.25">
      <c r="B562" s="1"/>
      <c r="C562" s="1"/>
      <c r="D562" s="1"/>
      <c r="E562" s="1"/>
      <c r="F562" s="1"/>
      <c r="G562" s="1"/>
      <c r="H562" s="1"/>
      <c r="I562" s="1"/>
    </row>
    <row r="563" spans="2:9" ht="15.75" customHeight="1" x14ac:dyDescent="0.25">
      <c r="B563" s="1"/>
      <c r="C563" s="1"/>
      <c r="D563" s="1"/>
      <c r="E563" s="1"/>
      <c r="F563" s="1"/>
      <c r="G563" s="1"/>
      <c r="H563" s="1"/>
      <c r="I563" s="1"/>
    </row>
    <row r="564" spans="2:9" ht="15.75" customHeight="1" x14ac:dyDescent="0.25">
      <c r="B564" s="1"/>
      <c r="C564" s="1"/>
      <c r="D564" s="1"/>
      <c r="E564" s="1"/>
      <c r="F564" s="1"/>
      <c r="G564" s="1"/>
      <c r="H564" s="1"/>
      <c r="I564" s="1"/>
    </row>
    <row r="565" spans="2:9" ht="15.75" customHeight="1" x14ac:dyDescent="0.25">
      <c r="B565" s="1"/>
      <c r="C565" s="1"/>
      <c r="D565" s="1"/>
      <c r="E565" s="1"/>
      <c r="F565" s="1"/>
      <c r="G565" s="1"/>
      <c r="H565" s="1"/>
      <c r="I565" s="1"/>
    </row>
    <row r="566" spans="2:9" ht="15.75" customHeight="1" x14ac:dyDescent="0.25">
      <c r="B566" s="1"/>
      <c r="C566" s="1"/>
      <c r="D566" s="1"/>
      <c r="E566" s="1"/>
      <c r="F566" s="1"/>
      <c r="G566" s="1"/>
      <c r="H566" s="1"/>
      <c r="I566" s="1"/>
    </row>
    <row r="567" spans="2:9" ht="15.75" customHeight="1" x14ac:dyDescent="0.25">
      <c r="B567" s="1"/>
      <c r="C567" s="1"/>
      <c r="D567" s="1"/>
      <c r="E567" s="1"/>
      <c r="F567" s="1"/>
      <c r="G567" s="1"/>
      <c r="H567" s="1"/>
      <c r="I567" s="1"/>
    </row>
    <row r="568" spans="2:9" ht="15.75" customHeight="1" x14ac:dyDescent="0.25">
      <c r="B568" s="1"/>
      <c r="C568" s="1"/>
      <c r="D568" s="1"/>
      <c r="E568" s="1"/>
      <c r="F568" s="1"/>
      <c r="G568" s="1"/>
      <c r="H568" s="1"/>
      <c r="I568" s="1"/>
    </row>
    <row r="569" spans="2:9" ht="15.75" customHeight="1" x14ac:dyDescent="0.25">
      <c r="B569" s="1"/>
      <c r="C569" s="1"/>
      <c r="D569" s="1"/>
      <c r="E569" s="1"/>
      <c r="F569" s="1"/>
      <c r="G569" s="1"/>
      <c r="H569" s="1"/>
      <c r="I569" s="1"/>
    </row>
    <row r="570" spans="2:9" ht="15.75" customHeight="1" x14ac:dyDescent="0.25">
      <c r="B570" s="1"/>
      <c r="C570" s="1"/>
      <c r="D570" s="1"/>
      <c r="E570" s="1"/>
      <c r="F570" s="1"/>
      <c r="G570" s="1"/>
      <c r="H570" s="1"/>
      <c r="I570" s="1"/>
    </row>
    <row r="571" spans="2:9" ht="15.75" customHeight="1" x14ac:dyDescent="0.25">
      <c r="B571" s="1"/>
      <c r="C571" s="1"/>
      <c r="D571" s="1"/>
      <c r="E571" s="1"/>
      <c r="F571" s="1"/>
      <c r="G571" s="1"/>
      <c r="H571" s="1"/>
      <c r="I571" s="1"/>
    </row>
    <row r="572" spans="2:9" ht="15.75" customHeight="1" x14ac:dyDescent="0.25">
      <c r="B572" s="1"/>
      <c r="C572" s="1"/>
      <c r="D572" s="1"/>
      <c r="E572" s="1"/>
      <c r="F572" s="1"/>
      <c r="G572" s="1"/>
      <c r="H572" s="1"/>
      <c r="I572" s="1"/>
    </row>
    <row r="573" spans="2:9" ht="15.75" customHeight="1" x14ac:dyDescent="0.25">
      <c r="B573" s="1"/>
      <c r="C573" s="1"/>
      <c r="D573" s="1"/>
      <c r="E573" s="1"/>
      <c r="F573" s="1"/>
      <c r="G573" s="1"/>
      <c r="H573" s="1"/>
      <c r="I573" s="1"/>
    </row>
    <row r="574" spans="2:9" ht="15.75" customHeight="1" x14ac:dyDescent="0.25">
      <c r="B574" s="1"/>
      <c r="C574" s="1"/>
      <c r="D574" s="1"/>
      <c r="E574" s="1"/>
      <c r="F574" s="1"/>
      <c r="G574" s="1"/>
      <c r="H574" s="1"/>
      <c r="I574" s="1"/>
    </row>
    <row r="575" spans="2:9" ht="15.75" customHeight="1" x14ac:dyDescent="0.25">
      <c r="B575" s="1"/>
      <c r="C575" s="1"/>
      <c r="D575" s="1"/>
      <c r="E575" s="1"/>
      <c r="F575" s="1"/>
      <c r="G575" s="1"/>
      <c r="H575" s="1"/>
      <c r="I575" s="1"/>
    </row>
    <row r="576" spans="2:9" ht="15.75" customHeight="1" x14ac:dyDescent="0.25">
      <c r="B576" s="1"/>
      <c r="C576" s="1"/>
      <c r="D576" s="1"/>
      <c r="E576" s="1"/>
      <c r="F576" s="1"/>
      <c r="G576" s="1"/>
      <c r="H576" s="1"/>
      <c r="I576" s="1"/>
    </row>
    <row r="577" spans="2:9" ht="15.75" customHeight="1" x14ac:dyDescent="0.25">
      <c r="B577" s="1"/>
      <c r="C577" s="1"/>
      <c r="D577" s="1"/>
      <c r="E577" s="1"/>
      <c r="F577" s="1"/>
      <c r="G577" s="1"/>
      <c r="H577" s="1"/>
      <c r="I577" s="1"/>
    </row>
    <row r="578" spans="2:9" ht="15.75" customHeight="1" x14ac:dyDescent="0.25">
      <c r="B578" s="1"/>
      <c r="C578" s="1"/>
      <c r="D578" s="1"/>
      <c r="E578" s="1"/>
      <c r="F578" s="1"/>
      <c r="G578" s="1"/>
      <c r="H578" s="1"/>
      <c r="I578" s="1"/>
    </row>
    <row r="579" spans="2:9" ht="15.75" customHeight="1" x14ac:dyDescent="0.25">
      <c r="B579" s="1"/>
      <c r="C579" s="1"/>
      <c r="D579" s="1"/>
      <c r="E579" s="1"/>
      <c r="F579" s="1"/>
      <c r="G579" s="1"/>
      <c r="H579" s="1"/>
      <c r="I579" s="1"/>
    </row>
    <row r="580" spans="2:9" ht="15.75" customHeight="1" x14ac:dyDescent="0.25">
      <c r="B580" s="1"/>
      <c r="C580" s="1"/>
      <c r="D580" s="1"/>
      <c r="E580" s="1"/>
      <c r="F580" s="1"/>
      <c r="G580" s="1"/>
      <c r="H580" s="1"/>
      <c r="I580" s="1"/>
    </row>
    <row r="581" spans="2:9" ht="15.75" customHeight="1" x14ac:dyDescent="0.25">
      <c r="B581" s="1"/>
      <c r="C581" s="1"/>
      <c r="D581" s="1"/>
      <c r="E581" s="1"/>
      <c r="F581" s="1"/>
      <c r="G581" s="1"/>
      <c r="H581" s="1"/>
      <c r="I581" s="1"/>
    </row>
    <row r="582" spans="2:9" ht="15.75" customHeight="1" x14ac:dyDescent="0.25">
      <c r="B582" s="1"/>
      <c r="C582" s="1"/>
      <c r="D582" s="1"/>
      <c r="E582" s="1"/>
      <c r="F582" s="1"/>
      <c r="G582" s="1"/>
      <c r="H582" s="1"/>
      <c r="I582" s="1"/>
    </row>
    <row r="583" spans="2:9" ht="15.75" customHeight="1" x14ac:dyDescent="0.25">
      <c r="B583" s="1"/>
      <c r="C583" s="1"/>
      <c r="D583" s="1"/>
      <c r="E583" s="1"/>
      <c r="F583" s="1"/>
      <c r="G583" s="1"/>
      <c r="H583" s="1"/>
      <c r="I583" s="1"/>
    </row>
    <row r="584" spans="2:9" ht="15.75" customHeight="1" x14ac:dyDescent="0.25">
      <c r="B584" s="1"/>
      <c r="C584" s="1"/>
      <c r="D584" s="1"/>
      <c r="E584" s="1"/>
      <c r="F584" s="1"/>
      <c r="G584" s="1"/>
      <c r="H584" s="1"/>
      <c r="I584" s="1"/>
    </row>
    <row r="585" spans="2:9" ht="15.75" customHeight="1" x14ac:dyDescent="0.25">
      <c r="B585" s="1"/>
      <c r="C585" s="1"/>
      <c r="D585" s="1"/>
      <c r="E585" s="1"/>
      <c r="F585" s="1"/>
      <c r="G585" s="1"/>
      <c r="H585" s="1"/>
      <c r="I585" s="1"/>
    </row>
    <row r="586" spans="2:9" ht="15.75" customHeight="1" x14ac:dyDescent="0.25">
      <c r="B586" s="1"/>
      <c r="C586" s="1"/>
      <c r="D586" s="1"/>
      <c r="E586" s="1"/>
      <c r="F586" s="1"/>
      <c r="G586" s="1"/>
      <c r="H586" s="1"/>
      <c r="I586" s="1"/>
    </row>
    <row r="587" spans="2:9" ht="15.75" customHeight="1" x14ac:dyDescent="0.25">
      <c r="B587" s="1"/>
      <c r="C587" s="1"/>
      <c r="D587" s="1"/>
      <c r="E587" s="1"/>
      <c r="F587" s="1"/>
      <c r="G587" s="1"/>
      <c r="H587" s="1"/>
      <c r="I587" s="1"/>
    </row>
    <row r="588" spans="2:9" ht="15.75" customHeight="1" x14ac:dyDescent="0.25">
      <c r="B588" s="1"/>
      <c r="C588" s="1"/>
      <c r="D588" s="1"/>
      <c r="E588" s="1"/>
      <c r="F588" s="1"/>
      <c r="G588" s="1"/>
      <c r="H588" s="1"/>
      <c r="I588" s="1"/>
    </row>
    <row r="589" spans="2:9" ht="15.75" customHeight="1" x14ac:dyDescent="0.25">
      <c r="B589" s="1"/>
      <c r="C589" s="1"/>
      <c r="D589" s="1"/>
      <c r="E589" s="1"/>
      <c r="F589" s="1"/>
      <c r="G589" s="1"/>
      <c r="H589" s="1"/>
      <c r="I589" s="1"/>
    </row>
    <row r="590" spans="2:9" ht="15.75" customHeight="1" x14ac:dyDescent="0.25">
      <c r="B590" s="1"/>
      <c r="C590" s="1"/>
      <c r="D590" s="1"/>
      <c r="E590" s="1"/>
      <c r="F590" s="1"/>
      <c r="G590" s="1"/>
      <c r="H590" s="1"/>
      <c r="I590" s="1"/>
    </row>
    <row r="591" spans="2:9" ht="15.75" customHeight="1" x14ac:dyDescent="0.25">
      <c r="B591" s="1"/>
      <c r="C591" s="1"/>
      <c r="D591" s="1"/>
      <c r="E591" s="1"/>
      <c r="F591" s="1"/>
      <c r="G591" s="1"/>
      <c r="H591" s="1"/>
      <c r="I591" s="1"/>
    </row>
    <row r="592" spans="2:9" ht="15.75" customHeight="1" x14ac:dyDescent="0.25">
      <c r="B592" s="1"/>
      <c r="C592" s="1"/>
      <c r="D592" s="1"/>
      <c r="E592" s="1"/>
      <c r="F592" s="1"/>
      <c r="G592" s="1"/>
      <c r="H592" s="1"/>
      <c r="I592" s="1"/>
    </row>
    <row r="593" spans="2:9" ht="15.75" customHeight="1" x14ac:dyDescent="0.25">
      <c r="B593" s="1"/>
      <c r="C593" s="1"/>
      <c r="D593" s="1"/>
      <c r="E593" s="1"/>
      <c r="F593" s="1"/>
      <c r="G593" s="1"/>
      <c r="H593" s="1"/>
      <c r="I593" s="1"/>
    </row>
    <row r="594" spans="2:9" ht="15.75" customHeight="1" x14ac:dyDescent="0.25">
      <c r="B594" s="1"/>
      <c r="C594" s="1"/>
      <c r="D594" s="1"/>
      <c r="E594" s="1"/>
      <c r="F594" s="1"/>
      <c r="G594" s="1"/>
      <c r="H594" s="1"/>
      <c r="I594" s="1"/>
    </row>
    <row r="595" spans="2:9" ht="15.75" customHeight="1" x14ac:dyDescent="0.25">
      <c r="B595" s="1"/>
      <c r="C595" s="1"/>
      <c r="D595" s="1"/>
      <c r="E595" s="1"/>
      <c r="F595" s="1"/>
      <c r="G595" s="1"/>
      <c r="H595" s="1"/>
      <c r="I595" s="1"/>
    </row>
    <row r="596" spans="2:9" ht="15.75" customHeight="1" x14ac:dyDescent="0.25">
      <c r="B596" s="1"/>
      <c r="C596" s="1"/>
      <c r="D596" s="1"/>
      <c r="E596" s="1"/>
      <c r="F596" s="1"/>
      <c r="G596" s="1"/>
      <c r="H596" s="1"/>
      <c r="I596" s="1"/>
    </row>
    <row r="597" spans="2:9" ht="15.75" customHeight="1" x14ac:dyDescent="0.25">
      <c r="B597" s="1"/>
      <c r="C597" s="1"/>
      <c r="D597" s="1"/>
      <c r="E597" s="1"/>
      <c r="F597" s="1"/>
      <c r="G597" s="1"/>
      <c r="H597" s="1"/>
      <c r="I597" s="1"/>
    </row>
    <row r="598" spans="2:9" ht="15.75" customHeight="1" x14ac:dyDescent="0.25">
      <c r="B598" s="1"/>
      <c r="C598" s="1"/>
      <c r="D598" s="1"/>
      <c r="E598" s="1"/>
      <c r="F598" s="1"/>
      <c r="G598" s="1"/>
      <c r="H598" s="1"/>
      <c r="I598" s="1"/>
    </row>
    <row r="599" spans="2:9" ht="15.75" customHeight="1" x14ac:dyDescent="0.25">
      <c r="B599" s="1"/>
      <c r="C599" s="1"/>
      <c r="D599" s="1"/>
      <c r="E599" s="1"/>
      <c r="F599" s="1"/>
      <c r="G599" s="1"/>
      <c r="H599" s="1"/>
      <c r="I599" s="1"/>
    </row>
    <row r="600" spans="2:9" ht="15.75" customHeight="1" x14ac:dyDescent="0.25">
      <c r="B600" s="1"/>
      <c r="C600" s="1"/>
      <c r="D600" s="1"/>
      <c r="E600" s="1"/>
      <c r="F600" s="1"/>
      <c r="G600" s="1"/>
      <c r="H600" s="1"/>
      <c r="I600" s="1"/>
    </row>
    <row r="601" spans="2:9" ht="15.75" customHeight="1" x14ac:dyDescent="0.25">
      <c r="B601" s="1"/>
      <c r="C601" s="1"/>
      <c r="D601" s="1"/>
      <c r="E601" s="1"/>
      <c r="F601" s="1"/>
      <c r="G601" s="1"/>
      <c r="H601" s="1"/>
      <c r="I601" s="1"/>
    </row>
    <row r="602" spans="2:9" ht="15.75" customHeight="1" x14ac:dyDescent="0.25">
      <c r="B602" s="1"/>
      <c r="C602" s="1"/>
      <c r="D602" s="1"/>
      <c r="E602" s="1"/>
      <c r="F602" s="1"/>
      <c r="G602" s="1"/>
      <c r="H602" s="1"/>
      <c r="I602" s="1"/>
    </row>
    <row r="603" spans="2:9" ht="15.75" customHeight="1" x14ac:dyDescent="0.25">
      <c r="B603" s="1"/>
      <c r="C603" s="1"/>
      <c r="D603" s="1"/>
      <c r="E603" s="1"/>
      <c r="F603" s="1"/>
      <c r="G603" s="1"/>
      <c r="H603" s="1"/>
      <c r="I603" s="1"/>
    </row>
    <row r="604" spans="2:9" ht="15.75" customHeight="1" x14ac:dyDescent="0.25">
      <c r="B604" s="1"/>
      <c r="C604" s="1"/>
      <c r="D604" s="1"/>
      <c r="E604" s="1"/>
      <c r="F604" s="1"/>
      <c r="G604" s="1"/>
      <c r="H604" s="1"/>
      <c r="I604" s="1"/>
    </row>
    <row r="605" spans="2:9" ht="15.75" customHeight="1" x14ac:dyDescent="0.25">
      <c r="B605" s="1"/>
      <c r="C605" s="1"/>
      <c r="D605" s="1"/>
      <c r="E605" s="1"/>
      <c r="F605" s="1"/>
      <c r="G605" s="1"/>
      <c r="H605" s="1"/>
      <c r="I605" s="1"/>
    </row>
    <row r="606" spans="2:9" ht="15.75" customHeight="1" x14ac:dyDescent="0.25">
      <c r="B606" s="1"/>
      <c r="C606" s="1"/>
      <c r="D606" s="1"/>
      <c r="E606" s="1"/>
      <c r="F606" s="1"/>
      <c r="G606" s="1"/>
      <c r="H606" s="1"/>
      <c r="I606" s="1"/>
    </row>
    <row r="607" spans="2:9" ht="15.75" customHeight="1" x14ac:dyDescent="0.25">
      <c r="B607" s="1"/>
      <c r="C607" s="1"/>
      <c r="D607" s="1"/>
      <c r="E607" s="1"/>
      <c r="F607" s="1"/>
      <c r="G607" s="1"/>
      <c r="H607" s="1"/>
      <c r="I607" s="1"/>
    </row>
    <row r="608" spans="2:9" ht="15.75" customHeight="1" x14ac:dyDescent="0.25">
      <c r="B608" s="1"/>
      <c r="C608" s="1"/>
      <c r="D608" s="1"/>
      <c r="E608" s="1"/>
      <c r="F608" s="1"/>
      <c r="G608" s="1"/>
      <c r="H608" s="1"/>
      <c r="I608" s="1"/>
    </row>
    <row r="609" spans="2:9" ht="15.75" customHeight="1" x14ac:dyDescent="0.25">
      <c r="B609" s="1"/>
      <c r="C609" s="1"/>
      <c r="D609" s="1"/>
      <c r="E609" s="1"/>
      <c r="F609" s="1"/>
      <c r="G609" s="1"/>
      <c r="H609" s="1"/>
      <c r="I609" s="1"/>
    </row>
    <row r="610" spans="2:9" ht="15.75" customHeight="1" x14ac:dyDescent="0.25">
      <c r="B610" s="1"/>
      <c r="C610" s="1"/>
      <c r="D610" s="1"/>
      <c r="E610" s="1"/>
      <c r="F610" s="1"/>
      <c r="G610" s="1"/>
      <c r="H610" s="1"/>
      <c r="I610" s="1"/>
    </row>
    <row r="611" spans="2:9" ht="15.75" customHeight="1" x14ac:dyDescent="0.25">
      <c r="B611" s="1"/>
      <c r="C611" s="1"/>
      <c r="D611" s="1"/>
      <c r="E611" s="1"/>
      <c r="F611" s="1"/>
      <c r="G611" s="1"/>
      <c r="H611" s="1"/>
      <c r="I611" s="1"/>
    </row>
    <row r="612" spans="2:9" ht="15.75" customHeight="1" x14ac:dyDescent="0.25">
      <c r="B612" s="1"/>
      <c r="C612" s="1"/>
      <c r="D612" s="1"/>
      <c r="E612" s="1"/>
      <c r="F612" s="1"/>
      <c r="G612" s="1"/>
      <c r="H612" s="1"/>
      <c r="I612" s="1"/>
    </row>
    <row r="613" spans="2:9" ht="15.75" customHeight="1" x14ac:dyDescent="0.25">
      <c r="B613" s="1"/>
      <c r="C613" s="1"/>
      <c r="D613" s="1"/>
      <c r="E613" s="1"/>
      <c r="F613" s="1"/>
      <c r="G613" s="1"/>
      <c r="H613" s="1"/>
      <c r="I613" s="1"/>
    </row>
    <row r="614" spans="2:9" ht="15.75" customHeight="1" x14ac:dyDescent="0.25">
      <c r="B614" s="1"/>
      <c r="C614" s="1"/>
      <c r="D614" s="1"/>
      <c r="E614" s="1"/>
      <c r="F614" s="1"/>
      <c r="G614" s="1"/>
      <c r="H614" s="1"/>
      <c r="I614" s="1"/>
    </row>
    <row r="615" spans="2:9" ht="15.75" customHeight="1" x14ac:dyDescent="0.25">
      <c r="B615" s="1"/>
      <c r="C615" s="1"/>
      <c r="D615" s="1"/>
      <c r="E615" s="1"/>
      <c r="F615" s="1"/>
      <c r="G615" s="1"/>
      <c r="H615" s="1"/>
      <c r="I615" s="1"/>
    </row>
    <row r="616" spans="2:9" ht="15.75" customHeight="1" x14ac:dyDescent="0.25">
      <c r="B616" s="1"/>
      <c r="C616" s="1"/>
      <c r="D616" s="1"/>
      <c r="E616" s="1"/>
      <c r="F616" s="1"/>
      <c r="G616" s="1"/>
      <c r="H616" s="1"/>
      <c r="I616" s="1"/>
    </row>
    <row r="617" spans="2:9" ht="15.75" customHeight="1" x14ac:dyDescent="0.25">
      <c r="B617" s="1"/>
      <c r="C617" s="1"/>
      <c r="D617" s="1"/>
      <c r="E617" s="1"/>
      <c r="F617" s="1"/>
      <c r="G617" s="1"/>
      <c r="H617" s="1"/>
      <c r="I617" s="1"/>
    </row>
    <row r="618" spans="2:9" ht="15.75" customHeight="1" x14ac:dyDescent="0.25">
      <c r="B618" s="1"/>
      <c r="C618" s="1"/>
      <c r="D618" s="1"/>
      <c r="E618" s="1"/>
      <c r="F618" s="1"/>
      <c r="G618" s="1"/>
      <c r="H618" s="1"/>
      <c r="I618" s="1"/>
    </row>
    <row r="619" spans="2:9" ht="15.75" customHeight="1" x14ac:dyDescent="0.25">
      <c r="B619" s="1"/>
      <c r="C619" s="1"/>
      <c r="D619" s="1"/>
      <c r="E619" s="1"/>
      <c r="F619" s="1"/>
      <c r="G619" s="1"/>
      <c r="H619" s="1"/>
      <c r="I619" s="1"/>
    </row>
    <row r="620" spans="2:9" ht="15.75" customHeight="1" x14ac:dyDescent="0.25">
      <c r="B620" s="1"/>
      <c r="C620" s="1"/>
      <c r="D620" s="1"/>
      <c r="E620" s="1"/>
      <c r="F620" s="1"/>
      <c r="G620" s="1"/>
      <c r="H620" s="1"/>
      <c r="I620" s="1"/>
    </row>
    <row r="621" spans="2:9" ht="15.75" customHeight="1" x14ac:dyDescent="0.25">
      <c r="B621" s="1"/>
      <c r="C621" s="1"/>
      <c r="D621" s="1"/>
      <c r="E621" s="1"/>
      <c r="F621" s="1"/>
      <c r="G621" s="1"/>
      <c r="H621" s="1"/>
      <c r="I621" s="1"/>
    </row>
    <row r="622" spans="2:9" ht="15.75" customHeight="1" x14ac:dyDescent="0.25">
      <c r="B622" s="1"/>
      <c r="C622" s="1"/>
      <c r="D622" s="1"/>
      <c r="E622" s="1"/>
      <c r="F622" s="1"/>
      <c r="G622" s="1"/>
      <c r="H622" s="1"/>
      <c r="I622" s="1"/>
    </row>
    <row r="623" spans="2:9" ht="15.75" customHeight="1" x14ac:dyDescent="0.25">
      <c r="B623" s="1"/>
      <c r="C623" s="1"/>
      <c r="D623" s="1"/>
      <c r="E623" s="1"/>
      <c r="F623" s="1"/>
      <c r="G623" s="1"/>
      <c r="H623" s="1"/>
      <c r="I623" s="1"/>
    </row>
    <row r="624" spans="2:9" ht="15.75" customHeight="1" x14ac:dyDescent="0.25">
      <c r="B624" s="1"/>
      <c r="C624" s="1"/>
      <c r="D624" s="1"/>
      <c r="E624" s="1"/>
      <c r="F624" s="1"/>
      <c r="G624" s="1"/>
      <c r="H624" s="1"/>
      <c r="I624" s="1"/>
    </row>
    <row r="625" spans="2:9" ht="15.75" customHeight="1" x14ac:dyDescent="0.25">
      <c r="B625" s="1"/>
      <c r="C625" s="1"/>
      <c r="D625" s="1"/>
      <c r="E625" s="1"/>
      <c r="F625" s="1"/>
      <c r="G625" s="1"/>
      <c r="H625" s="1"/>
      <c r="I625" s="1"/>
    </row>
    <row r="626" spans="2:9" ht="15.75" customHeight="1" x14ac:dyDescent="0.25">
      <c r="B626" s="1"/>
      <c r="C626" s="1"/>
      <c r="D626" s="1"/>
      <c r="E626" s="1"/>
      <c r="F626" s="1"/>
      <c r="G626" s="1"/>
      <c r="H626" s="1"/>
      <c r="I626" s="1"/>
    </row>
    <row r="627" spans="2:9" ht="15.75" customHeight="1" x14ac:dyDescent="0.25">
      <c r="B627" s="1"/>
      <c r="C627" s="1"/>
      <c r="D627" s="1"/>
      <c r="E627" s="1"/>
      <c r="F627" s="1"/>
      <c r="G627" s="1"/>
      <c r="H627" s="1"/>
      <c r="I627" s="1"/>
    </row>
    <row r="628" spans="2:9" ht="15.75" customHeight="1" x14ac:dyDescent="0.25">
      <c r="B628" s="1"/>
      <c r="C628" s="1"/>
      <c r="D628" s="1"/>
      <c r="E628" s="1"/>
      <c r="F628" s="1"/>
      <c r="G628" s="1"/>
      <c r="H628" s="1"/>
      <c r="I628" s="1"/>
    </row>
    <row r="629" spans="2:9" ht="15.75" customHeight="1" x14ac:dyDescent="0.25">
      <c r="B629" s="1"/>
      <c r="C629" s="1"/>
      <c r="D629" s="1"/>
      <c r="E629" s="1"/>
      <c r="F629" s="1"/>
      <c r="G629" s="1"/>
      <c r="H629" s="1"/>
      <c r="I629" s="1"/>
    </row>
    <row r="630" spans="2:9" ht="15.75" customHeight="1" x14ac:dyDescent="0.25">
      <c r="B630" s="1"/>
      <c r="C630" s="1"/>
      <c r="D630" s="1"/>
      <c r="E630" s="1"/>
      <c r="F630" s="1"/>
      <c r="G630" s="1"/>
      <c r="H630" s="1"/>
      <c r="I630" s="1"/>
    </row>
    <row r="631" spans="2:9" ht="15.75" customHeight="1" x14ac:dyDescent="0.25">
      <c r="B631" s="1"/>
      <c r="C631" s="1"/>
      <c r="D631" s="1"/>
      <c r="E631" s="1"/>
      <c r="F631" s="1"/>
      <c r="G631" s="1"/>
      <c r="H631" s="1"/>
      <c r="I631" s="1"/>
    </row>
    <row r="632" spans="2:9" ht="15.75" customHeight="1" x14ac:dyDescent="0.25">
      <c r="B632" s="1"/>
      <c r="C632" s="1"/>
      <c r="D632" s="1"/>
      <c r="E632" s="1"/>
      <c r="F632" s="1"/>
      <c r="G632" s="1"/>
      <c r="H632" s="1"/>
      <c r="I632" s="1"/>
    </row>
    <row r="633" spans="2:9" ht="15.75" customHeight="1" x14ac:dyDescent="0.25">
      <c r="B633" s="1"/>
      <c r="C633" s="1"/>
      <c r="D633" s="1"/>
      <c r="E633" s="1"/>
      <c r="F633" s="1"/>
      <c r="G633" s="1"/>
      <c r="H633" s="1"/>
      <c r="I633" s="1"/>
    </row>
    <row r="634" spans="2:9" ht="15.75" customHeight="1" x14ac:dyDescent="0.25">
      <c r="B634" s="1"/>
      <c r="C634" s="1"/>
      <c r="D634" s="1"/>
      <c r="E634" s="1"/>
      <c r="F634" s="1"/>
      <c r="G634" s="1"/>
      <c r="H634" s="1"/>
      <c r="I634" s="1"/>
    </row>
    <row r="635" spans="2:9" ht="15.75" customHeight="1" x14ac:dyDescent="0.25">
      <c r="B635" s="1"/>
      <c r="C635" s="1"/>
      <c r="D635" s="1"/>
      <c r="E635" s="1"/>
      <c r="F635" s="1"/>
      <c r="G635" s="1"/>
      <c r="H635" s="1"/>
      <c r="I635" s="1"/>
    </row>
    <row r="636" spans="2:9" ht="15.75" customHeight="1" x14ac:dyDescent="0.25">
      <c r="B636" s="1"/>
      <c r="C636" s="1"/>
      <c r="D636" s="1"/>
      <c r="E636" s="1"/>
      <c r="F636" s="1"/>
      <c r="G636" s="1"/>
      <c r="H636" s="1"/>
      <c r="I636" s="1"/>
    </row>
    <row r="637" spans="2:9" ht="15.75" customHeight="1" x14ac:dyDescent="0.25">
      <c r="B637" s="1"/>
      <c r="C637" s="1"/>
      <c r="D637" s="1"/>
      <c r="E637" s="1"/>
      <c r="F637" s="1"/>
      <c r="G637" s="1"/>
      <c r="H637" s="1"/>
      <c r="I637" s="1"/>
    </row>
    <row r="638" spans="2:9" ht="15.75" customHeight="1" x14ac:dyDescent="0.25">
      <c r="B638" s="1"/>
      <c r="C638" s="1"/>
      <c r="D638" s="1"/>
      <c r="E638" s="1"/>
      <c r="F638" s="1"/>
      <c r="G638" s="1"/>
      <c r="H638" s="1"/>
      <c r="I638" s="1"/>
    </row>
    <row r="639" spans="2:9" ht="15.75" customHeight="1" x14ac:dyDescent="0.25">
      <c r="B639" s="1"/>
      <c r="C639" s="1"/>
      <c r="D639" s="1"/>
      <c r="E639" s="1"/>
      <c r="F639" s="1"/>
      <c r="G639" s="1"/>
      <c r="H639" s="1"/>
      <c r="I639" s="1"/>
    </row>
    <row r="640" spans="2:9" ht="15.75" customHeight="1" x14ac:dyDescent="0.25">
      <c r="B640" s="1"/>
      <c r="C640" s="1"/>
      <c r="D640" s="1"/>
      <c r="E640" s="1"/>
      <c r="F640" s="1"/>
      <c r="G640" s="1"/>
      <c r="H640" s="1"/>
      <c r="I640" s="1"/>
    </row>
    <row r="641" spans="2:9" ht="15.75" customHeight="1" x14ac:dyDescent="0.25">
      <c r="B641" s="1"/>
      <c r="C641" s="1"/>
      <c r="D641" s="1"/>
      <c r="E641" s="1"/>
      <c r="F641" s="1"/>
      <c r="G641" s="1"/>
      <c r="H641" s="1"/>
      <c r="I641" s="1"/>
    </row>
    <row r="642" spans="2:9" ht="15.75" customHeight="1" x14ac:dyDescent="0.25">
      <c r="B642" s="1"/>
      <c r="C642" s="1"/>
      <c r="D642" s="1"/>
      <c r="E642" s="1"/>
      <c r="F642" s="1"/>
      <c r="G642" s="1"/>
      <c r="H642" s="1"/>
      <c r="I642" s="1"/>
    </row>
    <row r="643" spans="2:9" ht="15.75" customHeight="1" x14ac:dyDescent="0.25">
      <c r="B643" s="1"/>
      <c r="C643" s="1"/>
      <c r="D643" s="1"/>
      <c r="E643" s="1"/>
      <c r="F643" s="1"/>
      <c r="G643" s="1"/>
      <c r="H643" s="1"/>
      <c r="I643" s="1"/>
    </row>
    <row r="644" spans="2:9" ht="15.75" customHeight="1" x14ac:dyDescent="0.25">
      <c r="B644" s="1"/>
      <c r="C644" s="1"/>
      <c r="D644" s="1"/>
      <c r="E644" s="1"/>
      <c r="F644" s="1"/>
      <c r="G644" s="1"/>
      <c r="H644" s="1"/>
      <c r="I644" s="1"/>
    </row>
    <row r="645" spans="2:9" ht="15.75" customHeight="1" x14ac:dyDescent="0.25">
      <c r="B645" s="1"/>
      <c r="C645" s="1"/>
      <c r="D645" s="1"/>
      <c r="E645" s="1"/>
      <c r="F645" s="1"/>
      <c r="G645" s="1"/>
      <c r="H645" s="1"/>
      <c r="I645" s="1"/>
    </row>
    <row r="646" spans="2:9" ht="15.75" customHeight="1" x14ac:dyDescent="0.25">
      <c r="B646" s="1"/>
      <c r="C646" s="1"/>
      <c r="D646" s="1"/>
      <c r="E646" s="1"/>
      <c r="F646" s="1"/>
      <c r="G646" s="1"/>
      <c r="H646" s="1"/>
      <c r="I646" s="1"/>
    </row>
    <row r="647" spans="2:9" ht="15.75" customHeight="1" x14ac:dyDescent="0.25">
      <c r="B647" s="1"/>
      <c r="C647" s="1"/>
      <c r="D647" s="1"/>
      <c r="E647" s="1"/>
      <c r="F647" s="1"/>
      <c r="G647" s="1"/>
      <c r="H647" s="1"/>
      <c r="I647" s="1"/>
    </row>
    <row r="648" spans="2:9" ht="15.75" customHeight="1" x14ac:dyDescent="0.25">
      <c r="B648" s="1"/>
      <c r="C648" s="1"/>
      <c r="D648" s="1"/>
      <c r="E648" s="1"/>
      <c r="F648" s="1"/>
      <c r="G648" s="1"/>
      <c r="H648" s="1"/>
      <c r="I648" s="1"/>
    </row>
    <row r="649" spans="2:9" ht="15.75" customHeight="1" x14ac:dyDescent="0.25">
      <c r="B649" s="1"/>
      <c r="C649" s="1"/>
      <c r="D649" s="1"/>
      <c r="E649" s="1"/>
      <c r="F649" s="1"/>
      <c r="G649" s="1"/>
      <c r="H649" s="1"/>
      <c r="I649" s="1"/>
    </row>
    <row r="650" spans="2:9" ht="15.75" customHeight="1" x14ac:dyDescent="0.25">
      <c r="B650" s="1"/>
      <c r="C650" s="1"/>
      <c r="D650" s="1"/>
      <c r="E650" s="1"/>
      <c r="F650" s="1"/>
      <c r="G650" s="1"/>
      <c r="H650" s="1"/>
      <c r="I650" s="1"/>
    </row>
    <row r="651" spans="2:9" ht="15.75" customHeight="1" x14ac:dyDescent="0.25">
      <c r="B651" s="1"/>
      <c r="C651" s="1"/>
      <c r="D651" s="1"/>
      <c r="E651" s="1"/>
      <c r="F651" s="1"/>
      <c r="G651" s="1"/>
      <c r="H651" s="1"/>
      <c r="I651" s="1"/>
    </row>
    <row r="652" spans="2:9" ht="15.75" customHeight="1" x14ac:dyDescent="0.25">
      <c r="B652" s="1"/>
      <c r="C652" s="1"/>
      <c r="D652" s="1"/>
      <c r="E652" s="1"/>
      <c r="F652" s="1"/>
      <c r="G652" s="1"/>
      <c r="H652" s="1"/>
      <c r="I652" s="1"/>
    </row>
    <row r="653" spans="2:9" ht="15.75" customHeight="1" x14ac:dyDescent="0.25">
      <c r="B653" s="1"/>
      <c r="C653" s="1"/>
      <c r="D653" s="1"/>
      <c r="E653" s="1"/>
      <c r="F653" s="1"/>
      <c r="G653" s="1"/>
      <c r="H653" s="1"/>
      <c r="I653" s="1"/>
    </row>
    <row r="654" spans="2:9" ht="15.75" customHeight="1" x14ac:dyDescent="0.25">
      <c r="B654" s="1"/>
      <c r="C654" s="1"/>
      <c r="D654" s="1"/>
      <c r="E654" s="1"/>
      <c r="F654" s="1"/>
      <c r="G654" s="1"/>
      <c r="H654" s="1"/>
      <c r="I654" s="1"/>
    </row>
    <row r="655" spans="2:9" ht="15.75" customHeight="1" x14ac:dyDescent="0.25">
      <c r="B655" s="1"/>
      <c r="C655" s="1"/>
      <c r="D655" s="1"/>
      <c r="E655" s="1"/>
      <c r="F655" s="1"/>
      <c r="G655" s="1"/>
      <c r="H655" s="1"/>
      <c r="I655" s="1"/>
    </row>
    <row r="656" spans="2:9" ht="15.75" customHeight="1" x14ac:dyDescent="0.25">
      <c r="B656" s="1"/>
      <c r="C656" s="1"/>
      <c r="D656" s="1"/>
      <c r="E656" s="1"/>
      <c r="F656" s="1"/>
      <c r="G656" s="1"/>
      <c r="H656" s="1"/>
      <c r="I656" s="1"/>
    </row>
    <row r="657" spans="2:9" ht="15.75" customHeight="1" x14ac:dyDescent="0.25">
      <c r="B657" s="1"/>
      <c r="C657" s="1"/>
      <c r="D657" s="1"/>
      <c r="E657" s="1"/>
      <c r="F657" s="1"/>
      <c r="G657" s="1"/>
      <c r="H657" s="1"/>
      <c r="I657" s="1"/>
    </row>
    <row r="658" spans="2:9" ht="15.75" customHeight="1" x14ac:dyDescent="0.25">
      <c r="B658" s="1"/>
      <c r="C658" s="1"/>
      <c r="D658" s="1"/>
      <c r="E658" s="1"/>
      <c r="F658" s="1"/>
      <c r="G658" s="1"/>
      <c r="H658" s="1"/>
      <c r="I658" s="1"/>
    </row>
    <row r="659" spans="2:9" ht="15.75" customHeight="1" x14ac:dyDescent="0.25">
      <c r="B659" s="1"/>
      <c r="C659" s="1"/>
      <c r="D659" s="1"/>
      <c r="E659" s="1"/>
      <c r="F659" s="1"/>
      <c r="G659" s="1"/>
      <c r="H659" s="1"/>
      <c r="I659" s="1"/>
    </row>
    <row r="660" spans="2:9" ht="15.75" customHeight="1" x14ac:dyDescent="0.25">
      <c r="B660" s="1"/>
      <c r="C660" s="1"/>
      <c r="D660" s="1"/>
      <c r="E660" s="1"/>
      <c r="F660" s="1"/>
      <c r="G660" s="1"/>
      <c r="H660" s="1"/>
      <c r="I660" s="1"/>
    </row>
    <row r="661" spans="2:9" ht="15.75" customHeight="1" x14ac:dyDescent="0.25">
      <c r="B661" s="1"/>
      <c r="C661" s="1"/>
      <c r="D661" s="1"/>
      <c r="E661" s="1"/>
      <c r="F661" s="1"/>
      <c r="G661" s="1"/>
      <c r="H661" s="1"/>
      <c r="I661" s="1"/>
    </row>
    <row r="662" spans="2:9" ht="15.75" customHeight="1" x14ac:dyDescent="0.25">
      <c r="B662" s="1"/>
      <c r="C662" s="1"/>
      <c r="D662" s="1"/>
      <c r="E662" s="1"/>
      <c r="F662" s="1"/>
      <c r="G662" s="1"/>
      <c r="H662" s="1"/>
      <c r="I662" s="1"/>
    </row>
    <row r="663" spans="2:9" ht="15.75" customHeight="1" x14ac:dyDescent="0.25">
      <c r="B663" s="1"/>
      <c r="C663" s="1"/>
      <c r="D663" s="1"/>
      <c r="E663" s="1"/>
      <c r="F663" s="1"/>
      <c r="G663" s="1"/>
      <c r="H663" s="1"/>
      <c r="I663" s="1"/>
    </row>
    <row r="664" spans="2:9" ht="15.75" customHeight="1" x14ac:dyDescent="0.25">
      <c r="B664" s="1"/>
      <c r="C664" s="1"/>
      <c r="D664" s="1"/>
      <c r="E664" s="1"/>
      <c r="F664" s="1"/>
      <c r="G664" s="1"/>
      <c r="H664" s="1"/>
      <c r="I664" s="1"/>
    </row>
    <row r="665" spans="2:9" ht="15.75" customHeight="1" x14ac:dyDescent="0.25">
      <c r="B665" s="1"/>
      <c r="C665" s="1"/>
      <c r="D665" s="1"/>
      <c r="E665" s="1"/>
      <c r="F665" s="1"/>
      <c r="G665" s="1"/>
      <c r="H665" s="1"/>
      <c r="I665" s="1"/>
    </row>
    <row r="666" spans="2:9" ht="15.75" customHeight="1" x14ac:dyDescent="0.25">
      <c r="B666" s="1"/>
      <c r="C666" s="1"/>
      <c r="D666" s="1"/>
      <c r="E666" s="1"/>
      <c r="F666" s="1"/>
      <c r="G666" s="1"/>
      <c r="H666" s="1"/>
      <c r="I666" s="1"/>
    </row>
    <row r="667" spans="2:9" ht="15.75" customHeight="1" x14ac:dyDescent="0.25">
      <c r="B667" s="1"/>
      <c r="C667" s="1"/>
      <c r="D667" s="1"/>
      <c r="E667" s="1"/>
      <c r="F667" s="1"/>
      <c r="G667" s="1"/>
      <c r="H667" s="1"/>
      <c r="I667" s="1"/>
    </row>
    <row r="668" spans="2:9" ht="15.75" customHeight="1" x14ac:dyDescent="0.25">
      <c r="B668" s="1"/>
      <c r="C668" s="1"/>
      <c r="D668" s="1"/>
      <c r="E668" s="1"/>
      <c r="F668" s="1"/>
      <c r="G668" s="1"/>
      <c r="H668" s="1"/>
      <c r="I668" s="1"/>
    </row>
    <row r="669" spans="2:9" ht="15.75" customHeight="1" x14ac:dyDescent="0.25">
      <c r="B669" s="1"/>
      <c r="C669" s="1"/>
      <c r="D669" s="1"/>
      <c r="E669" s="1"/>
      <c r="F669" s="1"/>
      <c r="G669" s="1"/>
      <c r="H669" s="1"/>
      <c r="I669" s="1"/>
    </row>
    <row r="670" spans="2:9" ht="15.75" customHeight="1" x14ac:dyDescent="0.25">
      <c r="B670" s="1"/>
      <c r="C670" s="1"/>
      <c r="D670" s="1"/>
      <c r="E670" s="1"/>
      <c r="F670" s="1"/>
      <c r="G670" s="1"/>
      <c r="H670" s="1"/>
      <c r="I670" s="1"/>
    </row>
    <row r="671" spans="2:9" ht="15.75" customHeight="1" x14ac:dyDescent="0.25">
      <c r="B671" s="1"/>
      <c r="C671" s="1"/>
      <c r="D671" s="1"/>
      <c r="E671" s="1"/>
      <c r="F671" s="1"/>
      <c r="G671" s="1"/>
      <c r="H671" s="1"/>
      <c r="I671" s="1"/>
    </row>
    <row r="672" spans="2:9" ht="15.75" customHeight="1" x14ac:dyDescent="0.25">
      <c r="B672" s="1"/>
      <c r="C672" s="1"/>
      <c r="D672" s="1"/>
      <c r="E672" s="1"/>
      <c r="F672" s="1"/>
      <c r="G672" s="1"/>
      <c r="H672" s="1"/>
      <c r="I672" s="1"/>
    </row>
    <row r="673" spans="2:9" ht="15.75" customHeight="1" x14ac:dyDescent="0.25">
      <c r="B673" s="1"/>
      <c r="C673" s="1"/>
      <c r="D673" s="1"/>
      <c r="E673" s="1"/>
      <c r="F673" s="1"/>
      <c r="G673" s="1"/>
      <c r="H673" s="1"/>
      <c r="I673" s="1"/>
    </row>
    <row r="674" spans="2:9" ht="15.75" customHeight="1" x14ac:dyDescent="0.25">
      <c r="B674" s="1"/>
      <c r="C674" s="1"/>
      <c r="D674" s="1"/>
      <c r="E674" s="1"/>
      <c r="F674" s="1"/>
      <c r="G674" s="1"/>
      <c r="H674" s="1"/>
      <c r="I674" s="1"/>
    </row>
    <row r="675" spans="2:9" ht="15.75" customHeight="1" x14ac:dyDescent="0.25">
      <c r="B675" s="1"/>
      <c r="C675" s="1"/>
      <c r="D675" s="1"/>
      <c r="E675" s="1"/>
      <c r="F675" s="1"/>
      <c r="G675" s="1"/>
      <c r="H675" s="1"/>
      <c r="I675" s="1"/>
    </row>
    <row r="676" spans="2:9" ht="15.75" customHeight="1" x14ac:dyDescent="0.25">
      <c r="B676" s="1"/>
      <c r="C676" s="1"/>
      <c r="D676" s="1"/>
      <c r="E676" s="1"/>
      <c r="F676" s="1"/>
      <c r="G676" s="1"/>
      <c r="H676" s="1"/>
      <c r="I676" s="1"/>
    </row>
    <row r="677" spans="2:9" ht="15.75" customHeight="1" x14ac:dyDescent="0.25">
      <c r="B677" s="1"/>
      <c r="C677" s="1"/>
      <c r="D677" s="1"/>
      <c r="E677" s="1"/>
      <c r="F677" s="1"/>
      <c r="G677" s="1"/>
      <c r="H677" s="1"/>
      <c r="I677" s="1"/>
    </row>
    <row r="678" spans="2:9" ht="15.75" customHeight="1" x14ac:dyDescent="0.25">
      <c r="B678" s="1"/>
      <c r="C678" s="1"/>
      <c r="D678" s="1"/>
      <c r="E678" s="1"/>
      <c r="F678" s="1"/>
      <c r="G678" s="1"/>
      <c r="H678" s="1"/>
      <c r="I678" s="1"/>
    </row>
    <row r="679" spans="2:9" ht="15.75" customHeight="1" x14ac:dyDescent="0.25">
      <c r="B679" s="1"/>
      <c r="C679" s="1"/>
      <c r="D679" s="1"/>
      <c r="E679" s="1"/>
      <c r="F679" s="1"/>
      <c r="G679" s="1"/>
      <c r="H679" s="1"/>
      <c r="I679" s="1"/>
    </row>
    <row r="680" spans="2:9" ht="15.75" customHeight="1" x14ac:dyDescent="0.25">
      <c r="B680" s="1"/>
      <c r="C680" s="1"/>
      <c r="D680" s="1"/>
      <c r="E680" s="1"/>
      <c r="F680" s="1"/>
      <c r="G680" s="1"/>
      <c r="H680" s="1"/>
      <c r="I680" s="1"/>
    </row>
    <row r="681" spans="2:9" ht="15.75" customHeight="1" x14ac:dyDescent="0.25">
      <c r="B681" s="1"/>
      <c r="C681" s="1"/>
      <c r="D681" s="1"/>
      <c r="E681" s="1"/>
      <c r="F681" s="1"/>
      <c r="G681" s="1"/>
      <c r="H681" s="1"/>
      <c r="I681" s="1"/>
    </row>
    <row r="682" spans="2:9" ht="15.75" customHeight="1" x14ac:dyDescent="0.25">
      <c r="B682" s="1"/>
      <c r="C682" s="1"/>
      <c r="D682" s="1"/>
      <c r="E682" s="1"/>
      <c r="F682" s="1"/>
      <c r="G682" s="1"/>
      <c r="H682" s="1"/>
      <c r="I682" s="1"/>
    </row>
    <row r="683" spans="2:9" ht="15.75" customHeight="1" x14ac:dyDescent="0.25">
      <c r="B683" s="1"/>
      <c r="C683" s="1"/>
      <c r="D683" s="1"/>
      <c r="E683" s="1"/>
      <c r="F683" s="1"/>
      <c r="G683" s="1"/>
      <c r="H683" s="1"/>
      <c r="I683" s="1"/>
    </row>
    <row r="684" spans="2:9" ht="15.75" customHeight="1" x14ac:dyDescent="0.25">
      <c r="B684" s="1"/>
      <c r="C684" s="1"/>
      <c r="D684" s="1"/>
      <c r="E684" s="1"/>
      <c r="F684" s="1"/>
      <c r="G684" s="1"/>
      <c r="H684" s="1"/>
      <c r="I684" s="1"/>
    </row>
    <row r="685" spans="2:9" ht="15.75" customHeight="1" x14ac:dyDescent="0.25">
      <c r="B685" s="1"/>
      <c r="C685" s="1"/>
      <c r="D685" s="1"/>
      <c r="E685" s="1"/>
      <c r="F685" s="1"/>
      <c r="G685" s="1"/>
      <c r="H685" s="1"/>
      <c r="I685" s="1"/>
    </row>
    <row r="686" spans="2:9" ht="15.75" customHeight="1" x14ac:dyDescent="0.25">
      <c r="B686" s="1"/>
      <c r="C686" s="1"/>
      <c r="D686" s="1"/>
      <c r="E686" s="1"/>
      <c r="F686" s="1"/>
      <c r="G686" s="1"/>
      <c r="H686" s="1"/>
      <c r="I686" s="1"/>
    </row>
    <row r="687" spans="2:9" ht="15.75" customHeight="1" x14ac:dyDescent="0.25">
      <c r="B687" s="1"/>
      <c r="C687" s="1"/>
      <c r="D687" s="1"/>
      <c r="E687" s="1"/>
      <c r="F687" s="1"/>
      <c r="G687" s="1"/>
      <c r="H687" s="1"/>
      <c r="I687" s="1"/>
    </row>
    <row r="688" spans="2:9" ht="15.75" customHeight="1" x14ac:dyDescent="0.25">
      <c r="B688" s="1"/>
      <c r="C688" s="1"/>
      <c r="D688" s="1"/>
      <c r="E688" s="1"/>
      <c r="F688" s="1"/>
      <c r="G688" s="1"/>
      <c r="H688" s="1"/>
      <c r="I688" s="1"/>
    </row>
    <row r="689" spans="2:9" ht="15.75" customHeight="1" x14ac:dyDescent="0.25">
      <c r="B689" s="1"/>
      <c r="C689" s="1"/>
      <c r="D689" s="1"/>
      <c r="E689" s="1"/>
      <c r="F689" s="1"/>
      <c r="G689" s="1"/>
      <c r="H689" s="1"/>
      <c r="I689" s="1"/>
    </row>
    <row r="690" spans="2:9" ht="15.75" customHeight="1" x14ac:dyDescent="0.25">
      <c r="B690" s="1"/>
      <c r="C690" s="1"/>
      <c r="D690" s="1"/>
      <c r="E690" s="1"/>
      <c r="F690" s="1"/>
      <c r="G690" s="1"/>
      <c r="H690" s="1"/>
      <c r="I690" s="1"/>
    </row>
    <row r="691" spans="2:9" ht="15.75" customHeight="1" x14ac:dyDescent="0.25">
      <c r="B691" s="1"/>
      <c r="C691" s="1"/>
      <c r="D691" s="1"/>
      <c r="E691" s="1"/>
      <c r="F691" s="1"/>
      <c r="G691" s="1"/>
      <c r="H691" s="1"/>
      <c r="I691" s="1"/>
    </row>
    <row r="692" spans="2:9" ht="15.75" customHeight="1" x14ac:dyDescent="0.25">
      <c r="B692" s="1"/>
      <c r="C692" s="1"/>
      <c r="D692" s="1"/>
      <c r="E692" s="1"/>
      <c r="F692" s="1"/>
      <c r="G692" s="1"/>
      <c r="H692" s="1"/>
      <c r="I692" s="1"/>
    </row>
    <row r="693" spans="2:9" ht="15.75" customHeight="1" x14ac:dyDescent="0.25">
      <c r="B693" s="1"/>
      <c r="C693" s="1"/>
      <c r="D693" s="1"/>
      <c r="E693" s="1"/>
      <c r="F693" s="1"/>
      <c r="G693" s="1"/>
      <c r="H693" s="1"/>
      <c r="I693" s="1"/>
    </row>
    <row r="694" spans="2:9" ht="15.75" customHeight="1" x14ac:dyDescent="0.25">
      <c r="B694" s="1"/>
      <c r="C694" s="1"/>
      <c r="D694" s="1"/>
      <c r="E694" s="1"/>
      <c r="F694" s="1"/>
      <c r="G694" s="1"/>
      <c r="H694" s="1"/>
      <c r="I694" s="1"/>
    </row>
    <row r="695" spans="2:9" ht="15.75" customHeight="1" x14ac:dyDescent="0.25">
      <c r="B695" s="1"/>
      <c r="C695" s="1"/>
      <c r="D695" s="1"/>
      <c r="E695" s="1"/>
      <c r="F695" s="1"/>
      <c r="G695" s="1"/>
      <c r="H695" s="1"/>
      <c r="I695" s="1"/>
    </row>
    <row r="696" spans="2:9" ht="15.75" customHeight="1" x14ac:dyDescent="0.25">
      <c r="B696" s="1"/>
      <c r="C696" s="1"/>
      <c r="D696" s="1"/>
      <c r="E696" s="1"/>
      <c r="F696" s="1"/>
      <c r="G696" s="1"/>
      <c r="H696" s="1"/>
      <c r="I696" s="1"/>
    </row>
    <row r="697" spans="2:9" ht="15.75" customHeight="1" x14ac:dyDescent="0.25">
      <c r="B697" s="1"/>
      <c r="C697" s="1"/>
      <c r="D697" s="1"/>
      <c r="E697" s="1"/>
      <c r="F697" s="1"/>
      <c r="G697" s="1"/>
      <c r="H697" s="1"/>
      <c r="I697" s="1"/>
    </row>
    <row r="698" spans="2:9" ht="15.75" customHeight="1" x14ac:dyDescent="0.25">
      <c r="B698" s="1"/>
      <c r="C698" s="1"/>
      <c r="D698" s="1"/>
      <c r="E698" s="1"/>
      <c r="F698" s="1"/>
      <c r="G698" s="1"/>
      <c r="H698" s="1"/>
      <c r="I698" s="1"/>
    </row>
    <row r="699" spans="2:9" ht="15.75" customHeight="1" x14ac:dyDescent="0.25">
      <c r="B699" s="1"/>
      <c r="C699" s="1"/>
      <c r="D699" s="1"/>
      <c r="E699" s="1"/>
      <c r="F699" s="1"/>
      <c r="G699" s="1"/>
      <c r="H699" s="1"/>
      <c r="I699" s="1"/>
    </row>
    <row r="700" spans="2:9" ht="15.75" customHeight="1" x14ac:dyDescent="0.25">
      <c r="B700" s="1"/>
      <c r="C700" s="1"/>
      <c r="D700" s="1"/>
      <c r="E700" s="1"/>
      <c r="F700" s="1"/>
      <c r="G700" s="1"/>
      <c r="H700" s="1"/>
      <c r="I700" s="1"/>
    </row>
    <row r="701" spans="2:9" ht="15.75" customHeight="1" x14ac:dyDescent="0.25">
      <c r="B701" s="1"/>
      <c r="C701" s="1"/>
      <c r="D701" s="1"/>
      <c r="E701" s="1"/>
      <c r="F701" s="1"/>
      <c r="G701" s="1"/>
      <c r="H701" s="1"/>
      <c r="I701" s="1"/>
    </row>
    <row r="702" spans="2:9" ht="15.75" customHeight="1" x14ac:dyDescent="0.25">
      <c r="B702" s="1"/>
      <c r="C702" s="1"/>
      <c r="D702" s="1"/>
      <c r="E702" s="1"/>
      <c r="F702" s="1"/>
      <c r="G702" s="1"/>
      <c r="H702" s="1"/>
      <c r="I702" s="1"/>
    </row>
    <row r="703" spans="2:9" ht="15.75" customHeight="1" x14ac:dyDescent="0.25">
      <c r="B703" s="1"/>
      <c r="C703" s="1"/>
      <c r="D703" s="1"/>
      <c r="E703" s="1"/>
      <c r="F703" s="1"/>
      <c r="G703" s="1"/>
      <c r="H703" s="1"/>
      <c r="I703" s="1"/>
    </row>
    <row r="704" spans="2:9" ht="15.75" customHeight="1" x14ac:dyDescent="0.25">
      <c r="B704" s="1"/>
      <c r="C704" s="1"/>
      <c r="D704" s="1"/>
      <c r="E704" s="1"/>
      <c r="F704" s="1"/>
      <c r="G704" s="1"/>
      <c r="H704" s="1"/>
      <c r="I704" s="1"/>
    </row>
    <row r="705" spans="2:9" ht="15.75" customHeight="1" x14ac:dyDescent="0.25">
      <c r="B705" s="1"/>
      <c r="C705" s="1"/>
      <c r="D705" s="1"/>
      <c r="E705" s="1"/>
      <c r="F705" s="1"/>
      <c r="G705" s="1"/>
      <c r="H705" s="1"/>
      <c r="I705" s="1"/>
    </row>
    <row r="706" spans="2:9" ht="15.75" customHeight="1" x14ac:dyDescent="0.25">
      <c r="B706" s="1"/>
      <c r="C706" s="1"/>
      <c r="D706" s="1"/>
      <c r="E706" s="1"/>
      <c r="F706" s="1"/>
      <c r="G706" s="1"/>
      <c r="H706" s="1"/>
      <c r="I706" s="1"/>
    </row>
    <row r="707" spans="2:9" ht="15.75" customHeight="1" x14ac:dyDescent="0.25">
      <c r="B707" s="1"/>
      <c r="C707" s="1"/>
      <c r="D707" s="1"/>
      <c r="E707" s="1"/>
      <c r="F707" s="1"/>
      <c r="G707" s="1"/>
      <c r="H707" s="1"/>
      <c r="I707" s="1"/>
    </row>
    <row r="708" spans="2:9" ht="15.75" customHeight="1" x14ac:dyDescent="0.25">
      <c r="B708" s="1"/>
      <c r="C708" s="1"/>
      <c r="D708" s="1"/>
      <c r="E708" s="1"/>
      <c r="F708" s="1"/>
      <c r="G708" s="1"/>
      <c r="H708" s="1"/>
      <c r="I708" s="1"/>
    </row>
    <row r="709" spans="2:9" ht="15.75" customHeight="1" x14ac:dyDescent="0.25">
      <c r="B709" s="1"/>
      <c r="C709" s="1"/>
      <c r="D709" s="1"/>
      <c r="E709" s="1"/>
      <c r="F709" s="1"/>
      <c r="G709" s="1"/>
      <c r="H709" s="1"/>
      <c r="I709" s="1"/>
    </row>
    <row r="710" spans="2:9" ht="15.75" customHeight="1" x14ac:dyDescent="0.25">
      <c r="B710" s="1"/>
      <c r="C710" s="1"/>
      <c r="D710" s="1"/>
      <c r="E710" s="1"/>
      <c r="F710" s="1"/>
      <c r="G710" s="1"/>
      <c r="H710" s="1"/>
      <c r="I710" s="1"/>
    </row>
    <row r="711" spans="2:9" ht="15.75" customHeight="1" x14ac:dyDescent="0.25">
      <c r="B711" s="1"/>
      <c r="C711" s="1"/>
      <c r="D711" s="1"/>
      <c r="E711" s="1"/>
      <c r="F711" s="1"/>
      <c r="G711" s="1"/>
      <c r="H711" s="1"/>
      <c r="I711" s="1"/>
    </row>
    <row r="712" spans="2:9" ht="15.75" customHeight="1" x14ac:dyDescent="0.25">
      <c r="B712" s="1"/>
      <c r="C712" s="1"/>
      <c r="D712" s="1"/>
      <c r="E712" s="1"/>
      <c r="F712" s="1"/>
      <c r="G712" s="1"/>
      <c r="H712" s="1"/>
      <c r="I712" s="1"/>
    </row>
    <row r="713" spans="2:9" ht="15.75" customHeight="1" x14ac:dyDescent="0.25">
      <c r="B713" s="1"/>
      <c r="C713" s="1"/>
      <c r="D713" s="1"/>
      <c r="E713" s="1"/>
      <c r="F713" s="1"/>
      <c r="G713" s="1"/>
      <c r="H713" s="1"/>
      <c r="I713" s="1"/>
    </row>
    <row r="714" spans="2:9" ht="15.75" customHeight="1" x14ac:dyDescent="0.25">
      <c r="B714" s="1"/>
      <c r="C714" s="1"/>
      <c r="D714" s="1"/>
      <c r="E714" s="1"/>
      <c r="F714" s="1"/>
      <c r="G714" s="1"/>
      <c r="H714" s="1"/>
      <c r="I714" s="1"/>
    </row>
    <row r="715" spans="2:9" ht="15.75" customHeight="1" x14ac:dyDescent="0.25">
      <c r="B715" s="1"/>
      <c r="C715" s="1"/>
      <c r="D715" s="1"/>
      <c r="E715" s="1"/>
      <c r="F715" s="1"/>
      <c r="G715" s="1"/>
      <c r="H715" s="1"/>
      <c r="I715" s="1"/>
    </row>
    <row r="716" spans="2:9" ht="15.75" customHeight="1" x14ac:dyDescent="0.25">
      <c r="B716" s="1"/>
      <c r="C716" s="1"/>
      <c r="D716" s="1"/>
      <c r="E716" s="1"/>
      <c r="F716" s="1"/>
      <c r="G716" s="1"/>
      <c r="H716" s="1"/>
      <c r="I716" s="1"/>
    </row>
    <row r="717" spans="2:9" ht="15.75" customHeight="1" x14ac:dyDescent="0.25">
      <c r="B717" s="1"/>
      <c r="C717" s="1"/>
      <c r="D717" s="1"/>
      <c r="E717" s="1"/>
      <c r="F717" s="1"/>
      <c r="G717" s="1"/>
      <c r="H717" s="1"/>
      <c r="I717" s="1"/>
    </row>
    <row r="718" spans="2:9" ht="15.75" customHeight="1" x14ac:dyDescent="0.25">
      <c r="B718" s="1"/>
      <c r="C718" s="1"/>
      <c r="D718" s="1"/>
      <c r="E718" s="1"/>
      <c r="F718" s="1"/>
      <c r="G718" s="1"/>
      <c r="H718" s="1"/>
      <c r="I718" s="1"/>
    </row>
    <row r="719" spans="2:9" ht="15.75" customHeight="1" x14ac:dyDescent="0.25">
      <c r="B719" s="1"/>
      <c r="C719" s="1"/>
      <c r="D719" s="1"/>
      <c r="E719" s="1"/>
      <c r="F719" s="1"/>
      <c r="G719" s="1"/>
      <c r="H719" s="1"/>
      <c r="I719" s="1"/>
    </row>
    <row r="720" spans="2:9" ht="15.75" customHeight="1" x14ac:dyDescent="0.25">
      <c r="B720" s="1"/>
      <c r="C720" s="1"/>
      <c r="D720" s="1"/>
      <c r="E720" s="1"/>
      <c r="F720" s="1"/>
      <c r="G720" s="1"/>
      <c r="H720" s="1"/>
      <c r="I720" s="1"/>
    </row>
    <row r="721" spans="2:9" ht="15.75" customHeight="1" x14ac:dyDescent="0.25">
      <c r="B721" s="1"/>
      <c r="C721" s="1"/>
      <c r="D721" s="1"/>
      <c r="E721" s="1"/>
      <c r="F721" s="1"/>
      <c r="G721" s="1"/>
      <c r="H721" s="1"/>
      <c r="I721" s="1"/>
    </row>
    <row r="722" spans="2:9" ht="15.75" customHeight="1" x14ac:dyDescent="0.25">
      <c r="B722" s="1"/>
      <c r="C722" s="1"/>
      <c r="D722" s="1"/>
      <c r="E722" s="1"/>
      <c r="F722" s="1"/>
      <c r="G722" s="1"/>
      <c r="H722" s="1"/>
      <c r="I722" s="1"/>
    </row>
    <row r="723" spans="2:9" ht="15.75" customHeight="1" x14ac:dyDescent="0.25">
      <c r="B723" s="1"/>
      <c r="C723" s="1"/>
      <c r="D723" s="1"/>
      <c r="E723" s="1"/>
      <c r="F723" s="1"/>
      <c r="G723" s="1"/>
      <c r="H723" s="1"/>
      <c r="I723" s="1"/>
    </row>
    <row r="724" spans="2:9" ht="15.75" customHeight="1" x14ac:dyDescent="0.25">
      <c r="B724" s="1"/>
      <c r="C724" s="1"/>
      <c r="D724" s="1"/>
      <c r="E724" s="1"/>
      <c r="F724" s="1"/>
      <c r="G724" s="1"/>
      <c r="H724" s="1"/>
      <c r="I724" s="1"/>
    </row>
    <row r="725" spans="2:9" ht="15.75" customHeight="1" x14ac:dyDescent="0.25">
      <c r="B725" s="1"/>
      <c r="C725" s="1"/>
      <c r="D725" s="1"/>
      <c r="E725" s="1"/>
      <c r="F725" s="1"/>
      <c r="G725" s="1"/>
      <c r="H725" s="1"/>
      <c r="I725" s="1"/>
    </row>
    <row r="726" spans="2:9" ht="15.75" customHeight="1" x14ac:dyDescent="0.25">
      <c r="B726" s="1"/>
      <c r="C726" s="1"/>
      <c r="D726" s="1"/>
      <c r="E726" s="1"/>
      <c r="F726" s="1"/>
      <c r="G726" s="1"/>
      <c r="H726" s="1"/>
      <c r="I726" s="1"/>
    </row>
    <row r="727" spans="2:9" ht="15.75" customHeight="1" x14ac:dyDescent="0.25">
      <c r="B727" s="1"/>
      <c r="C727" s="1"/>
      <c r="D727" s="1"/>
      <c r="E727" s="1"/>
      <c r="F727" s="1"/>
      <c r="G727" s="1"/>
      <c r="H727" s="1"/>
      <c r="I727" s="1"/>
    </row>
    <row r="728" spans="2:9" ht="15.75" customHeight="1" x14ac:dyDescent="0.25">
      <c r="B728" s="1"/>
      <c r="C728" s="1"/>
      <c r="D728" s="1"/>
      <c r="E728" s="1"/>
      <c r="F728" s="1"/>
      <c r="G728" s="1"/>
      <c r="H728" s="1"/>
      <c r="I728" s="1"/>
    </row>
    <row r="729" spans="2:9" ht="15.75" customHeight="1" x14ac:dyDescent="0.25">
      <c r="B729" s="1"/>
      <c r="C729" s="1"/>
      <c r="D729" s="1"/>
      <c r="E729" s="1"/>
      <c r="F729" s="1"/>
      <c r="G729" s="1"/>
      <c r="H729" s="1"/>
      <c r="I729" s="1"/>
    </row>
    <row r="730" spans="2:9" ht="15.75" customHeight="1" x14ac:dyDescent="0.25">
      <c r="B730" s="1"/>
      <c r="C730" s="1"/>
      <c r="D730" s="1"/>
      <c r="E730" s="1"/>
      <c r="F730" s="1"/>
      <c r="G730" s="1"/>
      <c r="H730" s="1"/>
      <c r="I730" s="1"/>
    </row>
    <row r="731" spans="2:9" ht="15.75" customHeight="1" x14ac:dyDescent="0.25">
      <c r="B731" s="1"/>
      <c r="C731" s="1"/>
      <c r="D731" s="1"/>
      <c r="E731" s="1"/>
      <c r="F731" s="1"/>
      <c r="G731" s="1"/>
      <c r="H731" s="1"/>
      <c r="I731" s="1"/>
    </row>
    <row r="732" spans="2:9" ht="15.75" customHeight="1" x14ac:dyDescent="0.25">
      <c r="B732" s="1"/>
      <c r="C732" s="1"/>
      <c r="D732" s="1"/>
      <c r="E732" s="1"/>
      <c r="F732" s="1"/>
      <c r="G732" s="1"/>
      <c r="H732" s="1"/>
      <c r="I732" s="1"/>
    </row>
    <row r="733" spans="2:9" ht="15.75" customHeight="1" x14ac:dyDescent="0.25">
      <c r="B733" s="1"/>
      <c r="C733" s="1"/>
      <c r="D733" s="1"/>
      <c r="E733" s="1"/>
      <c r="F733" s="1"/>
      <c r="G733" s="1"/>
      <c r="H733" s="1"/>
      <c r="I733" s="1"/>
    </row>
    <row r="734" spans="2:9" ht="15.75" customHeight="1" x14ac:dyDescent="0.25">
      <c r="B734" s="1"/>
      <c r="C734" s="1"/>
      <c r="D734" s="1"/>
      <c r="E734" s="1"/>
      <c r="F734" s="1"/>
      <c r="G734" s="1"/>
      <c r="H734" s="1"/>
      <c r="I734" s="1"/>
    </row>
    <row r="735" spans="2:9" ht="15.75" customHeight="1" x14ac:dyDescent="0.25">
      <c r="B735" s="1"/>
      <c r="C735" s="1"/>
      <c r="D735" s="1"/>
      <c r="E735" s="1"/>
      <c r="F735" s="1"/>
      <c r="G735" s="1"/>
      <c r="H735" s="1"/>
      <c r="I735" s="1"/>
    </row>
    <row r="736" spans="2:9" ht="15.75" customHeight="1" x14ac:dyDescent="0.25">
      <c r="B736" s="1"/>
      <c r="C736" s="1"/>
      <c r="D736" s="1"/>
      <c r="E736" s="1"/>
      <c r="F736" s="1"/>
      <c r="G736" s="1"/>
      <c r="H736" s="1"/>
      <c r="I736" s="1"/>
    </row>
    <row r="737" spans="2:9" ht="15.75" customHeight="1" x14ac:dyDescent="0.25">
      <c r="B737" s="1"/>
      <c r="C737" s="1"/>
      <c r="D737" s="1"/>
      <c r="E737" s="1"/>
      <c r="F737" s="1"/>
      <c r="G737" s="1"/>
      <c r="H737" s="1"/>
      <c r="I737" s="1"/>
    </row>
    <row r="738" spans="2:9" ht="15.75" customHeight="1" x14ac:dyDescent="0.25">
      <c r="B738" s="1"/>
      <c r="C738" s="1"/>
      <c r="D738" s="1"/>
      <c r="E738" s="1"/>
      <c r="F738" s="1"/>
      <c r="G738" s="1"/>
      <c r="H738" s="1"/>
      <c r="I738" s="1"/>
    </row>
    <row r="739" spans="2:9" ht="15.75" customHeight="1" x14ac:dyDescent="0.25">
      <c r="B739" s="1"/>
      <c r="C739" s="1"/>
      <c r="D739" s="1"/>
      <c r="E739" s="1"/>
      <c r="F739" s="1"/>
      <c r="G739" s="1"/>
      <c r="H739" s="1"/>
      <c r="I739" s="1"/>
    </row>
    <row r="740" spans="2:9" ht="15.75" customHeight="1" x14ac:dyDescent="0.25">
      <c r="B740" s="1"/>
      <c r="C740" s="1"/>
      <c r="D740" s="1"/>
      <c r="E740" s="1"/>
      <c r="F740" s="1"/>
      <c r="G740" s="1"/>
      <c r="H740" s="1"/>
      <c r="I740" s="1"/>
    </row>
    <row r="741" spans="2:9" ht="15.75" customHeight="1" x14ac:dyDescent="0.25">
      <c r="B741" s="1"/>
      <c r="C741" s="1"/>
      <c r="D741" s="1"/>
      <c r="E741" s="1"/>
      <c r="F741" s="1"/>
      <c r="G741" s="1"/>
      <c r="H741" s="1"/>
      <c r="I741" s="1"/>
    </row>
    <row r="742" spans="2:9" ht="15.75" customHeight="1" x14ac:dyDescent="0.25">
      <c r="B742" s="1"/>
      <c r="C742" s="1"/>
      <c r="D742" s="1"/>
      <c r="E742" s="1"/>
      <c r="F742" s="1"/>
      <c r="G742" s="1"/>
      <c r="H742" s="1"/>
      <c r="I742" s="1"/>
    </row>
    <row r="743" spans="2:9" ht="15.75" customHeight="1" x14ac:dyDescent="0.25">
      <c r="B743" s="1"/>
      <c r="C743" s="1"/>
      <c r="D743" s="1"/>
      <c r="E743" s="1"/>
      <c r="F743" s="1"/>
      <c r="G743" s="1"/>
      <c r="H743" s="1"/>
      <c r="I743" s="1"/>
    </row>
    <row r="744" spans="2:9" ht="15.75" customHeight="1" x14ac:dyDescent="0.25">
      <c r="B744" s="1"/>
      <c r="C744" s="1"/>
      <c r="D744" s="1"/>
      <c r="E744" s="1"/>
      <c r="F744" s="1"/>
      <c r="G744" s="1"/>
      <c r="H744" s="1"/>
      <c r="I744" s="1"/>
    </row>
    <row r="745" spans="2:9" ht="15.75" customHeight="1" x14ac:dyDescent="0.25">
      <c r="B745" s="1"/>
      <c r="C745" s="1"/>
      <c r="D745" s="1"/>
      <c r="E745" s="1"/>
      <c r="F745" s="1"/>
      <c r="G745" s="1"/>
      <c r="H745" s="1"/>
      <c r="I745" s="1"/>
    </row>
    <row r="746" spans="2:9" ht="15.75" customHeight="1" x14ac:dyDescent="0.25">
      <c r="B746" s="1"/>
      <c r="C746" s="1"/>
      <c r="D746" s="1"/>
      <c r="E746" s="1"/>
      <c r="F746" s="1"/>
      <c r="G746" s="1"/>
      <c r="H746" s="1"/>
      <c r="I746" s="1"/>
    </row>
    <row r="747" spans="2:9" ht="15.75" customHeight="1" x14ac:dyDescent="0.25">
      <c r="B747" s="1"/>
      <c r="C747" s="1"/>
      <c r="D747" s="1"/>
      <c r="E747" s="1"/>
      <c r="F747" s="1"/>
      <c r="G747" s="1"/>
      <c r="H747" s="1"/>
      <c r="I747" s="1"/>
    </row>
    <row r="748" spans="2:9" ht="15.75" customHeight="1" x14ac:dyDescent="0.25">
      <c r="B748" s="1"/>
      <c r="C748" s="1"/>
      <c r="D748" s="1"/>
      <c r="E748" s="1"/>
      <c r="F748" s="1"/>
      <c r="G748" s="1"/>
      <c r="H748" s="1"/>
      <c r="I748" s="1"/>
    </row>
    <row r="749" spans="2:9" ht="15.75" customHeight="1" x14ac:dyDescent="0.25">
      <c r="B749" s="1"/>
      <c r="C749" s="1"/>
      <c r="D749" s="1"/>
      <c r="E749" s="1"/>
      <c r="F749" s="1"/>
      <c r="G749" s="1"/>
      <c r="H749" s="1"/>
      <c r="I749" s="1"/>
    </row>
    <row r="750" spans="2:9" ht="15.75" customHeight="1" x14ac:dyDescent="0.25">
      <c r="B750" s="1"/>
      <c r="C750" s="1"/>
      <c r="D750" s="1"/>
      <c r="E750" s="1"/>
      <c r="F750" s="1"/>
      <c r="G750" s="1"/>
      <c r="H750" s="1"/>
      <c r="I750" s="1"/>
    </row>
    <row r="751" spans="2:9" ht="15.75" customHeight="1" x14ac:dyDescent="0.25">
      <c r="B751" s="1"/>
      <c r="C751" s="1"/>
      <c r="D751" s="1"/>
      <c r="E751" s="1"/>
      <c r="F751" s="1"/>
      <c r="G751" s="1"/>
      <c r="H751" s="1"/>
      <c r="I751" s="1"/>
    </row>
    <row r="752" spans="2:9" ht="15.75" customHeight="1" x14ac:dyDescent="0.25">
      <c r="B752" s="1"/>
      <c r="C752" s="1"/>
      <c r="D752" s="1"/>
      <c r="E752" s="1"/>
      <c r="F752" s="1"/>
      <c r="G752" s="1"/>
      <c r="H752" s="1"/>
      <c r="I752" s="1"/>
    </row>
    <row r="753" spans="2:9" ht="15.75" customHeight="1" x14ac:dyDescent="0.25">
      <c r="B753" s="1"/>
      <c r="C753" s="1"/>
      <c r="D753" s="1"/>
      <c r="E753" s="1"/>
      <c r="F753" s="1"/>
      <c r="G753" s="1"/>
      <c r="H753" s="1"/>
      <c r="I753" s="1"/>
    </row>
    <row r="754" spans="2:9" ht="15.75" customHeight="1" x14ac:dyDescent="0.25">
      <c r="B754" s="1"/>
      <c r="C754" s="1"/>
      <c r="D754" s="1"/>
      <c r="E754" s="1"/>
      <c r="F754" s="1"/>
      <c r="G754" s="1"/>
      <c r="H754" s="1"/>
      <c r="I754" s="1"/>
    </row>
    <row r="755" spans="2:9" ht="15.75" customHeight="1" x14ac:dyDescent="0.25">
      <c r="B755" s="1"/>
      <c r="C755" s="1"/>
      <c r="D755" s="1"/>
      <c r="E755" s="1"/>
      <c r="F755" s="1"/>
      <c r="G755" s="1"/>
      <c r="H755" s="1"/>
      <c r="I755" s="1"/>
    </row>
    <row r="756" spans="2:9" ht="15.75" customHeight="1" x14ac:dyDescent="0.25">
      <c r="B756" s="1"/>
      <c r="C756" s="1"/>
      <c r="D756" s="1"/>
      <c r="E756" s="1"/>
      <c r="F756" s="1"/>
      <c r="G756" s="1"/>
      <c r="H756" s="1"/>
      <c r="I756" s="1"/>
    </row>
    <row r="757" spans="2:9" ht="15.75" customHeight="1" x14ac:dyDescent="0.25">
      <c r="B757" s="1"/>
      <c r="C757" s="1"/>
      <c r="D757" s="1"/>
      <c r="E757" s="1"/>
      <c r="F757" s="1"/>
      <c r="G757" s="1"/>
      <c r="H757" s="1"/>
      <c r="I757" s="1"/>
    </row>
    <row r="758" spans="2:9" ht="15.75" customHeight="1" x14ac:dyDescent="0.25">
      <c r="B758" s="1"/>
      <c r="C758" s="1"/>
      <c r="D758" s="1"/>
      <c r="E758" s="1"/>
      <c r="F758" s="1"/>
      <c r="G758" s="1"/>
      <c r="H758" s="1"/>
      <c r="I758" s="1"/>
    </row>
    <row r="759" spans="2:9" ht="15.75" customHeight="1" x14ac:dyDescent="0.25">
      <c r="B759" s="1"/>
      <c r="C759" s="1"/>
      <c r="D759" s="1"/>
      <c r="E759" s="1"/>
      <c r="F759" s="1"/>
      <c r="G759" s="1"/>
      <c r="H759" s="1"/>
      <c r="I759" s="1"/>
    </row>
    <row r="760" spans="2:9" ht="15.75" customHeight="1" x14ac:dyDescent="0.25">
      <c r="B760" s="1"/>
      <c r="C760" s="1"/>
      <c r="D760" s="1"/>
      <c r="E760" s="1"/>
      <c r="F760" s="1"/>
      <c r="G760" s="1"/>
      <c r="H760" s="1"/>
      <c r="I760" s="1"/>
    </row>
    <row r="761" spans="2:9" ht="15.75" customHeight="1" x14ac:dyDescent="0.25">
      <c r="B761" s="1"/>
      <c r="C761" s="1"/>
      <c r="D761" s="1"/>
      <c r="E761" s="1"/>
      <c r="F761" s="1"/>
      <c r="G761" s="1"/>
      <c r="H761" s="1"/>
      <c r="I761" s="1"/>
    </row>
    <row r="762" spans="2:9" ht="15.75" customHeight="1" x14ac:dyDescent="0.25">
      <c r="B762" s="1"/>
      <c r="C762" s="1"/>
      <c r="D762" s="1"/>
      <c r="E762" s="1"/>
      <c r="F762" s="1"/>
      <c r="G762" s="1"/>
      <c r="H762" s="1"/>
      <c r="I762" s="1"/>
    </row>
    <row r="763" spans="2:9" ht="15.75" customHeight="1" x14ac:dyDescent="0.25">
      <c r="B763" s="1"/>
      <c r="C763" s="1"/>
      <c r="D763" s="1"/>
      <c r="E763" s="1"/>
      <c r="F763" s="1"/>
      <c r="G763" s="1"/>
      <c r="H763" s="1"/>
      <c r="I763" s="1"/>
    </row>
    <row r="764" spans="2:9" ht="15.75" customHeight="1" x14ac:dyDescent="0.25">
      <c r="B764" s="1"/>
      <c r="C764" s="1"/>
      <c r="D764" s="1"/>
      <c r="E764" s="1"/>
      <c r="F764" s="1"/>
      <c r="G764" s="1"/>
      <c r="H764" s="1"/>
      <c r="I764" s="1"/>
    </row>
    <row r="765" spans="2:9" ht="15.75" customHeight="1" x14ac:dyDescent="0.25">
      <c r="B765" s="1"/>
      <c r="C765" s="1"/>
      <c r="D765" s="1"/>
      <c r="E765" s="1"/>
      <c r="F765" s="1"/>
      <c r="G765" s="1"/>
      <c r="H765" s="1"/>
      <c r="I765" s="1"/>
    </row>
    <row r="766" spans="2:9" ht="15.75" customHeight="1" x14ac:dyDescent="0.25">
      <c r="B766" s="1"/>
      <c r="C766" s="1"/>
      <c r="D766" s="1"/>
      <c r="E766" s="1"/>
      <c r="F766" s="1"/>
      <c r="G766" s="1"/>
      <c r="H766" s="1"/>
      <c r="I766" s="1"/>
    </row>
    <row r="767" spans="2:9" ht="15.75" customHeight="1" x14ac:dyDescent="0.25">
      <c r="B767" s="1"/>
      <c r="C767" s="1"/>
      <c r="D767" s="1"/>
      <c r="E767" s="1"/>
      <c r="F767" s="1"/>
      <c r="G767" s="1"/>
      <c r="H767" s="1"/>
      <c r="I767" s="1"/>
    </row>
    <row r="768" spans="2:9" ht="15.75" customHeight="1" x14ac:dyDescent="0.25">
      <c r="B768" s="1"/>
      <c r="C768" s="1"/>
      <c r="D768" s="1"/>
      <c r="E768" s="1"/>
      <c r="F768" s="1"/>
      <c r="G768" s="1"/>
      <c r="H768" s="1"/>
      <c r="I768" s="1"/>
    </row>
    <row r="769" spans="2:9" ht="15.75" customHeight="1" x14ac:dyDescent="0.25">
      <c r="B769" s="1"/>
      <c r="C769" s="1"/>
      <c r="D769" s="1"/>
      <c r="E769" s="1"/>
      <c r="F769" s="1"/>
      <c r="G769" s="1"/>
      <c r="H769" s="1"/>
      <c r="I769" s="1"/>
    </row>
    <row r="770" spans="2:9" ht="15.75" customHeight="1" x14ac:dyDescent="0.25">
      <c r="B770" s="1"/>
      <c r="C770" s="1"/>
      <c r="D770" s="1"/>
      <c r="E770" s="1"/>
      <c r="F770" s="1"/>
      <c r="G770" s="1"/>
      <c r="H770" s="1"/>
      <c r="I770" s="1"/>
    </row>
    <row r="771" spans="2:9" ht="15.75" customHeight="1" x14ac:dyDescent="0.25">
      <c r="B771" s="1"/>
      <c r="C771" s="1"/>
      <c r="D771" s="1"/>
      <c r="E771" s="1"/>
      <c r="F771" s="1"/>
      <c r="G771" s="1"/>
      <c r="H771" s="1"/>
      <c r="I771" s="1"/>
    </row>
    <row r="772" spans="2:9" ht="15.75" customHeight="1" x14ac:dyDescent="0.25">
      <c r="B772" s="1"/>
      <c r="C772" s="1"/>
      <c r="D772" s="1"/>
      <c r="E772" s="1"/>
      <c r="F772" s="1"/>
      <c r="G772" s="1"/>
      <c r="H772" s="1"/>
      <c r="I772" s="1"/>
    </row>
    <row r="773" spans="2:9" ht="15.75" customHeight="1" x14ac:dyDescent="0.25">
      <c r="B773" s="1"/>
      <c r="C773" s="1"/>
      <c r="D773" s="1"/>
      <c r="E773" s="1"/>
      <c r="F773" s="1"/>
      <c r="G773" s="1"/>
      <c r="H773" s="1"/>
      <c r="I773" s="1"/>
    </row>
    <row r="774" spans="2:9" ht="15.75" customHeight="1" x14ac:dyDescent="0.25">
      <c r="B774" s="1"/>
      <c r="C774" s="1"/>
      <c r="D774" s="1"/>
      <c r="E774" s="1"/>
      <c r="F774" s="1"/>
      <c r="G774" s="1"/>
      <c r="H774" s="1"/>
      <c r="I774" s="1"/>
    </row>
    <row r="775" spans="2:9" ht="15.75" customHeight="1" x14ac:dyDescent="0.25">
      <c r="B775" s="1"/>
      <c r="C775" s="1"/>
      <c r="D775" s="1"/>
      <c r="E775" s="1"/>
      <c r="F775" s="1"/>
      <c r="G775" s="1"/>
      <c r="H775" s="1"/>
      <c r="I775" s="1"/>
    </row>
    <row r="776" spans="2:9" ht="15.75" customHeight="1" x14ac:dyDescent="0.25">
      <c r="B776" s="1"/>
      <c r="C776" s="1"/>
      <c r="D776" s="1"/>
      <c r="E776" s="1"/>
      <c r="F776" s="1"/>
      <c r="G776" s="1"/>
      <c r="H776" s="1"/>
      <c r="I776" s="1"/>
    </row>
    <row r="777" spans="2:9" ht="15.75" customHeight="1" x14ac:dyDescent="0.25">
      <c r="B777" s="1"/>
      <c r="C777" s="1"/>
      <c r="D777" s="1"/>
      <c r="E777" s="1"/>
      <c r="F777" s="1"/>
      <c r="G777" s="1"/>
      <c r="H777" s="1"/>
      <c r="I777" s="1"/>
    </row>
    <row r="778" spans="2:9" ht="15.75" customHeight="1" x14ac:dyDescent="0.25">
      <c r="B778" s="1"/>
      <c r="C778" s="1"/>
      <c r="D778" s="1"/>
      <c r="E778" s="1"/>
      <c r="F778" s="1"/>
      <c r="G778" s="1"/>
      <c r="H778" s="1"/>
      <c r="I778" s="1"/>
    </row>
    <row r="779" spans="2:9" ht="15.75" customHeight="1" x14ac:dyDescent="0.25">
      <c r="B779" s="1"/>
      <c r="C779" s="1"/>
      <c r="D779" s="1"/>
      <c r="E779" s="1"/>
      <c r="F779" s="1"/>
      <c r="G779" s="1"/>
      <c r="H779" s="1"/>
      <c r="I779" s="1"/>
    </row>
    <row r="780" spans="2:9" ht="15.75" customHeight="1" x14ac:dyDescent="0.25">
      <c r="B780" s="1"/>
      <c r="C780" s="1"/>
      <c r="D780" s="1"/>
      <c r="E780" s="1"/>
      <c r="F780" s="1"/>
      <c r="G780" s="1"/>
      <c r="H780" s="1"/>
      <c r="I780" s="1"/>
    </row>
    <row r="781" spans="2:9" ht="15.75" customHeight="1" x14ac:dyDescent="0.25">
      <c r="B781" s="1"/>
      <c r="C781" s="1"/>
      <c r="D781" s="1"/>
      <c r="E781" s="1"/>
      <c r="F781" s="1"/>
      <c r="G781" s="1"/>
      <c r="H781" s="1"/>
      <c r="I781" s="1"/>
    </row>
    <row r="782" spans="2:9" ht="15.75" customHeight="1" x14ac:dyDescent="0.25">
      <c r="B782" s="1"/>
      <c r="C782" s="1"/>
      <c r="D782" s="1"/>
      <c r="E782" s="1"/>
      <c r="F782" s="1"/>
      <c r="G782" s="1"/>
      <c r="H782" s="1"/>
      <c r="I782" s="1"/>
    </row>
    <row r="783" spans="2:9" ht="15.75" customHeight="1" x14ac:dyDescent="0.25">
      <c r="B783" s="1"/>
      <c r="C783" s="1"/>
      <c r="D783" s="1"/>
      <c r="E783" s="1"/>
      <c r="F783" s="1"/>
      <c r="G783" s="1"/>
      <c r="H783" s="1"/>
      <c r="I783" s="1"/>
    </row>
    <row r="784" spans="2:9" ht="15.75" customHeight="1" x14ac:dyDescent="0.25">
      <c r="B784" s="1"/>
      <c r="C784" s="1"/>
      <c r="D784" s="1"/>
      <c r="E784" s="1"/>
      <c r="F784" s="1"/>
      <c r="G784" s="1"/>
      <c r="H784" s="1"/>
      <c r="I784" s="1"/>
    </row>
    <row r="785" spans="2:9" ht="15.75" customHeight="1" x14ac:dyDescent="0.25">
      <c r="B785" s="1"/>
      <c r="C785" s="1"/>
      <c r="D785" s="1"/>
      <c r="E785" s="1"/>
      <c r="F785" s="1"/>
      <c r="G785" s="1"/>
      <c r="H785" s="1"/>
      <c r="I785" s="1"/>
    </row>
    <row r="786" spans="2:9" ht="15.75" customHeight="1" x14ac:dyDescent="0.25">
      <c r="B786" s="1"/>
      <c r="C786" s="1"/>
      <c r="D786" s="1"/>
      <c r="E786" s="1"/>
      <c r="F786" s="1"/>
      <c r="G786" s="1"/>
      <c r="H786" s="1"/>
      <c r="I786" s="1"/>
    </row>
    <row r="787" spans="2:9" ht="15.75" customHeight="1" x14ac:dyDescent="0.25">
      <c r="B787" s="1"/>
      <c r="C787" s="1"/>
      <c r="D787" s="1"/>
      <c r="E787" s="1"/>
      <c r="F787" s="1"/>
      <c r="G787" s="1"/>
      <c r="H787" s="1"/>
      <c r="I787" s="1"/>
    </row>
    <row r="788" spans="2:9" ht="15.75" customHeight="1" x14ac:dyDescent="0.25">
      <c r="B788" s="1"/>
      <c r="C788" s="1"/>
      <c r="D788" s="1"/>
      <c r="E788" s="1"/>
      <c r="F788" s="1"/>
      <c r="G788" s="1"/>
      <c r="H788" s="1"/>
      <c r="I788" s="1"/>
    </row>
    <row r="789" spans="2:9" ht="15.75" customHeight="1" x14ac:dyDescent="0.25">
      <c r="B789" s="1"/>
      <c r="C789" s="1"/>
      <c r="D789" s="1"/>
      <c r="E789" s="1"/>
      <c r="F789" s="1"/>
      <c r="G789" s="1"/>
      <c r="H789" s="1"/>
      <c r="I789" s="1"/>
    </row>
    <row r="790" spans="2:9" ht="15.75" customHeight="1" x14ac:dyDescent="0.25">
      <c r="B790" s="1"/>
      <c r="C790" s="1"/>
      <c r="D790" s="1"/>
      <c r="E790" s="1"/>
      <c r="F790" s="1"/>
      <c r="G790" s="1"/>
      <c r="H790" s="1"/>
      <c r="I790" s="1"/>
    </row>
    <row r="791" spans="2:9" ht="15.75" customHeight="1" x14ac:dyDescent="0.25">
      <c r="B791" s="1"/>
      <c r="C791" s="1"/>
      <c r="D791" s="1"/>
      <c r="E791" s="1"/>
      <c r="F791" s="1"/>
      <c r="G791" s="1"/>
      <c r="H791" s="1"/>
      <c r="I791" s="1"/>
    </row>
    <row r="792" spans="2:9" ht="15.75" customHeight="1" x14ac:dyDescent="0.25">
      <c r="B792" s="1"/>
      <c r="C792" s="1"/>
      <c r="D792" s="1"/>
      <c r="E792" s="1"/>
      <c r="F792" s="1"/>
      <c r="G792" s="1"/>
      <c r="H792" s="1"/>
      <c r="I792" s="1"/>
    </row>
    <row r="793" spans="2:9" ht="15.75" customHeight="1" x14ac:dyDescent="0.25">
      <c r="B793" s="1"/>
      <c r="C793" s="1"/>
      <c r="D793" s="1"/>
      <c r="E793" s="1"/>
      <c r="F793" s="1"/>
      <c r="G793" s="1"/>
      <c r="H793" s="1"/>
      <c r="I793" s="1"/>
    </row>
    <row r="794" spans="2:9" ht="15.75" customHeight="1" x14ac:dyDescent="0.25">
      <c r="B794" s="1"/>
      <c r="C794" s="1"/>
      <c r="D794" s="1"/>
      <c r="E794" s="1"/>
      <c r="F794" s="1"/>
      <c r="G794" s="1"/>
      <c r="H794" s="1"/>
      <c r="I794" s="1"/>
    </row>
    <row r="795" spans="2:9" ht="15.75" customHeight="1" x14ac:dyDescent="0.25">
      <c r="B795" s="1"/>
      <c r="C795" s="1"/>
      <c r="D795" s="1"/>
      <c r="E795" s="1"/>
      <c r="F795" s="1"/>
      <c r="G795" s="1"/>
      <c r="H795" s="1"/>
      <c r="I795" s="1"/>
    </row>
    <row r="796" spans="2:9" ht="15.75" customHeight="1" x14ac:dyDescent="0.25">
      <c r="B796" s="1"/>
      <c r="C796" s="1"/>
      <c r="D796" s="1"/>
      <c r="E796" s="1"/>
      <c r="F796" s="1"/>
      <c r="G796" s="1"/>
      <c r="H796" s="1"/>
      <c r="I796" s="1"/>
    </row>
    <row r="797" spans="2:9" ht="15.75" customHeight="1" x14ac:dyDescent="0.25">
      <c r="B797" s="1"/>
      <c r="C797" s="1"/>
      <c r="D797" s="1"/>
      <c r="E797" s="1"/>
      <c r="F797" s="1"/>
      <c r="G797" s="1"/>
      <c r="H797" s="1"/>
      <c r="I797" s="1"/>
    </row>
    <row r="798" spans="2:9" ht="15.75" customHeight="1" x14ac:dyDescent="0.25">
      <c r="B798" s="1"/>
      <c r="C798" s="1"/>
      <c r="D798" s="1"/>
      <c r="E798" s="1"/>
      <c r="F798" s="1"/>
      <c r="G798" s="1"/>
      <c r="H798" s="1"/>
      <c r="I798" s="1"/>
    </row>
    <row r="799" spans="2:9" ht="15.75" customHeight="1" x14ac:dyDescent="0.25">
      <c r="B799" s="1"/>
      <c r="C799" s="1"/>
      <c r="D799" s="1"/>
      <c r="E799" s="1"/>
      <c r="F799" s="1"/>
      <c r="G799" s="1"/>
      <c r="H799" s="1"/>
      <c r="I799" s="1"/>
    </row>
    <row r="800" spans="2:9" ht="15.75" customHeight="1" x14ac:dyDescent="0.25">
      <c r="B800" s="1"/>
      <c r="C800" s="1"/>
      <c r="D800" s="1"/>
      <c r="E800" s="1"/>
      <c r="F800" s="1"/>
      <c r="G800" s="1"/>
      <c r="H800" s="1"/>
      <c r="I800" s="1"/>
    </row>
    <row r="801" spans="2:9" ht="15.75" customHeight="1" x14ac:dyDescent="0.25">
      <c r="B801" s="1"/>
      <c r="C801" s="1"/>
      <c r="D801" s="1"/>
      <c r="E801" s="1"/>
      <c r="F801" s="1"/>
      <c r="G801" s="1"/>
      <c r="H801" s="1"/>
      <c r="I801" s="1"/>
    </row>
    <row r="802" spans="2:9" ht="15.75" customHeight="1" x14ac:dyDescent="0.25">
      <c r="B802" s="1"/>
      <c r="C802" s="1"/>
      <c r="D802" s="1"/>
      <c r="E802" s="1"/>
      <c r="F802" s="1"/>
      <c r="G802" s="1"/>
      <c r="H802" s="1"/>
      <c r="I802" s="1"/>
    </row>
    <row r="803" spans="2:9" ht="15.75" customHeight="1" x14ac:dyDescent="0.25">
      <c r="B803" s="1"/>
      <c r="C803" s="1"/>
      <c r="D803" s="1"/>
      <c r="E803" s="1"/>
      <c r="F803" s="1"/>
      <c r="G803" s="1"/>
      <c r="H803" s="1"/>
      <c r="I803" s="1"/>
    </row>
    <row r="804" spans="2:9" ht="15.75" customHeight="1" x14ac:dyDescent="0.25">
      <c r="B804" s="1"/>
      <c r="C804" s="1"/>
      <c r="D804" s="1"/>
      <c r="E804" s="1"/>
      <c r="F804" s="1"/>
      <c r="G804" s="1"/>
      <c r="H804" s="1"/>
      <c r="I804" s="1"/>
    </row>
    <row r="805" spans="2:9" ht="15.75" customHeight="1" x14ac:dyDescent="0.25">
      <c r="B805" s="1"/>
      <c r="C805" s="1"/>
      <c r="D805" s="1"/>
      <c r="E805" s="1"/>
      <c r="F805" s="1"/>
      <c r="G805" s="1"/>
      <c r="H805" s="1"/>
      <c r="I805" s="1"/>
    </row>
    <row r="806" spans="2:9" ht="15.75" customHeight="1" x14ac:dyDescent="0.25">
      <c r="B806" s="1"/>
      <c r="C806" s="1"/>
      <c r="D806" s="1"/>
      <c r="E806" s="1"/>
      <c r="F806" s="1"/>
      <c r="G806" s="1"/>
      <c r="H806" s="1"/>
      <c r="I806" s="1"/>
    </row>
    <row r="807" spans="2:9" ht="15.75" customHeight="1" x14ac:dyDescent="0.25">
      <c r="B807" s="1"/>
      <c r="C807" s="1"/>
      <c r="D807" s="1"/>
      <c r="E807" s="1"/>
      <c r="F807" s="1"/>
      <c r="G807" s="1"/>
      <c r="H807" s="1"/>
      <c r="I807" s="1"/>
    </row>
    <row r="808" spans="2:9" ht="15.75" customHeight="1" x14ac:dyDescent="0.25">
      <c r="B808" s="1"/>
      <c r="C808" s="1"/>
      <c r="D808" s="1"/>
      <c r="E808" s="1"/>
      <c r="F808" s="1"/>
      <c r="G808" s="1"/>
      <c r="H808" s="1"/>
      <c r="I808" s="1"/>
    </row>
    <row r="809" spans="2:9" ht="15.75" customHeight="1" x14ac:dyDescent="0.25">
      <c r="B809" s="1"/>
      <c r="C809" s="1"/>
      <c r="D809" s="1"/>
      <c r="E809" s="1"/>
      <c r="F809" s="1"/>
      <c r="G809" s="1"/>
      <c r="H809" s="1"/>
      <c r="I809" s="1"/>
    </row>
    <row r="810" spans="2:9" ht="15.75" customHeight="1" x14ac:dyDescent="0.25">
      <c r="B810" s="1"/>
      <c r="C810" s="1"/>
      <c r="D810" s="1"/>
      <c r="E810" s="1"/>
      <c r="F810" s="1"/>
      <c r="G810" s="1"/>
      <c r="H810" s="1"/>
      <c r="I810" s="1"/>
    </row>
    <row r="811" spans="2:9" ht="15.75" customHeight="1" x14ac:dyDescent="0.25">
      <c r="B811" s="1"/>
      <c r="C811" s="1"/>
      <c r="D811" s="1"/>
      <c r="E811" s="1"/>
      <c r="F811" s="1"/>
      <c r="G811" s="1"/>
      <c r="H811" s="1"/>
      <c r="I811" s="1"/>
    </row>
    <row r="812" spans="2:9" ht="15.75" customHeight="1" x14ac:dyDescent="0.25">
      <c r="B812" s="1"/>
      <c r="C812" s="1"/>
      <c r="D812" s="1"/>
      <c r="E812" s="1"/>
      <c r="F812" s="1"/>
      <c r="G812" s="1"/>
      <c r="H812" s="1"/>
      <c r="I812" s="1"/>
    </row>
    <row r="813" spans="2:9" ht="15.75" customHeight="1" x14ac:dyDescent="0.25">
      <c r="B813" s="1"/>
      <c r="C813" s="1"/>
      <c r="D813" s="1"/>
      <c r="E813" s="1"/>
      <c r="F813" s="1"/>
      <c r="G813" s="1"/>
      <c r="H813" s="1"/>
      <c r="I813" s="1"/>
    </row>
    <row r="814" spans="2:9" ht="15.75" customHeight="1" x14ac:dyDescent="0.25">
      <c r="B814" s="1"/>
      <c r="C814" s="1"/>
      <c r="D814" s="1"/>
      <c r="E814" s="1"/>
      <c r="F814" s="1"/>
      <c r="G814" s="1"/>
      <c r="H814" s="1"/>
      <c r="I814" s="1"/>
    </row>
    <row r="815" spans="2:9" ht="15.75" customHeight="1" x14ac:dyDescent="0.25">
      <c r="B815" s="1"/>
      <c r="C815" s="1"/>
      <c r="D815" s="1"/>
      <c r="E815" s="1"/>
      <c r="F815" s="1"/>
      <c r="G815" s="1"/>
      <c r="H815" s="1"/>
      <c r="I815" s="1"/>
    </row>
    <row r="816" spans="2:9" ht="15.75" customHeight="1" x14ac:dyDescent="0.25">
      <c r="B816" s="1"/>
      <c r="C816" s="1"/>
      <c r="D816" s="1"/>
      <c r="E816" s="1"/>
      <c r="F816" s="1"/>
      <c r="G816" s="1"/>
      <c r="H816" s="1"/>
      <c r="I816" s="1"/>
    </row>
    <row r="817" spans="2:9" ht="15.75" customHeight="1" x14ac:dyDescent="0.25">
      <c r="B817" s="1"/>
      <c r="C817" s="1"/>
      <c r="D817" s="1"/>
      <c r="E817" s="1"/>
      <c r="F817" s="1"/>
      <c r="G817" s="1"/>
      <c r="H817" s="1"/>
      <c r="I817" s="1"/>
    </row>
    <row r="818" spans="2:9" ht="15.75" customHeight="1" x14ac:dyDescent="0.25">
      <c r="B818" s="1"/>
      <c r="C818" s="1"/>
      <c r="D818" s="1"/>
      <c r="E818" s="1"/>
      <c r="F818" s="1"/>
      <c r="G818" s="1"/>
      <c r="H818" s="1"/>
      <c r="I818" s="1"/>
    </row>
    <row r="819" spans="2:9" ht="15.75" customHeight="1" x14ac:dyDescent="0.25">
      <c r="B819" s="1"/>
      <c r="C819" s="1"/>
      <c r="D819" s="1"/>
      <c r="E819" s="1"/>
      <c r="F819" s="1"/>
      <c r="G819" s="1"/>
      <c r="H819" s="1"/>
      <c r="I819" s="1"/>
    </row>
    <row r="820" spans="2:9" ht="15.75" customHeight="1" x14ac:dyDescent="0.25">
      <c r="B820" s="1"/>
      <c r="C820" s="1"/>
      <c r="D820" s="1"/>
      <c r="E820" s="1"/>
      <c r="F820" s="1"/>
      <c r="G820" s="1"/>
      <c r="H820" s="1"/>
      <c r="I820" s="1"/>
    </row>
    <row r="821" spans="2:9" ht="15.75" customHeight="1" x14ac:dyDescent="0.25">
      <c r="B821" s="1"/>
      <c r="C821" s="1"/>
      <c r="D821" s="1"/>
      <c r="E821" s="1"/>
      <c r="F821" s="1"/>
      <c r="G821" s="1"/>
      <c r="H821" s="1"/>
      <c r="I821" s="1"/>
    </row>
    <row r="822" spans="2:9" ht="15.75" customHeight="1" x14ac:dyDescent="0.25">
      <c r="B822" s="1"/>
      <c r="C822" s="1"/>
      <c r="D822" s="1"/>
      <c r="E822" s="1"/>
      <c r="F822" s="1"/>
      <c r="G822" s="1"/>
      <c r="H822" s="1"/>
      <c r="I822" s="1"/>
    </row>
    <row r="823" spans="2:9" ht="15.75" customHeight="1" x14ac:dyDescent="0.25">
      <c r="B823" s="1"/>
      <c r="C823" s="1"/>
      <c r="D823" s="1"/>
      <c r="E823" s="1"/>
      <c r="F823" s="1"/>
      <c r="G823" s="1"/>
      <c r="H823" s="1"/>
      <c r="I823" s="1"/>
    </row>
    <row r="824" spans="2:9" ht="15.75" customHeight="1" x14ac:dyDescent="0.25">
      <c r="B824" s="1"/>
      <c r="C824" s="1"/>
      <c r="D824" s="1"/>
      <c r="E824" s="1"/>
      <c r="F824" s="1"/>
      <c r="G824" s="1"/>
      <c r="H824" s="1"/>
      <c r="I824" s="1"/>
    </row>
    <row r="825" spans="2:9" ht="15.75" customHeight="1" x14ac:dyDescent="0.25">
      <c r="B825" s="1"/>
      <c r="C825" s="1"/>
      <c r="D825" s="1"/>
      <c r="E825" s="1"/>
      <c r="F825" s="1"/>
      <c r="G825" s="1"/>
      <c r="H825" s="1"/>
      <c r="I825" s="1"/>
    </row>
    <row r="826" spans="2:9" ht="15.75" customHeight="1" x14ac:dyDescent="0.25">
      <c r="B826" s="1"/>
      <c r="C826" s="1"/>
      <c r="D826" s="1"/>
      <c r="E826" s="1"/>
      <c r="F826" s="1"/>
      <c r="G826" s="1"/>
      <c r="H826" s="1"/>
      <c r="I826" s="1"/>
    </row>
    <row r="827" spans="2:9" ht="15.75" customHeight="1" x14ac:dyDescent="0.25">
      <c r="B827" s="1"/>
      <c r="C827" s="1"/>
      <c r="D827" s="1"/>
      <c r="E827" s="1"/>
      <c r="F827" s="1"/>
      <c r="G827" s="1"/>
      <c r="H827" s="1"/>
      <c r="I827" s="1"/>
    </row>
    <row r="828" spans="2:9" ht="15.75" customHeight="1" x14ac:dyDescent="0.25">
      <c r="B828" s="1"/>
      <c r="C828" s="1"/>
      <c r="D828" s="1"/>
      <c r="E828" s="1"/>
      <c r="F828" s="1"/>
      <c r="G828" s="1"/>
      <c r="H828" s="1"/>
      <c r="I828" s="1"/>
    </row>
    <row r="829" spans="2:9" ht="15.75" customHeight="1" x14ac:dyDescent="0.25">
      <c r="B829" s="1"/>
      <c r="C829" s="1"/>
      <c r="D829" s="1"/>
      <c r="E829" s="1"/>
      <c r="F829" s="1"/>
      <c r="G829" s="1"/>
      <c r="H829" s="1"/>
      <c r="I829" s="1"/>
    </row>
    <row r="830" spans="2:9" ht="15.75" customHeight="1" x14ac:dyDescent="0.25">
      <c r="B830" s="1"/>
      <c r="C830" s="1"/>
      <c r="D830" s="1"/>
      <c r="E830" s="1"/>
      <c r="F830" s="1"/>
      <c r="G830" s="1"/>
      <c r="H830" s="1"/>
      <c r="I830" s="1"/>
    </row>
    <row r="831" spans="2:9" ht="15.75" customHeight="1" x14ac:dyDescent="0.25">
      <c r="B831" s="1"/>
      <c r="C831" s="1"/>
      <c r="D831" s="1"/>
      <c r="E831" s="1"/>
      <c r="F831" s="1"/>
      <c r="G831" s="1"/>
      <c r="H831" s="1"/>
      <c r="I831" s="1"/>
    </row>
    <row r="832" spans="2:9" ht="15.75" customHeight="1" x14ac:dyDescent="0.25">
      <c r="B832" s="1"/>
      <c r="C832" s="1"/>
      <c r="D832" s="1"/>
      <c r="E832" s="1"/>
      <c r="F832" s="1"/>
      <c r="G832" s="1"/>
      <c r="H832" s="1"/>
      <c r="I832" s="1"/>
    </row>
    <row r="833" spans="2:9" ht="15.75" customHeight="1" x14ac:dyDescent="0.25">
      <c r="B833" s="1"/>
      <c r="C833" s="1"/>
      <c r="D833" s="1"/>
      <c r="E833" s="1"/>
      <c r="F833" s="1"/>
      <c r="G833" s="1"/>
      <c r="H833" s="1"/>
      <c r="I833" s="1"/>
    </row>
    <row r="834" spans="2:9" ht="15.75" customHeight="1" x14ac:dyDescent="0.25">
      <c r="B834" s="1"/>
      <c r="C834" s="1"/>
      <c r="D834" s="1"/>
      <c r="E834" s="1"/>
      <c r="F834" s="1"/>
      <c r="G834" s="1"/>
      <c r="H834" s="1"/>
      <c r="I834" s="1"/>
    </row>
    <row r="835" spans="2:9" ht="15.75" customHeight="1" x14ac:dyDescent="0.25">
      <c r="B835" s="1"/>
      <c r="C835" s="1"/>
      <c r="D835" s="1"/>
      <c r="E835" s="1"/>
      <c r="F835" s="1"/>
      <c r="G835" s="1"/>
      <c r="H835" s="1"/>
      <c r="I835" s="1"/>
    </row>
    <row r="836" spans="2:9" ht="15.75" customHeight="1" x14ac:dyDescent="0.25">
      <c r="B836" s="1"/>
      <c r="C836" s="1"/>
      <c r="D836" s="1"/>
      <c r="E836" s="1"/>
      <c r="F836" s="1"/>
      <c r="G836" s="1"/>
      <c r="H836" s="1"/>
      <c r="I836" s="1"/>
    </row>
    <row r="837" spans="2:9" ht="15.75" customHeight="1" x14ac:dyDescent="0.25">
      <c r="B837" s="1"/>
      <c r="C837" s="1"/>
      <c r="D837" s="1"/>
      <c r="E837" s="1"/>
      <c r="F837" s="1"/>
      <c r="G837" s="1"/>
      <c r="H837" s="1"/>
      <c r="I837" s="1"/>
    </row>
    <row r="838" spans="2:9" ht="15.75" customHeight="1" x14ac:dyDescent="0.25">
      <c r="B838" s="1"/>
      <c r="C838" s="1"/>
      <c r="D838" s="1"/>
      <c r="E838" s="1"/>
      <c r="F838" s="1"/>
      <c r="G838" s="1"/>
      <c r="H838" s="1"/>
      <c r="I838" s="1"/>
    </row>
    <row r="839" spans="2:9" ht="15.75" customHeight="1" x14ac:dyDescent="0.25">
      <c r="B839" s="1"/>
      <c r="C839" s="1"/>
      <c r="D839" s="1"/>
      <c r="E839" s="1"/>
      <c r="F839" s="1"/>
      <c r="G839" s="1"/>
      <c r="H839" s="1"/>
      <c r="I839" s="1"/>
    </row>
    <row r="840" spans="2:9" ht="15.75" customHeight="1" x14ac:dyDescent="0.25">
      <c r="B840" s="1"/>
      <c r="C840" s="1"/>
      <c r="D840" s="1"/>
      <c r="E840" s="1"/>
      <c r="F840" s="1"/>
      <c r="G840" s="1"/>
      <c r="H840" s="1"/>
      <c r="I840" s="1"/>
    </row>
    <row r="841" spans="2:9" ht="15.75" customHeight="1" x14ac:dyDescent="0.25">
      <c r="B841" s="1"/>
      <c r="C841" s="1"/>
      <c r="D841" s="1"/>
      <c r="E841" s="1"/>
      <c r="F841" s="1"/>
      <c r="G841" s="1"/>
      <c r="H841" s="1"/>
      <c r="I841" s="1"/>
    </row>
    <row r="842" spans="2:9" ht="15.75" customHeight="1" x14ac:dyDescent="0.25">
      <c r="B842" s="1"/>
      <c r="C842" s="1"/>
      <c r="D842" s="1"/>
      <c r="E842" s="1"/>
      <c r="F842" s="1"/>
      <c r="G842" s="1"/>
      <c r="H842" s="1"/>
      <c r="I842" s="1"/>
    </row>
    <row r="843" spans="2:9" ht="15.75" customHeight="1" x14ac:dyDescent="0.25">
      <c r="B843" s="1"/>
      <c r="C843" s="1"/>
      <c r="D843" s="1"/>
      <c r="E843" s="1"/>
      <c r="F843" s="1"/>
      <c r="G843" s="1"/>
      <c r="H843" s="1"/>
      <c r="I843" s="1"/>
    </row>
    <row r="844" spans="2:9" ht="15.75" customHeight="1" x14ac:dyDescent="0.25">
      <c r="B844" s="1"/>
      <c r="C844" s="1"/>
      <c r="D844" s="1"/>
      <c r="E844" s="1"/>
      <c r="F844" s="1"/>
      <c r="G844" s="1"/>
      <c r="H844" s="1"/>
      <c r="I844" s="1"/>
    </row>
    <row r="845" spans="2:9" ht="15.75" customHeight="1" x14ac:dyDescent="0.25">
      <c r="B845" s="1"/>
      <c r="C845" s="1"/>
      <c r="D845" s="1"/>
      <c r="E845" s="1"/>
      <c r="F845" s="1"/>
      <c r="G845" s="1"/>
      <c r="H845" s="1"/>
      <c r="I845" s="1"/>
    </row>
    <row r="846" spans="2:9" ht="15.75" customHeight="1" x14ac:dyDescent="0.25">
      <c r="B846" s="1"/>
      <c r="C846" s="1"/>
      <c r="D846" s="1"/>
      <c r="E846" s="1"/>
      <c r="F846" s="1"/>
      <c r="G846" s="1"/>
      <c r="H846" s="1"/>
      <c r="I846" s="1"/>
    </row>
    <row r="847" spans="2:9" ht="15.75" customHeight="1" x14ac:dyDescent="0.25">
      <c r="B847" s="1"/>
      <c r="C847" s="1"/>
      <c r="D847" s="1"/>
      <c r="E847" s="1"/>
      <c r="F847" s="1"/>
      <c r="G847" s="1"/>
      <c r="H847" s="1"/>
      <c r="I847" s="1"/>
    </row>
    <row r="848" spans="2:9" ht="15.75" customHeight="1" x14ac:dyDescent="0.25">
      <c r="B848" s="1"/>
      <c r="C848" s="1"/>
      <c r="D848" s="1"/>
      <c r="E848" s="1"/>
      <c r="F848" s="1"/>
      <c r="G848" s="1"/>
      <c r="H848" s="1"/>
      <c r="I848" s="1"/>
    </row>
    <row r="849" spans="2:9" ht="15.75" customHeight="1" x14ac:dyDescent="0.25">
      <c r="B849" s="1"/>
      <c r="C849" s="1"/>
      <c r="D849" s="1"/>
      <c r="E849" s="1"/>
      <c r="F849" s="1"/>
      <c r="G849" s="1"/>
      <c r="H849" s="1"/>
      <c r="I849" s="1"/>
    </row>
    <row r="850" spans="2:9" ht="15.75" customHeight="1" x14ac:dyDescent="0.25">
      <c r="B850" s="1"/>
      <c r="C850" s="1"/>
      <c r="D850" s="1"/>
      <c r="E850" s="1"/>
      <c r="F850" s="1"/>
      <c r="G850" s="1"/>
      <c r="H850" s="1"/>
      <c r="I850" s="1"/>
    </row>
    <row r="851" spans="2:9" ht="15.75" customHeight="1" x14ac:dyDescent="0.25">
      <c r="B851" s="1"/>
      <c r="C851" s="1"/>
      <c r="D851" s="1"/>
      <c r="E851" s="1"/>
      <c r="F851" s="1"/>
      <c r="G851" s="1"/>
      <c r="H851" s="1"/>
      <c r="I851" s="1"/>
    </row>
    <row r="852" spans="2:9" ht="15.75" customHeight="1" x14ac:dyDescent="0.25">
      <c r="B852" s="1"/>
      <c r="C852" s="1"/>
      <c r="D852" s="1"/>
      <c r="E852" s="1"/>
      <c r="F852" s="1"/>
      <c r="G852" s="1"/>
      <c r="H852" s="1"/>
      <c r="I852" s="1"/>
    </row>
    <row r="853" spans="2:9" ht="15.75" customHeight="1" x14ac:dyDescent="0.25">
      <c r="B853" s="1"/>
      <c r="C853" s="1"/>
      <c r="D853" s="1"/>
      <c r="E853" s="1"/>
      <c r="F853" s="1"/>
      <c r="G853" s="1"/>
      <c r="H853" s="1"/>
      <c r="I853" s="1"/>
    </row>
    <row r="854" spans="2:9" ht="15.75" customHeight="1" x14ac:dyDescent="0.25">
      <c r="B854" s="1"/>
      <c r="C854" s="1"/>
      <c r="D854" s="1"/>
      <c r="E854" s="1"/>
      <c r="F854" s="1"/>
      <c r="G854" s="1"/>
      <c r="H854" s="1"/>
      <c r="I854" s="1"/>
    </row>
    <row r="855" spans="2:9" ht="15.75" customHeight="1" x14ac:dyDescent="0.25">
      <c r="B855" s="1"/>
      <c r="C855" s="1"/>
      <c r="D855" s="1"/>
      <c r="E855" s="1"/>
      <c r="F855" s="1"/>
      <c r="G855" s="1"/>
      <c r="H855" s="1"/>
      <c r="I855" s="1"/>
    </row>
    <row r="856" spans="2:9" ht="15.75" customHeight="1" x14ac:dyDescent="0.25">
      <c r="B856" s="1"/>
      <c r="C856" s="1"/>
      <c r="D856" s="1"/>
      <c r="E856" s="1"/>
      <c r="F856" s="1"/>
      <c r="G856" s="1"/>
      <c r="H856" s="1"/>
      <c r="I856" s="1"/>
    </row>
    <row r="857" spans="2:9" ht="15.75" customHeight="1" x14ac:dyDescent="0.25">
      <c r="B857" s="1"/>
      <c r="C857" s="1"/>
      <c r="D857" s="1"/>
      <c r="E857" s="1"/>
      <c r="F857" s="1"/>
      <c r="G857" s="1"/>
      <c r="H857" s="1"/>
      <c r="I857" s="1"/>
    </row>
    <row r="858" spans="2:9" ht="15.75" customHeight="1" x14ac:dyDescent="0.25">
      <c r="B858" s="1"/>
      <c r="C858" s="1"/>
      <c r="D858" s="1"/>
      <c r="E858" s="1"/>
      <c r="F858" s="1"/>
      <c r="G858" s="1"/>
      <c r="H858" s="1"/>
      <c r="I858" s="1"/>
    </row>
    <row r="859" spans="2:9" ht="15.75" customHeight="1" x14ac:dyDescent="0.25">
      <c r="B859" s="1"/>
      <c r="C859" s="1"/>
      <c r="D859" s="1"/>
      <c r="E859" s="1"/>
      <c r="F859" s="1"/>
      <c r="G859" s="1"/>
      <c r="H859" s="1"/>
      <c r="I859" s="1"/>
    </row>
    <row r="860" spans="2:9" ht="15.75" customHeight="1" x14ac:dyDescent="0.25">
      <c r="B860" s="1"/>
      <c r="C860" s="1"/>
      <c r="D860" s="1"/>
      <c r="E860" s="1"/>
      <c r="F860" s="1"/>
      <c r="G860" s="1"/>
      <c r="H860" s="1"/>
      <c r="I860" s="1"/>
    </row>
    <row r="861" spans="2:9" ht="15.75" customHeight="1" x14ac:dyDescent="0.25">
      <c r="B861" s="1"/>
      <c r="C861" s="1"/>
      <c r="D861" s="1"/>
      <c r="E861" s="1"/>
      <c r="F861" s="1"/>
      <c r="G861" s="1"/>
      <c r="H861" s="1"/>
      <c r="I861" s="1"/>
    </row>
    <row r="862" spans="2:9" ht="15.75" customHeight="1" x14ac:dyDescent="0.25">
      <c r="B862" s="1"/>
      <c r="C862" s="1"/>
      <c r="D862" s="1"/>
      <c r="E862" s="1"/>
      <c r="F862" s="1"/>
      <c r="G862" s="1"/>
      <c r="H862" s="1"/>
      <c r="I862" s="1"/>
    </row>
    <row r="863" spans="2:9" ht="15.75" customHeight="1" x14ac:dyDescent="0.25">
      <c r="B863" s="1"/>
      <c r="C863" s="1"/>
      <c r="D863" s="1"/>
      <c r="E863" s="1"/>
      <c r="F863" s="1"/>
      <c r="G863" s="1"/>
      <c r="H863" s="1"/>
      <c r="I863" s="1"/>
    </row>
    <row r="864" spans="2:9" ht="15.75" customHeight="1" x14ac:dyDescent="0.25">
      <c r="B864" s="1"/>
      <c r="C864" s="1"/>
      <c r="D864" s="1"/>
      <c r="E864" s="1"/>
      <c r="F864" s="1"/>
      <c r="G864" s="1"/>
      <c r="H864" s="1"/>
      <c r="I864" s="1"/>
    </row>
    <row r="865" spans="2:9" ht="15.75" customHeight="1" x14ac:dyDescent="0.25">
      <c r="B865" s="1"/>
      <c r="C865" s="1"/>
      <c r="D865" s="1"/>
      <c r="E865" s="1"/>
      <c r="F865" s="1"/>
      <c r="G865" s="1"/>
      <c r="H865" s="1"/>
      <c r="I865" s="1"/>
    </row>
    <row r="866" spans="2:9" ht="15.75" customHeight="1" x14ac:dyDescent="0.25">
      <c r="B866" s="1"/>
      <c r="C866" s="1"/>
      <c r="D866" s="1"/>
      <c r="E866" s="1"/>
      <c r="F866" s="1"/>
      <c r="G866" s="1"/>
      <c r="H866" s="1"/>
      <c r="I866" s="1"/>
    </row>
    <row r="867" spans="2:9" ht="15.75" customHeight="1" x14ac:dyDescent="0.25">
      <c r="B867" s="1"/>
      <c r="C867" s="1"/>
      <c r="D867" s="1"/>
      <c r="E867" s="1"/>
      <c r="F867" s="1"/>
      <c r="G867" s="1"/>
      <c r="H867" s="1"/>
      <c r="I867" s="1"/>
    </row>
    <row r="868" spans="2:9" ht="15.75" customHeight="1" x14ac:dyDescent="0.25">
      <c r="B868" s="1"/>
      <c r="C868" s="1"/>
      <c r="D868" s="1"/>
      <c r="E868" s="1"/>
      <c r="F868" s="1"/>
      <c r="G868" s="1"/>
      <c r="H868" s="1"/>
      <c r="I868" s="1"/>
    </row>
    <row r="869" spans="2:9" ht="15.75" customHeight="1" x14ac:dyDescent="0.25">
      <c r="B869" s="1"/>
      <c r="C869" s="1"/>
      <c r="D869" s="1"/>
      <c r="E869" s="1"/>
      <c r="F869" s="1"/>
      <c r="G869" s="1"/>
      <c r="H869" s="1"/>
      <c r="I869" s="1"/>
    </row>
    <row r="870" spans="2:9" ht="15.75" customHeight="1" x14ac:dyDescent="0.25">
      <c r="B870" s="1"/>
      <c r="C870" s="1"/>
      <c r="D870" s="1"/>
      <c r="E870" s="1"/>
      <c r="F870" s="1"/>
      <c r="G870" s="1"/>
      <c r="H870" s="1"/>
      <c r="I870" s="1"/>
    </row>
    <row r="871" spans="2:9" ht="15.75" customHeight="1" x14ac:dyDescent="0.25">
      <c r="B871" s="1"/>
      <c r="C871" s="1"/>
      <c r="D871" s="1"/>
      <c r="E871" s="1"/>
      <c r="F871" s="1"/>
      <c r="G871" s="1"/>
      <c r="H871" s="1"/>
      <c r="I871" s="1"/>
    </row>
    <row r="872" spans="2:9" ht="15.75" customHeight="1" x14ac:dyDescent="0.25">
      <c r="B872" s="1"/>
      <c r="C872" s="1"/>
      <c r="D872" s="1"/>
      <c r="E872" s="1"/>
      <c r="F872" s="1"/>
      <c r="G872" s="1"/>
      <c r="H872" s="1"/>
      <c r="I872" s="1"/>
    </row>
    <row r="873" spans="2:9" ht="15.75" customHeight="1" x14ac:dyDescent="0.25">
      <c r="B873" s="1"/>
      <c r="C873" s="1"/>
      <c r="D873" s="1"/>
      <c r="E873" s="1"/>
      <c r="F873" s="1"/>
      <c r="G873" s="1"/>
      <c r="H873" s="1"/>
      <c r="I873" s="1"/>
    </row>
    <row r="874" spans="2:9" ht="15.75" customHeight="1" x14ac:dyDescent="0.25">
      <c r="B874" s="1"/>
      <c r="C874" s="1"/>
      <c r="D874" s="1"/>
      <c r="E874" s="1"/>
      <c r="F874" s="1"/>
      <c r="G874" s="1"/>
      <c r="H874" s="1"/>
      <c r="I874" s="1"/>
    </row>
    <row r="875" spans="2:9" ht="15.75" customHeight="1" x14ac:dyDescent="0.25">
      <c r="B875" s="1"/>
      <c r="C875" s="1"/>
      <c r="D875" s="1"/>
      <c r="E875" s="1"/>
      <c r="F875" s="1"/>
      <c r="G875" s="1"/>
      <c r="H875" s="1"/>
      <c r="I875" s="1"/>
    </row>
    <row r="876" spans="2:9" ht="15.75" customHeight="1" x14ac:dyDescent="0.25">
      <c r="B876" s="1"/>
      <c r="C876" s="1"/>
      <c r="D876" s="1"/>
      <c r="E876" s="1"/>
      <c r="F876" s="1"/>
      <c r="G876" s="1"/>
      <c r="H876" s="1"/>
      <c r="I876" s="1"/>
    </row>
    <row r="877" spans="2:9" ht="15.75" customHeight="1" x14ac:dyDescent="0.25">
      <c r="B877" s="1"/>
      <c r="C877" s="1"/>
      <c r="D877" s="1"/>
      <c r="E877" s="1"/>
      <c r="F877" s="1"/>
      <c r="G877" s="1"/>
      <c r="H877" s="1"/>
      <c r="I877" s="1"/>
    </row>
    <row r="878" spans="2:9" ht="15.75" customHeight="1" x14ac:dyDescent="0.25">
      <c r="B878" s="1"/>
      <c r="C878" s="1"/>
      <c r="D878" s="1"/>
      <c r="E878" s="1"/>
      <c r="F878" s="1"/>
      <c r="G878" s="1"/>
      <c r="H878" s="1"/>
      <c r="I878" s="1"/>
    </row>
    <row r="879" spans="2:9" ht="15.75" customHeight="1" x14ac:dyDescent="0.25">
      <c r="B879" s="1"/>
      <c r="C879" s="1"/>
      <c r="D879" s="1"/>
      <c r="E879" s="1"/>
      <c r="F879" s="1"/>
      <c r="G879" s="1"/>
      <c r="H879" s="1"/>
      <c r="I879" s="1"/>
    </row>
    <row r="880" spans="2:9" ht="15.75" customHeight="1" x14ac:dyDescent="0.25">
      <c r="B880" s="1"/>
      <c r="C880" s="1"/>
      <c r="D880" s="1"/>
      <c r="E880" s="1"/>
      <c r="F880" s="1"/>
      <c r="G880" s="1"/>
      <c r="H880" s="1"/>
      <c r="I880" s="1"/>
    </row>
    <row r="881" spans="2:9" ht="15.75" customHeight="1" x14ac:dyDescent="0.25">
      <c r="B881" s="1"/>
      <c r="C881" s="1"/>
      <c r="D881" s="1"/>
      <c r="E881" s="1"/>
      <c r="F881" s="1"/>
      <c r="G881" s="1"/>
      <c r="H881" s="1"/>
      <c r="I881" s="1"/>
    </row>
    <row r="882" spans="2:9" ht="15.75" customHeight="1" x14ac:dyDescent="0.25">
      <c r="B882" s="1"/>
      <c r="C882" s="1"/>
      <c r="D882" s="1"/>
      <c r="E882" s="1"/>
      <c r="F882" s="1"/>
      <c r="G882" s="1"/>
      <c r="H882" s="1"/>
      <c r="I882" s="1"/>
    </row>
    <row r="883" spans="2:9" ht="15.75" customHeight="1" x14ac:dyDescent="0.25">
      <c r="B883" s="1"/>
      <c r="C883" s="1"/>
      <c r="D883" s="1"/>
      <c r="E883" s="1"/>
      <c r="F883" s="1"/>
      <c r="G883" s="1"/>
      <c r="H883" s="1"/>
      <c r="I883" s="1"/>
    </row>
    <row r="884" spans="2:9" ht="15.75" customHeight="1" x14ac:dyDescent="0.25">
      <c r="B884" s="1"/>
      <c r="C884" s="1"/>
      <c r="D884" s="1"/>
      <c r="E884" s="1"/>
      <c r="F884" s="1"/>
      <c r="G884" s="1"/>
      <c r="H884" s="1"/>
      <c r="I884" s="1"/>
    </row>
    <row r="885" spans="2:9" ht="15.75" customHeight="1" x14ac:dyDescent="0.25">
      <c r="B885" s="1"/>
      <c r="C885" s="1"/>
      <c r="D885" s="1"/>
      <c r="E885" s="1"/>
      <c r="F885" s="1"/>
      <c r="G885" s="1"/>
      <c r="H885" s="1"/>
      <c r="I885" s="1"/>
    </row>
    <row r="886" spans="2:9" ht="15.75" customHeight="1" x14ac:dyDescent="0.25">
      <c r="B886" s="1"/>
      <c r="C886" s="1"/>
      <c r="D886" s="1"/>
      <c r="E886" s="1"/>
      <c r="F886" s="1"/>
      <c r="G886" s="1"/>
      <c r="H886" s="1"/>
      <c r="I886" s="1"/>
    </row>
    <row r="887" spans="2:9" ht="15.75" customHeight="1" x14ac:dyDescent="0.25">
      <c r="B887" s="1"/>
      <c r="C887" s="1"/>
      <c r="D887" s="1"/>
      <c r="E887" s="1"/>
      <c r="F887" s="1"/>
      <c r="G887" s="1"/>
      <c r="H887" s="1"/>
      <c r="I887" s="1"/>
    </row>
    <row r="888" spans="2:9" ht="15.75" customHeight="1" x14ac:dyDescent="0.25">
      <c r="B888" s="1"/>
      <c r="C888" s="1"/>
      <c r="D888" s="1"/>
      <c r="E888" s="1"/>
      <c r="F888" s="1"/>
      <c r="G888" s="1"/>
      <c r="H888" s="1"/>
      <c r="I888" s="1"/>
    </row>
    <row r="889" spans="2:9" ht="15.75" customHeight="1" x14ac:dyDescent="0.25">
      <c r="B889" s="1"/>
      <c r="C889" s="1"/>
      <c r="D889" s="1"/>
      <c r="E889" s="1"/>
      <c r="F889" s="1"/>
      <c r="G889" s="1"/>
      <c r="H889" s="1"/>
      <c r="I889" s="1"/>
    </row>
    <row r="890" spans="2:9" ht="15.75" customHeight="1" x14ac:dyDescent="0.25">
      <c r="B890" s="1"/>
      <c r="C890" s="1"/>
      <c r="D890" s="1"/>
      <c r="E890" s="1"/>
      <c r="F890" s="1"/>
      <c r="G890" s="1"/>
      <c r="H890" s="1"/>
      <c r="I890" s="1"/>
    </row>
    <row r="891" spans="2:9" ht="15.75" customHeight="1" x14ac:dyDescent="0.25">
      <c r="B891" s="1"/>
      <c r="C891" s="1"/>
      <c r="D891" s="1"/>
      <c r="E891" s="1"/>
      <c r="F891" s="1"/>
      <c r="G891" s="1"/>
      <c r="H891" s="1"/>
      <c r="I891" s="1"/>
    </row>
    <row r="892" spans="2:9" ht="15.75" customHeight="1" x14ac:dyDescent="0.25">
      <c r="B892" s="1"/>
      <c r="C892" s="1"/>
      <c r="D892" s="1"/>
      <c r="E892" s="1"/>
      <c r="F892" s="1"/>
      <c r="G892" s="1"/>
      <c r="H892" s="1"/>
      <c r="I892" s="1"/>
    </row>
    <row r="893" spans="2:9" ht="15.75" customHeight="1" x14ac:dyDescent="0.25">
      <c r="B893" s="1"/>
      <c r="C893" s="1"/>
      <c r="D893" s="1"/>
      <c r="E893" s="1"/>
      <c r="F893" s="1"/>
      <c r="G893" s="1"/>
      <c r="H893" s="1"/>
      <c r="I893" s="1"/>
    </row>
    <row r="894" spans="2:9" ht="15.75" customHeight="1" x14ac:dyDescent="0.25">
      <c r="B894" s="1"/>
      <c r="C894" s="1"/>
      <c r="D894" s="1"/>
      <c r="E894" s="1"/>
      <c r="F894" s="1"/>
      <c r="G894" s="1"/>
      <c r="H894" s="1"/>
      <c r="I894" s="1"/>
    </row>
    <row r="895" spans="2:9" ht="15.75" customHeight="1" x14ac:dyDescent="0.25">
      <c r="B895" s="1"/>
      <c r="C895" s="1"/>
      <c r="D895" s="1"/>
      <c r="E895" s="1"/>
      <c r="F895" s="1"/>
      <c r="G895" s="1"/>
      <c r="H895" s="1"/>
      <c r="I895" s="1"/>
    </row>
    <row r="896" spans="2:9" ht="15.75" customHeight="1" x14ac:dyDescent="0.25">
      <c r="B896" s="1"/>
      <c r="C896" s="1"/>
      <c r="D896" s="1"/>
      <c r="E896" s="1"/>
      <c r="F896" s="1"/>
      <c r="G896" s="1"/>
      <c r="H896" s="1"/>
      <c r="I896" s="1"/>
    </row>
    <row r="897" spans="2:9" ht="15.75" customHeight="1" x14ac:dyDescent="0.25">
      <c r="B897" s="1"/>
      <c r="C897" s="1"/>
      <c r="D897" s="1"/>
      <c r="E897" s="1"/>
      <c r="F897" s="1"/>
      <c r="G897" s="1"/>
      <c r="H897" s="1"/>
      <c r="I897" s="1"/>
    </row>
    <row r="898" spans="2:9" ht="15.75" customHeight="1" x14ac:dyDescent="0.25">
      <c r="B898" s="1"/>
      <c r="C898" s="1"/>
      <c r="D898" s="1"/>
      <c r="E898" s="1"/>
      <c r="F898" s="1"/>
      <c r="G898" s="1"/>
      <c r="H898" s="1"/>
      <c r="I898" s="1"/>
    </row>
    <row r="899" spans="2:9" ht="15.75" customHeight="1" x14ac:dyDescent="0.25">
      <c r="B899" s="1"/>
      <c r="C899" s="1"/>
      <c r="D899" s="1"/>
      <c r="E899" s="1"/>
      <c r="F899" s="1"/>
      <c r="G899" s="1"/>
      <c r="H899" s="1"/>
      <c r="I899" s="1"/>
    </row>
    <row r="900" spans="2:9" ht="15.75" customHeight="1" x14ac:dyDescent="0.25">
      <c r="B900" s="1"/>
      <c r="C900" s="1"/>
      <c r="D900" s="1"/>
      <c r="E900" s="1"/>
      <c r="F900" s="1"/>
      <c r="G900" s="1"/>
      <c r="H900" s="1"/>
      <c r="I900" s="1"/>
    </row>
    <row r="901" spans="2:9" ht="15.75" customHeight="1" x14ac:dyDescent="0.25">
      <c r="B901" s="1"/>
      <c r="C901" s="1"/>
      <c r="D901" s="1"/>
      <c r="E901" s="1"/>
      <c r="F901" s="1"/>
      <c r="G901" s="1"/>
      <c r="H901" s="1"/>
      <c r="I901" s="1"/>
    </row>
    <row r="902" spans="2:9" ht="15.75" customHeight="1" x14ac:dyDescent="0.25">
      <c r="B902" s="1"/>
      <c r="C902" s="1"/>
      <c r="D902" s="1"/>
      <c r="E902" s="1"/>
      <c r="F902" s="1"/>
      <c r="G902" s="1"/>
      <c r="H902" s="1"/>
      <c r="I902" s="1"/>
    </row>
    <row r="903" spans="2:9" ht="15.75" customHeight="1" x14ac:dyDescent="0.25">
      <c r="B903" s="1"/>
      <c r="C903" s="1"/>
      <c r="D903" s="1"/>
      <c r="E903" s="1"/>
      <c r="F903" s="1"/>
      <c r="G903" s="1"/>
      <c r="H903" s="1"/>
      <c r="I903" s="1"/>
    </row>
    <row r="904" spans="2:9" ht="15.75" customHeight="1" x14ac:dyDescent="0.25">
      <c r="B904" s="1"/>
      <c r="C904" s="1"/>
      <c r="D904" s="1"/>
      <c r="E904" s="1"/>
      <c r="F904" s="1"/>
      <c r="G904" s="1"/>
      <c r="H904" s="1"/>
      <c r="I904" s="1"/>
    </row>
    <row r="905" spans="2:9" ht="15.75" customHeight="1" x14ac:dyDescent="0.25">
      <c r="B905" s="1"/>
      <c r="C905" s="1"/>
      <c r="D905" s="1"/>
      <c r="E905" s="1"/>
      <c r="F905" s="1"/>
      <c r="G905" s="1"/>
      <c r="H905" s="1"/>
      <c r="I905" s="1"/>
    </row>
    <row r="906" spans="2:9" ht="15.75" customHeight="1" x14ac:dyDescent="0.25">
      <c r="B906" s="1"/>
      <c r="C906" s="1"/>
      <c r="D906" s="1"/>
      <c r="E906" s="1"/>
      <c r="F906" s="1"/>
      <c r="G906" s="1"/>
      <c r="H906" s="1"/>
      <c r="I906" s="1"/>
    </row>
    <row r="907" spans="2:9" ht="15.75" customHeight="1" x14ac:dyDescent="0.25">
      <c r="B907" s="1"/>
      <c r="C907" s="1"/>
      <c r="D907" s="1"/>
      <c r="E907" s="1"/>
      <c r="F907" s="1"/>
      <c r="G907" s="1"/>
      <c r="H907" s="1"/>
      <c r="I907" s="1"/>
    </row>
    <row r="908" spans="2:9" ht="15.75" customHeight="1" x14ac:dyDescent="0.25">
      <c r="B908" s="1"/>
      <c r="C908" s="1"/>
      <c r="D908" s="1"/>
      <c r="E908" s="1"/>
      <c r="F908" s="1"/>
      <c r="G908" s="1"/>
      <c r="H908" s="1"/>
      <c r="I908" s="1"/>
    </row>
    <row r="909" spans="2:9" ht="15.75" customHeight="1" x14ac:dyDescent="0.25">
      <c r="B909" s="1"/>
      <c r="C909" s="1"/>
      <c r="D909" s="1"/>
      <c r="E909" s="1"/>
      <c r="F909" s="1"/>
      <c r="G909" s="1"/>
      <c r="H909" s="1"/>
      <c r="I909" s="1"/>
    </row>
    <row r="910" spans="2:9" ht="15.75" customHeight="1" x14ac:dyDescent="0.25">
      <c r="B910" s="1"/>
      <c r="C910" s="1"/>
      <c r="D910" s="1"/>
      <c r="E910" s="1"/>
      <c r="F910" s="1"/>
      <c r="G910" s="1"/>
      <c r="H910" s="1"/>
      <c r="I910" s="1"/>
    </row>
    <row r="911" spans="2:9" ht="15.75" customHeight="1" x14ac:dyDescent="0.25">
      <c r="B911" s="1"/>
      <c r="C911" s="1"/>
      <c r="D911" s="1"/>
      <c r="E911" s="1"/>
      <c r="F911" s="1"/>
      <c r="G911" s="1"/>
      <c r="H911" s="1"/>
      <c r="I911" s="1"/>
    </row>
    <row r="912" spans="2:9" ht="15.75" customHeight="1" x14ac:dyDescent="0.25">
      <c r="B912" s="1"/>
      <c r="C912" s="1"/>
      <c r="D912" s="1"/>
      <c r="E912" s="1"/>
      <c r="F912" s="1"/>
      <c r="G912" s="1"/>
      <c r="H912" s="1"/>
      <c r="I912" s="1"/>
    </row>
    <row r="913" spans="2:9" ht="15.75" customHeight="1" x14ac:dyDescent="0.25">
      <c r="B913" s="1"/>
      <c r="C913" s="1"/>
      <c r="D913" s="1"/>
      <c r="E913" s="1"/>
      <c r="F913" s="1"/>
      <c r="G913" s="1"/>
      <c r="H913" s="1"/>
      <c r="I913" s="1"/>
    </row>
    <row r="914" spans="2:9" ht="15.75" customHeight="1" x14ac:dyDescent="0.25">
      <c r="B914" s="1"/>
      <c r="C914" s="1"/>
      <c r="D914" s="1"/>
      <c r="E914" s="1"/>
      <c r="F914" s="1"/>
      <c r="G914" s="1"/>
      <c r="H914" s="1"/>
      <c r="I914" s="1"/>
    </row>
    <row r="915" spans="2:9" ht="15.75" customHeight="1" x14ac:dyDescent="0.25">
      <c r="B915" s="1"/>
      <c r="C915" s="1"/>
      <c r="D915" s="1"/>
      <c r="E915" s="1"/>
      <c r="F915" s="1"/>
      <c r="G915" s="1"/>
      <c r="H915" s="1"/>
      <c r="I915" s="1"/>
    </row>
    <row r="916" spans="2:9" ht="15.75" customHeight="1" x14ac:dyDescent="0.25">
      <c r="B916" s="1"/>
      <c r="C916" s="1"/>
      <c r="D916" s="1"/>
      <c r="E916" s="1"/>
      <c r="F916" s="1"/>
      <c r="G916" s="1"/>
      <c r="H916" s="1"/>
      <c r="I916" s="1"/>
    </row>
    <row r="917" spans="2:9" ht="15.75" customHeight="1" x14ac:dyDescent="0.25">
      <c r="B917" s="1"/>
      <c r="C917" s="1"/>
      <c r="D917" s="1"/>
      <c r="E917" s="1"/>
      <c r="F917" s="1"/>
      <c r="G917" s="1"/>
      <c r="H917" s="1"/>
      <c r="I917" s="1"/>
    </row>
    <row r="918" spans="2:9" ht="15.75" customHeight="1" x14ac:dyDescent="0.25">
      <c r="B918" s="1"/>
      <c r="C918" s="1"/>
      <c r="D918" s="1"/>
      <c r="E918" s="1"/>
      <c r="F918" s="1"/>
      <c r="G918" s="1"/>
      <c r="H918" s="1"/>
      <c r="I918" s="1"/>
    </row>
    <row r="919" spans="2:9" ht="15.75" customHeight="1" x14ac:dyDescent="0.25">
      <c r="B919" s="1"/>
      <c r="C919" s="1"/>
      <c r="D919" s="1"/>
      <c r="E919" s="1"/>
      <c r="F919" s="1"/>
      <c r="G919" s="1"/>
      <c r="H919" s="1"/>
      <c r="I919" s="1"/>
    </row>
    <row r="920" spans="2:9" ht="15.75" customHeight="1" x14ac:dyDescent="0.25">
      <c r="B920" s="1"/>
      <c r="C920" s="1"/>
      <c r="D920" s="1"/>
      <c r="E920" s="1"/>
      <c r="F920" s="1"/>
      <c r="G920" s="1"/>
      <c r="H920" s="1"/>
      <c r="I920" s="1"/>
    </row>
    <row r="921" spans="2:9" ht="15.75" customHeight="1" x14ac:dyDescent="0.25">
      <c r="B921" s="1"/>
      <c r="C921" s="1"/>
      <c r="D921" s="1"/>
      <c r="E921" s="1"/>
      <c r="F921" s="1"/>
      <c r="G921" s="1"/>
      <c r="H921" s="1"/>
      <c r="I921" s="1"/>
    </row>
    <row r="922" spans="2:9" ht="15.75" customHeight="1" x14ac:dyDescent="0.25">
      <c r="B922" s="1"/>
      <c r="C922" s="1"/>
      <c r="D922" s="1"/>
      <c r="E922" s="1"/>
      <c r="F922" s="1"/>
      <c r="G922" s="1"/>
      <c r="H922" s="1"/>
      <c r="I922" s="1"/>
    </row>
    <row r="923" spans="2:9" ht="15.75" customHeight="1" x14ac:dyDescent="0.25">
      <c r="B923" s="1"/>
      <c r="C923" s="1"/>
      <c r="D923" s="1"/>
      <c r="E923" s="1"/>
      <c r="F923" s="1"/>
      <c r="G923" s="1"/>
      <c r="H923" s="1"/>
      <c r="I923" s="1"/>
    </row>
    <row r="924" spans="2:9" ht="15.75" customHeight="1" x14ac:dyDescent="0.25">
      <c r="B924" s="1"/>
      <c r="C924" s="1"/>
      <c r="D924" s="1"/>
      <c r="E924" s="1"/>
      <c r="F924" s="1"/>
      <c r="G924" s="1"/>
      <c r="H924" s="1"/>
      <c r="I924" s="1"/>
    </row>
    <row r="925" spans="2:9" ht="15.75" customHeight="1" x14ac:dyDescent="0.25">
      <c r="B925" s="1"/>
      <c r="C925" s="1"/>
      <c r="D925" s="1"/>
      <c r="E925" s="1"/>
      <c r="F925" s="1"/>
      <c r="G925" s="1"/>
      <c r="H925" s="1"/>
      <c r="I925" s="1"/>
    </row>
    <row r="926" spans="2:9" ht="15.75" customHeight="1" x14ac:dyDescent="0.25">
      <c r="B926" s="1"/>
      <c r="C926" s="1"/>
      <c r="D926" s="1"/>
      <c r="E926" s="1"/>
      <c r="F926" s="1"/>
      <c r="G926" s="1"/>
      <c r="H926" s="1"/>
      <c r="I926" s="1"/>
    </row>
    <row r="927" spans="2:9" ht="15.75" customHeight="1" x14ac:dyDescent="0.25">
      <c r="B927" s="1"/>
      <c r="C927" s="1"/>
      <c r="D927" s="1"/>
      <c r="E927" s="1"/>
      <c r="F927" s="1"/>
      <c r="G927" s="1"/>
      <c r="H927" s="1"/>
      <c r="I927" s="1"/>
    </row>
    <row r="928" spans="2:9" ht="15.75" customHeight="1" x14ac:dyDescent="0.25">
      <c r="B928" s="1"/>
      <c r="C928" s="1"/>
      <c r="D928" s="1"/>
      <c r="E928" s="1"/>
      <c r="F928" s="1"/>
      <c r="G928" s="1"/>
      <c r="H928" s="1"/>
      <c r="I928" s="1"/>
    </row>
    <row r="929" spans="2:9" ht="15.75" customHeight="1" x14ac:dyDescent="0.25">
      <c r="B929" s="1"/>
      <c r="C929" s="1"/>
      <c r="D929" s="1"/>
      <c r="E929" s="1"/>
      <c r="F929" s="1"/>
      <c r="G929" s="1"/>
      <c r="H929" s="1"/>
      <c r="I929" s="1"/>
    </row>
    <row r="930" spans="2:9" ht="15.75" customHeight="1" x14ac:dyDescent="0.25">
      <c r="B930" s="1"/>
      <c r="C930" s="1"/>
      <c r="D930" s="1"/>
      <c r="E930" s="1"/>
      <c r="F930" s="1"/>
      <c r="G930" s="1"/>
      <c r="H930" s="1"/>
      <c r="I930" s="1"/>
    </row>
    <row r="931" spans="2:9" ht="15.75" customHeight="1" x14ac:dyDescent="0.25">
      <c r="B931" s="1"/>
      <c r="C931" s="1"/>
      <c r="D931" s="1"/>
      <c r="E931" s="1"/>
      <c r="F931" s="1"/>
      <c r="G931" s="1"/>
      <c r="H931" s="1"/>
      <c r="I931" s="1"/>
    </row>
    <row r="932" spans="2:9" ht="15.75" customHeight="1" x14ac:dyDescent="0.25">
      <c r="B932" s="1"/>
      <c r="C932" s="1"/>
      <c r="D932" s="1"/>
      <c r="E932" s="1"/>
      <c r="F932" s="1"/>
      <c r="G932" s="1"/>
      <c r="H932" s="1"/>
      <c r="I932" s="1"/>
    </row>
    <row r="933" spans="2:9" ht="15.75" customHeight="1" x14ac:dyDescent="0.25">
      <c r="B933" s="1"/>
      <c r="C933" s="1"/>
      <c r="D933" s="1"/>
      <c r="E933" s="1"/>
      <c r="F933" s="1"/>
      <c r="G933" s="1"/>
      <c r="H933" s="1"/>
      <c r="I933" s="1"/>
    </row>
    <row r="934" spans="2:9" ht="15.75" customHeight="1" x14ac:dyDescent="0.25">
      <c r="B934" s="1"/>
      <c r="C934" s="1"/>
      <c r="D934" s="1"/>
      <c r="E934" s="1"/>
      <c r="F934" s="1"/>
      <c r="G934" s="1"/>
      <c r="H934" s="1"/>
      <c r="I934" s="1"/>
    </row>
    <row r="935" spans="2:9" ht="15.75" customHeight="1" x14ac:dyDescent="0.25">
      <c r="B935" s="1"/>
      <c r="C935" s="1"/>
      <c r="D935" s="1"/>
      <c r="E935" s="1"/>
      <c r="F935" s="1"/>
      <c r="G935" s="1"/>
      <c r="H935" s="1"/>
      <c r="I935" s="1"/>
    </row>
    <row r="936" spans="2:9" ht="15.75" customHeight="1" x14ac:dyDescent="0.25">
      <c r="B936" s="1"/>
      <c r="C936" s="1"/>
      <c r="D936" s="1"/>
      <c r="E936" s="1"/>
      <c r="F936" s="1"/>
      <c r="G936" s="1"/>
      <c r="H936" s="1"/>
      <c r="I936" s="1"/>
    </row>
    <row r="937" spans="2:9" ht="15.75" customHeight="1" x14ac:dyDescent="0.25">
      <c r="B937" s="1"/>
      <c r="C937" s="1"/>
      <c r="D937" s="1"/>
      <c r="E937" s="1"/>
      <c r="F937" s="1"/>
      <c r="G937" s="1"/>
      <c r="H937" s="1"/>
      <c r="I937" s="1"/>
    </row>
    <row r="938" spans="2:9" ht="15.75" customHeight="1" x14ac:dyDescent="0.25">
      <c r="B938" s="1"/>
      <c r="C938" s="1"/>
      <c r="D938" s="1"/>
      <c r="E938" s="1"/>
      <c r="F938" s="1"/>
      <c r="G938" s="1"/>
      <c r="H938" s="1"/>
      <c r="I938" s="1"/>
    </row>
    <row r="939" spans="2:9" ht="15.75" customHeight="1" x14ac:dyDescent="0.25">
      <c r="B939" s="1"/>
      <c r="C939" s="1"/>
      <c r="D939" s="1"/>
      <c r="E939" s="1"/>
      <c r="F939" s="1"/>
      <c r="G939" s="1"/>
      <c r="H939" s="1"/>
      <c r="I939" s="1"/>
    </row>
    <row r="940" spans="2:9" ht="15.75" customHeight="1" x14ac:dyDescent="0.25">
      <c r="B940" s="1"/>
      <c r="C940" s="1"/>
      <c r="D940" s="1"/>
      <c r="E940" s="1"/>
      <c r="F940" s="1"/>
      <c r="G940" s="1"/>
      <c r="H940" s="1"/>
      <c r="I940" s="1"/>
    </row>
    <row r="941" spans="2:9" ht="15.75" customHeight="1" x14ac:dyDescent="0.25">
      <c r="B941" s="1"/>
      <c r="C941" s="1"/>
      <c r="D941" s="1"/>
      <c r="E941" s="1"/>
      <c r="F941" s="1"/>
      <c r="G941" s="1"/>
      <c r="H941" s="1"/>
      <c r="I941" s="1"/>
    </row>
    <row r="942" spans="2:9" ht="15.75" customHeight="1" x14ac:dyDescent="0.25">
      <c r="B942" s="1"/>
      <c r="C942" s="1"/>
      <c r="D942" s="1"/>
      <c r="E942" s="1"/>
      <c r="F942" s="1"/>
      <c r="G942" s="1"/>
      <c r="H942" s="1"/>
      <c r="I942" s="1"/>
    </row>
    <row r="943" spans="2:9" ht="15.75" customHeight="1" x14ac:dyDescent="0.25">
      <c r="B943" s="1"/>
      <c r="C943" s="1"/>
      <c r="D943" s="1"/>
      <c r="E943" s="1"/>
      <c r="F943" s="1"/>
      <c r="G943" s="1"/>
      <c r="H943" s="1"/>
      <c r="I943" s="1"/>
    </row>
    <row r="944" spans="2:9" ht="15.75" customHeight="1" x14ac:dyDescent="0.25">
      <c r="B944" s="1"/>
      <c r="C944" s="1"/>
      <c r="D944" s="1"/>
      <c r="E944" s="1"/>
      <c r="F944" s="1"/>
      <c r="G944" s="1"/>
      <c r="H944" s="1"/>
      <c r="I944" s="1"/>
    </row>
    <row r="945" spans="2:9" ht="15.75" customHeight="1" x14ac:dyDescent="0.25">
      <c r="B945" s="1"/>
      <c r="C945" s="1"/>
      <c r="D945" s="1"/>
      <c r="E945" s="1"/>
      <c r="F945" s="1"/>
      <c r="G945" s="1"/>
      <c r="H945" s="1"/>
      <c r="I945" s="1"/>
    </row>
    <row r="946" spans="2:9" ht="15.75" customHeight="1" x14ac:dyDescent="0.25">
      <c r="B946" s="1"/>
      <c r="C946" s="1"/>
      <c r="D946" s="1"/>
      <c r="E946" s="1"/>
      <c r="F946" s="1"/>
      <c r="G946" s="1"/>
      <c r="H946" s="1"/>
      <c r="I946" s="1"/>
    </row>
    <row r="947" spans="2:9" ht="15.75" customHeight="1" x14ac:dyDescent="0.25">
      <c r="B947" s="1"/>
      <c r="C947" s="1"/>
      <c r="D947" s="1"/>
      <c r="E947" s="1"/>
      <c r="F947" s="1"/>
      <c r="G947" s="1"/>
      <c r="H947" s="1"/>
      <c r="I947" s="1"/>
    </row>
    <row r="948" spans="2:9" ht="15.75" customHeight="1" x14ac:dyDescent="0.25">
      <c r="B948" s="1"/>
      <c r="C948" s="1"/>
      <c r="D948" s="1"/>
      <c r="E948" s="1"/>
      <c r="F948" s="1"/>
      <c r="G948" s="1"/>
      <c r="H948" s="1"/>
      <c r="I948" s="1"/>
    </row>
    <row r="949" spans="2:9" ht="15.75" customHeight="1" x14ac:dyDescent="0.25">
      <c r="B949" s="1"/>
      <c r="C949" s="1"/>
      <c r="D949" s="1"/>
      <c r="E949" s="1"/>
      <c r="F949" s="1"/>
      <c r="G949" s="1"/>
      <c r="H949" s="1"/>
      <c r="I949" s="1"/>
    </row>
    <row r="950" spans="2:9" ht="15.75" customHeight="1" x14ac:dyDescent="0.25">
      <c r="B950" s="1"/>
      <c r="C950" s="1"/>
      <c r="D950" s="1"/>
      <c r="E950" s="1"/>
      <c r="F950" s="1"/>
      <c r="G950" s="1"/>
      <c r="H950" s="1"/>
      <c r="I950" s="1"/>
    </row>
    <row r="951" spans="2:9" ht="15.75" customHeight="1" x14ac:dyDescent="0.25">
      <c r="B951" s="1"/>
      <c r="C951" s="1"/>
      <c r="D951" s="1"/>
      <c r="E951" s="1"/>
      <c r="F951" s="1"/>
      <c r="G951" s="1"/>
      <c r="H951" s="1"/>
      <c r="I951" s="1"/>
    </row>
    <row r="952" spans="2:9" ht="15.75" customHeight="1" x14ac:dyDescent="0.25">
      <c r="B952" s="1"/>
      <c r="C952" s="1"/>
      <c r="D952" s="1"/>
      <c r="E952" s="1"/>
      <c r="F952" s="1"/>
      <c r="G952" s="1"/>
      <c r="H952" s="1"/>
      <c r="I952" s="1"/>
    </row>
    <row r="953" spans="2:9" ht="15.75" customHeight="1" x14ac:dyDescent="0.25">
      <c r="B953" s="1"/>
      <c r="C953" s="1"/>
      <c r="D953" s="1"/>
      <c r="E953" s="1"/>
      <c r="F953" s="1"/>
      <c r="G953" s="1"/>
      <c r="H953" s="1"/>
      <c r="I953" s="1"/>
    </row>
    <row r="954" spans="2:9" ht="15.75" customHeight="1" x14ac:dyDescent="0.25">
      <c r="B954" s="1"/>
      <c r="C954" s="1"/>
      <c r="D954" s="1"/>
      <c r="E954" s="1"/>
      <c r="F954" s="1"/>
      <c r="G954" s="1"/>
      <c r="H954" s="1"/>
      <c r="I954" s="1"/>
    </row>
    <row r="955" spans="2:9" ht="15.75" customHeight="1" x14ac:dyDescent="0.25">
      <c r="B955" s="1"/>
      <c r="C955" s="1"/>
      <c r="D955" s="1"/>
      <c r="E955" s="1"/>
      <c r="F955" s="1"/>
      <c r="G955" s="1"/>
      <c r="H955" s="1"/>
      <c r="I955" s="1"/>
    </row>
    <row r="956" spans="2:9" ht="15.75" customHeight="1" x14ac:dyDescent="0.25">
      <c r="B956" s="1"/>
      <c r="C956" s="1"/>
      <c r="D956" s="1"/>
      <c r="E956" s="1"/>
      <c r="F956" s="1"/>
      <c r="G956" s="1"/>
      <c r="H956" s="1"/>
      <c r="I956" s="1"/>
    </row>
    <row r="957" spans="2:9" ht="15.75" customHeight="1" x14ac:dyDescent="0.25">
      <c r="B957" s="1"/>
      <c r="C957" s="1"/>
      <c r="D957" s="1"/>
      <c r="E957" s="1"/>
      <c r="F957" s="1"/>
      <c r="G957" s="1"/>
      <c r="H957" s="1"/>
      <c r="I957" s="1"/>
    </row>
    <row r="958" spans="2:9" ht="15.75" customHeight="1" x14ac:dyDescent="0.25">
      <c r="B958" s="1"/>
      <c r="C958" s="1"/>
      <c r="D958" s="1"/>
      <c r="E958" s="1"/>
      <c r="F958" s="1"/>
      <c r="G958" s="1"/>
      <c r="H958" s="1"/>
      <c r="I958" s="1"/>
    </row>
    <row r="959" spans="2:9" ht="15.75" customHeight="1" x14ac:dyDescent="0.25">
      <c r="B959" s="1"/>
      <c r="C959" s="1"/>
      <c r="D959" s="1"/>
      <c r="E959" s="1"/>
      <c r="F959" s="1"/>
      <c r="G959" s="1"/>
      <c r="H959" s="1"/>
      <c r="I959" s="1"/>
    </row>
    <row r="960" spans="2:9" ht="15.75" customHeight="1" x14ac:dyDescent="0.25">
      <c r="B960" s="1"/>
      <c r="C960" s="1"/>
      <c r="D960" s="1"/>
      <c r="E960" s="1"/>
      <c r="F960" s="1"/>
      <c r="G960" s="1"/>
      <c r="H960" s="1"/>
      <c r="I960" s="1"/>
    </row>
    <row r="961" spans="2:9" ht="15.75" customHeight="1" x14ac:dyDescent="0.25">
      <c r="B961" s="1"/>
      <c r="C961" s="1"/>
      <c r="D961" s="1"/>
      <c r="E961" s="1"/>
      <c r="F961" s="1"/>
      <c r="G961" s="1"/>
      <c r="H961" s="1"/>
      <c r="I961" s="1"/>
    </row>
    <row r="962" spans="2:9" ht="15.75" customHeight="1" x14ac:dyDescent="0.25">
      <c r="B962" s="1"/>
      <c r="C962" s="1"/>
      <c r="D962" s="1"/>
      <c r="E962" s="1"/>
      <c r="F962" s="1"/>
      <c r="G962" s="1"/>
      <c r="H962" s="1"/>
      <c r="I962" s="1"/>
    </row>
    <row r="963" spans="2:9" ht="15.75" customHeight="1" x14ac:dyDescent="0.25">
      <c r="B963" s="1"/>
      <c r="C963" s="1"/>
      <c r="D963" s="1"/>
      <c r="E963" s="1"/>
      <c r="F963" s="1"/>
      <c r="G963" s="1"/>
      <c r="H963" s="1"/>
      <c r="I963" s="1"/>
    </row>
    <row r="964" spans="2:9" ht="15.75" customHeight="1" x14ac:dyDescent="0.25">
      <c r="B964" s="1"/>
      <c r="C964" s="1"/>
      <c r="D964" s="1"/>
      <c r="E964" s="1"/>
      <c r="F964" s="1"/>
      <c r="G964" s="1"/>
      <c r="H964" s="1"/>
      <c r="I964" s="1"/>
    </row>
    <row r="965" spans="2:9" ht="15.75" customHeight="1" x14ac:dyDescent="0.25">
      <c r="B965" s="1"/>
      <c r="C965" s="1"/>
      <c r="D965" s="1"/>
      <c r="E965" s="1"/>
      <c r="F965" s="1"/>
      <c r="G965" s="1"/>
      <c r="H965" s="1"/>
      <c r="I965" s="1"/>
    </row>
    <row r="966" spans="2:9" ht="15.75" customHeight="1" x14ac:dyDescent="0.25">
      <c r="B966" s="1"/>
      <c r="C966" s="1"/>
      <c r="D966" s="1"/>
      <c r="E966" s="1"/>
      <c r="F966" s="1"/>
      <c r="G966" s="1"/>
      <c r="H966" s="1"/>
      <c r="I966" s="1"/>
    </row>
    <row r="967" spans="2:9" ht="15.75" customHeight="1" x14ac:dyDescent="0.25">
      <c r="B967" s="1"/>
      <c r="C967" s="1"/>
      <c r="D967" s="1"/>
      <c r="E967" s="1"/>
      <c r="F967" s="1"/>
      <c r="G967" s="1"/>
      <c r="H967" s="1"/>
      <c r="I967" s="1"/>
    </row>
    <row r="968" spans="2:9" ht="15.75" customHeight="1" x14ac:dyDescent="0.25">
      <c r="B968" s="1"/>
      <c r="C968" s="1"/>
      <c r="D968" s="1"/>
      <c r="E968" s="1"/>
      <c r="F968" s="1"/>
      <c r="G968" s="1"/>
      <c r="H968" s="1"/>
      <c r="I968" s="1"/>
    </row>
    <row r="969" spans="2:9" ht="15.75" customHeight="1" x14ac:dyDescent="0.25">
      <c r="B969" s="1"/>
      <c r="C969" s="1"/>
      <c r="D969" s="1"/>
      <c r="E969" s="1"/>
      <c r="F969" s="1"/>
      <c r="G969" s="1"/>
      <c r="H969" s="1"/>
      <c r="I969" s="1"/>
    </row>
    <row r="970" spans="2:9" ht="15.75" customHeight="1" x14ac:dyDescent="0.25">
      <c r="B970" s="1"/>
      <c r="C970" s="1"/>
      <c r="D970" s="1"/>
      <c r="E970" s="1"/>
      <c r="F970" s="1"/>
      <c r="G970" s="1"/>
      <c r="H970" s="1"/>
      <c r="I970" s="1"/>
    </row>
    <row r="971" spans="2:9" ht="15.75" customHeight="1" x14ac:dyDescent="0.25">
      <c r="B971" s="1"/>
      <c r="C971" s="1"/>
      <c r="D971" s="1"/>
      <c r="E971" s="1"/>
      <c r="F971" s="1"/>
      <c r="G971" s="1"/>
      <c r="H971" s="1"/>
      <c r="I971" s="1"/>
    </row>
    <row r="972" spans="2:9" ht="15.75" customHeight="1" x14ac:dyDescent="0.25">
      <c r="B972" s="1"/>
      <c r="C972" s="1"/>
      <c r="D972" s="1"/>
      <c r="E972" s="1"/>
      <c r="F972" s="1"/>
      <c r="G972" s="1"/>
      <c r="H972" s="1"/>
      <c r="I972" s="1"/>
    </row>
    <row r="973" spans="2:9" ht="15.75" customHeight="1" x14ac:dyDescent="0.25">
      <c r="B973" s="1"/>
      <c r="C973" s="1"/>
      <c r="D973" s="1"/>
      <c r="E973" s="1"/>
      <c r="F973" s="1"/>
      <c r="G973" s="1"/>
      <c r="H973" s="1"/>
      <c r="I973" s="1"/>
    </row>
    <row r="974" spans="2:9" ht="15.75" customHeight="1" x14ac:dyDescent="0.25">
      <c r="B974" s="1"/>
      <c r="C974" s="1"/>
      <c r="D974" s="1"/>
      <c r="E974" s="1"/>
      <c r="F974" s="1"/>
      <c r="G974" s="1"/>
      <c r="H974" s="1"/>
      <c r="I974" s="1"/>
    </row>
    <row r="975" spans="2:9" ht="15.75" customHeight="1" x14ac:dyDescent="0.25">
      <c r="B975" s="1"/>
      <c r="C975" s="1"/>
      <c r="D975" s="1"/>
      <c r="E975" s="1"/>
      <c r="F975" s="1"/>
      <c r="G975" s="1"/>
      <c r="H975" s="1"/>
      <c r="I975" s="1"/>
    </row>
    <row r="976" spans="2:9" ht="15.75" customHeight="1" x14ac:dyDescent="0.25">
      <c r="B976" s="1"/>
      <c r="C976" s="1"/>
      <c r="D976" s="1"/>
      <c r="E976" s="1"/>
      <c r="F976" s="1"/>
      <c r="G976" s="1"/>
      <c r="H976" s="1"/>
      <c r="I976" s="1"/>
    </row>
    <row r="977" spans="2:9" ht="15.75" customHeight="1" x14ac:dyDescent="0.25">
      <c r="B977" s="1"/>
      <c r="C977" s="1"/>
      <c r="D977" s="1"/>
      <c r="E977" s="1"/>
      <c r="F977" s="1"/>
      <c r="G977" s="1"/>
      <c r="H977" s="1"/>
      <c r="I977" s="1"/>
    </row>
    <row r="978" spans="2:9" ht="15.75" customHeight="1" x14ac:dyDescent="0.25">
      <c r="B978" s="1"/>
      <c r="C978" s="1"/>
      <c r="D978" s="1"/>
      <c r="E978" s="1"/>
      <c r="F978" s="1"/>
      <c r="G978" s="1"/>
      <c r="H978" s="1"/>
      <c r="I978" s="1"/>
    </row>
    <row r="979" spans="2:9" ht="15.75" customHeight="1" x14ac:dyDescent="0.25">
      <c r="B979" s="1"/>
      <c r="C979" s="1"/>
      <c r="D979" s="1"/>
      <c r="E979" s="1"/>
      <c r="F979" s="1"/>
      <c r="G979" s="1"/>
      <c r="H979" s="1"/>
      <c r="I979" s="1"/>
    </row>
    <row r="980" spans="2:9" ht="15.75" customHeight="1" x14ac:dyDescent="0.25">
      <c r="B980" s="1"/>
      <c r="C980" s="1"/>
      <c r="D980" s="1"/>
      <c r="E980" s="1"/>
      <c r="F980" s="1"/>
      <c r="G980" s="1"/>
      <c r="H980" s="1"/>
      <c r="I980" s="1"/>
    </row>
    <row r="981" spans="2:9" ht="15.75" customHeight="1" x14ac:dyDescent="0.25">
      <c r="B981" s="1"/>
      <c r="C981" s="1"/>
      <c r="D981" s="1"/>
      <c r="E981" s="1"/>
      <c r="F981" s="1"/>
      <c r="G981" s="1"/>
      <c r="H981" s="1"/>
      <c r="I981" s="1"/>
    </row>
    <row r="982" spans="2:9" ht="15.75" customHeight="1" x14ac:dyDescent="0.25">
      <c r="B982" s="1"/>
      <c r="C982" s="1"/>
      <c r="D982" s="1"/>
      <c r="E982" s="1"/>
      <c r="F982" s="1"/>
      <c r="G982" s="1"/>
      <c r="H982" s="1"/>
      <c r="I982" s="1"/>
    </row>
    <row r="983" spans="2:9" ht="15.75" customHeight="1" x14ac:dyDescent="0.25">
      <c r="B983" s="1"/>
      <c r="C983" s="1"/>
      <c r="D983" s="1"/>
      <c r="E983" s="1"/>
      <c r="F983" s="1"/>
      <c r="G983" s="1"/>
      <c r="H983" s="1"/>
      <c r="I983" s="1"/>
    </row>
    <row r="984" spans="2:9" ht="15.75" customHeight="1" x14ac:dyDescent="0.25">
      <c r="B984" s="1"/>
      <c r="C984" s="1"/>
      <c r="D984" s="1"/>
      <c r="E984" s="1"/>
      <c r="F984" s="1"/>
      <c r="G984" s="1"/>
      <c r="H984" s="1"/>
      <c r="I984" s="1"/>
    </row>
    <row r="985" spans="2:9" ht="15.75" customHeight="1" x14ac:dyDescent="0.25">
      <c r="B985" s="1"/>
      <c r="C985" s="1"/>
      <c r="D985" s="1"/>
      <c r="E985" s="1"/>
      <c r="F985" s="1"/>
      <c r="G985" s="1"/>
      <c r="H985" s="1"/>
      <c r="I985" s="1"/>
    </row>
    <row r="986" spans="2:9" ht="15.75" customHeight="1" x14ac:dyDescent="0.25">
      <c r="B986" s="1"/>
      <c r="C986" s="1"/>
      <c r="D986" s="1"/>
      <c r="E986" s="1"/>
      <c r="F986" s="1"/>
      <c r="G986" s="1"/>
      <c r="H986" s="1"/>
      <c r="I986" s="1"/>
    </row>
    <row r="987" spans="2:9" ht="15.75" customHeight="1" x14ac:dyDescent="0.25">
      <c r="B987" s="1"/>
      <c r="C987" s="1"/>
      <c r="D987" s="1"/>
      <c r="E987" s="1"/>
      <c r="F987" s="1"/>
      <c r="G987" s="1"/>
      <c r="H987" s="1"/>
      <c r="I987" s="1"/>
    </row>
    <row r="988" spans="2:9" ht="15.75" customHeight="1" x14ac:dyDescent="0.25">
      <c r="B988" s="1"/>
      <c r="C988" s="1"/>
      <c r="D988" s="1"/>
      <c r="E988" s="1"/>
      <c r="F988" s="1"/>
      <c r="G988" s="1"/>
      <c r="H988" s="1"/>
      <c r="I988" s="1"/>
    </row>
    <row r="989" spans="2:9" ht="15.75" customHeight="1" x14ac:dyDescent="0.25">
      <c r="B989" s="1"/>
      <c r="C989" s="1"/>
      <c r="D989" s="1"/>
      <c r="E989" s="1"/>
      <c r="F989" s="1"/>
      <c r="G989" s="1"/>
      <c r="H989" s="1"/>
      <c r="I989" s="1"/>
    </row>
    <row r="990" spans="2:9" ht="15.75" customHeight="1" x14ac:dyDescent="0.25">
      <c r="B990" s="1"/>
      <c r="C990" s="1"/>
      <c r="D990" s="1"/>
      <c r="E990" s="1"/>
      <c r="F990" s="1"/>
      <c r="G990" s="1"/>
      <c r="H990" s="1"/>
      <c r="I990" s="1"/>
    </row>
    <row r="991" spans="2:9" ht="15.75" customHeight="1" x14ac:dyDescent="0.25">
      <c r="B991" s="1"/>
      <c r="C991" s="1"/>
      <c r="D991" s="1"/>
      <c r="E991" s="1"/>
      <c r="F991" s="1"/>
      <c r="G991" s="1"/>
      <c r="H991" s="1"/>
      <c r="I991" s="1"/>
    </row>
    <row r="992" spans="2:9" ht="15.75" customHeight="1" x14ac:dyDescent="0.25">
      <c r="B992" s="1"/>
      <c r="C992" s="1"/>
      <c r="D992" s="1"/>
      <c r="E992" s="1"/>
      <c r="F992" s="1"/>
      <c r="G992" s="1"/>
      <c r="H992" s="1"/>
      <c r="I992" s="1"/>
    </row>
    <row r="993" spans="2:9" ht="15.75" customHeight="1" x14ac:dyDescent="0.25">
      <c r="B993" s="1"/>
      <c r="C993" s="1"/>
      <c r="D993" s="1"/>
      <c r="E993" s="1"/>
      <c r="F993" s="1"/>
      <c r="G993" s="1"/>
      <c r="H993" s="1"/>
      <c r="I993" s="1"/>
    </row>
    <row r="994" spans="2:9" ht="15.75" customHeight="1" x14ac:dyDescent="0.25">
      <c r="B994" s="1"/>
      <c r="C994" s="1"/>
      <c r="D994" s="1"/>
      <c r="E994" s="1"/>
      <c r="F994" s="1"/>
      <c r="G994" s="1"/>
      <c r="H994" s="1"/>
      <c r="I994" s="1"/>
    </row>
    <row r="995" spans="2:9" ht="15.75" customHeight="1" x14ac:dyDescent="0.25">
      <c r="B995" s="1"/>
      <c r="C995" s="1"/>
      <c r="D995" s="1"/>
      <c r="E995" s="1"/>
      <c r="F995" s="1"/>
      <c r="G995" s="1"/>
      <c r="H995" s="1"/>
      <c r="I995" s="1"/>
    </row>
    <row r="996" spans="2:9" ht="15.75" customHeight="1" x14ac:dyDescent="0.25">
      <c r="B996" s="1"/>
      <c r="C996" s="1"/>
      <c r="D996" s="1"/>
      <c r="E996" s="1"/>
      <c r="F996" s="1"/>
      <c r="G996" s="1"/>
      <c r="H996" s="1"/>
      <c r="I996" s="1"/>
    </row>
    <row r="997" spans="2:9" ht="15.75" customHeight="1" x14ac:dyDescent="0.25">
      <c r="B997" s="1"/>
      <c r="C997" s="1"/>
      <c r="D997" s="1"/>
      <c r="E997" s="1"/>
      <c r="F997" s="1"/>
      <c r="G997" s="1"/>
      <c r="H997" s="1"/>
      <c r="I997" s="1"/>
    </row>
    <row r="998" spans="2:9" ht="15.75" customHeight="1" x14ac:dyDescent="0.25">
      <c r="B998" s="1"/>
      <c r="C998" s="1"/>
      <c r="D998" s="1"/>
      <c r="E998" s="1"/>
      <c r="F998" s="1"/>
      <c r="G998" s="1"/>
      <c r="H998" s="1"/>
      <c r="I998" s="1"/>
    </row>
    <row r="999" spans="2:9" ht="15.75" customHeight="1" x14ac:dyDescent="0.25">
      <c r="B999" s="1"/>
      <c r="C999" s="1"/>
      <c r="D999" s="1"/>
      <c r="E999" s="1"/>
      <c r="F999" s="1"/>
      <c r="G999" s="1"/>
      <c r="H999" s="1"/>
      <c r="I999" s="1"/>
    </row>
    <row r="1000" spans="2:9" ht="15.75" customHeight="1" x14ac:dyDescent="0.25">
      <c r="B1000" s="1"/>
      <c r="C1000" s="1"/>
      <c r="D1000" s="1"/>
      <c r="E1000" s="1"/>
      <c r="F1000" s="1"/>
      <c r="G1000" s="1"/>
      <c r="H1000" s="1"/>
      <c r="I1000" s="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2578125" defaultRowHeight="15" customHeight="1" x14ac:dyDescent="0.25"/>
  <cols>
    <col min="1" max="1" width="2.42578125" customWidth="1"/>
    <col min="2" max="2" width="39.28515625" customWidth="1"/>
    <col min="3" max="3" width="11" customWidth="1"/>
    <col min="4" max="4" width="9.85546875" customWidth="1"/>
    <col min="5" max="5" width="6.42578125" customWidth="1"/>
    <col min="6" max="6" width="14.42578125" customWidth="1"/>
    <col min="7" max="7" width="12.42578125" customWidth="1"/>
    <col min="8" max="8" width="12.140625" customWidth="1"/>
    <col min="9" max="9" width="2.5703125" customWidth="1"/>
    <col min="10" max="10" width="22.28515625" customWidth="1"/>
    <col min="11" max="11" width="6.42578125" customWidth="1"/>
    <col min="12" max="24" width="5.5703125" customWidth="1"/>
  </cols>
  <sheetData>
    <row r="1" spans="1:26" ht="12.75" customHeight="1" x14ac:dyDescent="0.25">
      <c r="A1" s="9"/>
      <c r="B1" s="10"/>
      <c r="C1" s="10"/>
      <c r="D1" s="10"/>
      <c r="E1" s="11"/>
      <c r="F1" s="10"/>
      <c r="G1" s="11"/>
      <c r="H1" s="11"/>
      <c r="I1" s="12"/>
      <c r="J1" s="13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6" ht="12.75" customHeight="1" x14ac:dyDescent="0.25">
      <c r="A2" s="15"/>
      <c r="B2" s="10"/>
      <c r="C2" s="10"/>
      <c r="D2" s="10"/>
      <c r="E2" s="10"/>
      <c r="F2" s="10"/>
      <c r="G2" s="10"/>
      <c r="H2" s="10"/>
      <c r="I2" s="10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6" ht="12.75" customHeight="1" x14ac:dyDescent="0.25">
      <c r="A3" s="15"/>
      <c r="B3" s="10" t="s">
        <v>0</v>
      </c>
      <c r="C3" s="10"/>
      <c r="D3" s="11"/>
      <c r="E3" s="10"/>
      <c r="F3" s="11"/>
      <c r="G3" s="10"/>
      <c r="H3" s="10"/>
      <c r="I3" s="10"/>
      <c r="J3" s="13"/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6" ht="12.75" customHeight="1" x14ac:dyDescent="0.25">
      <c r="A4" s="15"/>
      <c r="B4" s="10" t="s">
        <v>1</v>
      </c>
      <c r="C4" s="10"/>
      <c r="D4" s="10"/>
      <c r="E4" s="10"/>
      <c r="F4" s="10"/>
      <c r="G4" s="10"/>
      <c r="H4" s="10"/>
      <c r="I4" s="10"/>
      <c r="J4" s="13"/>
      <c r="K4" s="1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6" ht="12.75" customHeight="1" x14ac:dyDescent="0.25">
      <c r="A5" s="15"/>
      <c r="B5" s="10" t="s">
        <v>2</v>
      </c>
      <c r="C5" s="10"/>
      <c r="D5" s="10"/>
      <c r="E5" s="10"/>
      <c r="F5" s="11"/>
      <c r="G5" s="11"/>
      <c r="H5" s="10"/>
      <c r="I5" s="10"/>
      <c r="J5" s="13"/>
      <c r="K5" s="13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6" ht="12.75" customHeight="1" x14ac:dyDescent="0.25">
      <c r="A6" s="15"/>
      <c r="B6" s="10"/>
      <c r="C6" s="16"/>
      <c r="D6" s="10"/>
      <c r="E6" s="11"/>
      <c r="F6" s="17"/>
      <c r="G6" s="10"/>
      <c r="H6" s="12"/>
      <c r="I6" s="12"/>
      <c r="J6" s="13"/>
      <c r="K6" s="1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6" x14ac:dyDescent="0.25">
      <c r="A7" s="15"/>
      <c r="B7" s="107" t="s">
        <v>2672</v>
      </c>
      <c r="C7" s="108"/>
      <c r="D7" s="108"/>
      <c r="E7" s="108"/>
      <c r="F7" s="108"/>
      <c r="G7" s="108"/>
      <c r="H7" s="109"/>
      <c r="I7" s="10"/>
      <c r="J7" s="13"/>
      <c r="K7" s="13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6" ht="26.25" customHeight="1" x14ac:dyDescent="0.25">
      <c r="A8" s="18"/>
      <c r="B8" s="19" t="s">
        <v>4</v>
      </c>
      <c r="C8" s="20" t="s">
        <v>2673</v>
      </c>
      <c r="D8" s="21" t="s">
        <v>2674</v>
      </c>
      <c r="E8" s="20" t="s">
        <v>2675</v>
      </c>
      <c r="F8" s="20" t="s">
        <v>2676</v>
      </c>
      <c r="G8" s="20" t="s">
        <v>2677</v>
      </c>
      <c r="H8" s="22" t="s">
        <v>2678</v>
      </c>
      <c r="I8" s="23"/>
      <c r="J8" s="24"/>
      <c r="K8" s="110" t="s">
        <v>2679</v>
      </c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9"/>
      <c r="Y8" s="25"/>
      <c r="Z8" s="25"/>
    </row>
    <row r="9" spans="1:26" ht="12.75" customHeight="1" x14ac:dyDescent="0.25">
      <c r="A9" s="15"/>
      <c r="B9" s="26" t="s">
        <v>2680</v>
      </c>
      <c r="C9" s="27"/>
      <c r="D9" s="28"/>
      <c r="E9" s="27"/>
      <c r="F9" s="28"/>
      <c r="G9" s="28"/>
      <c r="H9" s="29"/>
      <c r="I9" s="30"/>
      <c r="J9" s="30"/>
      <c r="K9" s="13"/>
      <c r="L9" s="31">
        <v>0</v>
      </c>
      <c r="M9" s="31">
        <v>1</v>
      </c>
      <c r="N9" s="31">
        <v>2</v>
      </c>
      <c r="O9" s="31">
        <v>3</v>
      </c>
      <c r="P9" s="31">
        <v>4</v>
      </c>
      <c r="Q9" s="31">
        <v>5</v>
      </c>
      <c r="R9" s="31">
        <v>6</v>
      </c>
      <c r="S9" s="31">
        <v>7</v>
      </c>
      <c r="T9" s="31">
        <v>8</v>
      </c>
      <c r="U9" s="31">
        <v>9</v>
      </c>
      <c r="V9" s="31">
        <v>10</v>
      </c>
      <c r="W9" s="31">
        <v>11</v>
      </c>
      <c r="X9" s="31">
        <v>12</v>
      </c>
    </row>
    <row r="10" spans="1:26" ht="12.75" customHeight="1" x14ac:dyDescent="0.25">
      <c r="A10" s="15"/>
      <c r="B10" s="32" t="s">
        <v>2681</v>
      </c>
      <c r="C10" s="33"/>
      <c r="D10" s="34"/>
      <c r="E10" s="33"/>
      <c r="F10" s="35"/>
      <c r="G10" s="35"/>
      <c r="H10" s="36"/>
      <c r="I10" s="11"/>
      <c r="J10" s="11"/>
      <c r="K10" s="37"/>
      <c r="L10" s="3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14"/>
    </row>
    <row r="11" spans="1:26" ht="12.75" customHeight="1" x14ac:dyDescent="0.25">
      <c r="A11" s="15"/>
      <c r="B11" s="40" t="s">
        <v>2682</v>
      </c>
      <c r="C11" s="41">
        <f t="shared" ref="C11:C27" si="0">SUM(L11:X11)</f>
        <v>11</v>
      </c>
      <c r="D11" s="42">
        <v>0.3</v>
      </c>
      <c r="E11" s="43" t="s">
        <v>2683</v>
      </c>
      <c r="F11" s="44">
        <v>110000</v>
      </c>
      <c r="G11" s="45">
        <f t="shared" ref="G11:G27" si="1">+C11*D11*F11</f>
        <v>363000</v>
      </c>
      <c r="H11" s="46">
        <f t="shared" ref="H11:H28" si="2">+G11/G$62</f>
        <v>0.18311929647079678</v>
      </c>
      <c r="I11" s="11"/>
      <c r="J11" s="47"/>
      <c r="K11" s="37"/>
      <c r="L11" s="48"/>
      <c r="M11" s="48">
        <v>1</v>
      </c>
      <c r="N11" s="48">
        <v>1</v>
      </c>
      <c r="O11" s="48">
        <v>1</v>
      </c>
      <c r="P11" s="48">
        <v>1</v>
      </c>
      <c r="Q11" s="48">
        <v>1</v>
      </c>
      <c r="R11" s="48">
        <v>1</v>
      </c>
      <c r="S11" s="48">
        <v>1</v>
      </c>
      <c r="T11" s="48">
        <v>1</v>
      </c>
      <c r="U11" s="48">
        <v>1</v>
      </c>
      <c r="V11" s="48">
        <v>1</v>
      </c>
      <c r="W11" s="48">
        <v>1</v>
      </c>
      <c r="X11" s="14"/>
    </row>
    <row r="12" spans="1:26" ht="12.75" customHeight="1" x14ac:dyDescent="0.25">
      <c r="A12" s="15"/>
      <c r="B12" s="40" t="s">
        <v>2684</v>
      </c>
      <c r="C12" s="41">
        <f t="shared" si="0"/>
        <v>11</v>
      </c>
      <c r="D12" s="49">
        <v>0.3</v>
      </c>
      <c r="E12" s="43" t="s">
        <v>2683</v>
      </c>
      <c r="F12" s="44">
        <v>19500</v>
      </c>
      <c r="G12" s="45">
        <f t="shared" si="1"/>
        <v>64350</v>
      </c>
      <c r="H12" s="46">
        <f t="shared" si="2"/>
        <v>3.2462057101641247E-2</v>
      </c>
      <c r="I12" s="11"/>
      <c r="J12" s="11"/>
      <c r="K12" s="37"/>
      <c r="L12" s="48"/>
      <c r="M12" s="48">
        <v>1</v>
      </c>
      <c r="N12" s="48">
        <v>1</v>
      </c>
      <c r="O12" s="48">
        <v>1</v>
      </c>
      <c r="P12" s="48">
        <v>1</v>
      </c>
      <c r="Q12" s="48">
        <v>1</v>
      </c>
      <c r="R12" s="48">
        <v>1</v>
      </c>
      <c r="S12" s="48">
        <v>1</v>
      </c>
      <c r="T12" s="48">
        <v>1</v>
      </c>
      <c r="U12" s="48">
        <v>1</v>
      </c>
      <c r="V12" s="48">
        <v>1</v>
      </c>
      <c r="W12" s="48">
        <v>1</v>
      </c>
      <c r="X12" s="14"/>
    </row>
    <row r="13" spans="1:26" ht="12.75" customHeight="1" x14ac:dyDescent="0.25">
      <c r="A13" s="15"/>
      <c r="B13" s="40" t="s">
        <v>2685</v>
      </c>
      <c r="C13" s="41">
        <f t="shared" si="0"/>
        <v>11.5</v>
      </c>
      <c r="D13" s="49">
        <v>1</v>
      </c>
      <c r="E13" s="43" t="s">
        <v>2683</v>
      </c>
      <c r="F13" s="44">
        <v>18750</v>
      </c>
      <c r="G13" s="45">
        <f t="shared" si="1"/>
        <v>215625</v>
      </c>
      <c r="H13" s="46">
        <f t="shared" si="2"/>
        <v>0.10877437548626875</v>
      </c>
      <c r="I13" s="11"/>
      <c r="J13" s="11"/>
      <c r="K13" s="37"/>
      <c r="L13" s="48"/>
      <c r="M13" s="48">
        <v>1</v>
      </c>
      <c r="N13" s="48">
        <v>1</v>
      </c>
      <c r="O13" s="48">
        <v>1</v>
      </c>
      <c r="P13" s="48">
        <v>1</v>
      </c>
      <c r="Q13" s="48">
        <v>1</v>
      </c>
      <c r="R13" s="48">
        <v>1</v>
      </c>
      <c r="S13" s="48">
        <v>1</v>
      </c>
      <c r="T13" s="48">
        <v>1</v>
      </c>
      <c r="U13" s="48">
        <v>1</v>
      </c>
      <c r="V13" s="48">
        <v>1</v>
      </c>
      <c r="W13" s="48">
        <v>1</v>
      </c>
      <c r="X13" s="48">
        <v>0.5</v>
      </c>
    </row>
    <row r="14" spans="1:26" ht="12.75" customHeight="1" x14ac:dyDescent="0.25">
      <c r="A14" s="15"/>
      <c r="B14" s="40" t="s">
        <v>2686</v>
      </c>
      <c r="C14" s="41">
        <f t="shared" si="0"/>
        <v>11</v>
      </c>
      <c r="D14" s="49">
        <v>1</v>
      </c>
      <c r="E14" s="43" t="s">
        <v>2683</v>
      </c>
      <c r="F14" s="11">
        <v>9750</v>
      </c>
      <c r="G14" s="45">
        <f t="shared" si="1"/>
        <v>107250</v>
      </c>
      <c r="H14" s="46">
        <f t="shared" si="2"/>
        <v>5.4103428502735411E-2</v>
      </c>
      <c r="I14" s="11"/>
      <c r="J14" s="11"/>
      <c r="K14" s="37"/>
      <c r="L14" s="48"/>
      <c r="M14" s="48">
        <v>1</v>
      </c>
      <c r="N14" s="48">
        <v>1</v>
      </c>
      <c r="O14" s="48">
        <v>1</v>
      </c>
      <c r="P14" s="48">
        <v>1</v>
      </c>
      <c r="Q14" s="48">
        <v>1</v>
      </c>
      <c r="R14" s="48">
        <v>1</v>
      </c>
      <c r="S14" s="48">
        <v>1</v>
      </c>
      <c r="T14" s="48">
        <v>1</v>
      </c>
      <c r="U14" s="48">
        <v>1</v>
      </c>
      <c r="V14" s="48">
        <v>1</v>
      </c>
      <c r="W14" s="48">
        <v>1</v>
      </c>
      <c r="X14" s="14"/>
    </row>
    <row r="15" spans="1:26" ht="12.75" customHeight="1" x14ac:dyDescent="0.25">
      <c r="A15" s="15"/>
      <c r="B15" s="40" t="s">
        <v>2687</v>
      </c>
      <c r="C15" s="41">
        <f t="shared" si="0"/>
        <v>9</v>
      </c>
      <c r="D15" s="49">
        <v>1</v>
      </c>
      <c r="E15" s="43" t="s">
        <v>2683</v>
      </c>
      <c r="F15" s="44">
        <v>3900</v>
      </c>
      <c r="G15" s="45">
        <f t="shared" si="1"/>
        <v>35100</v>
      </c>
      <c r="H15" s="46">
        <f t="shared" si="2"/>
        <v>1.7706576600895228E-2</v>
      </c>
      <c r="I15" s="11"/>
      <c r="J15" s="11"/>
      <c r="K15" s="37"/>
      <c r="L15" s="48"/>
      <c r="M15" s="48">
        <v>1</v>
      </c>
      <c r="N15" s="48">
        <v>1</v>
      </c>
      <c r="O15" s="48">
        <v>1</v>
      </c>
      <c r="P15" s="48">
        <v>1</v>
      </c>
      <c r="Q15" s="48">
        <v>1</v>
      </c>
      <c r="R15" s="48">
        <v>1</v>
      </c>
      <c r="S15" s="48">
        <v>1</v>
      </c>
      <c r="T15" s="48">
        <v>1</v>
      </c>
      <c r="U15" s="48">
        <v>1</v>
      </c>
      <c r="V15" s="14"/>
      <c r="W15" s="14"/>
      <c r="X15" s="14"/>
    </row>
    <row r="16" spans="1:26" ht="12.75" customHeight="1" x14ac:dyDescent="0.25">
      <c r="A16" s="15"/>
      <c r="B16" s="40" t="s">
        <v>2688</v>
      </c>
      <c r="C16" s="41">
        <f t="shared" si="0"/>
        <v>10.5</v>
      </c>
      <c r="D16" s="49">
        <v>1</v>
      </c>
      <c r="E16" s="43" t="s">
        <v>2683</v>
      </c>
      <c r="F16" s="11">
        <v>9750</v>
      </c>
      <c r="G16" s="45">
        <f t="shared" si="1"/>
        <v>102375</v>
      </c>
      <c r="H16" s="46">
        <f t="shared" si="2"/>
        <v>5.1644181752611075E-2</v>
      </c>
      <c r="I16" s="11"/>
      <c r="J16" s="11"/>
      <c r="K16" s="37"/>
      <c r="L16" s="39"/>
      <c r="M16" s="39"/>
      <c r="N16" s="48">
        <v>1</v>
      </c>
      <c r="O16" s="48">
        <v>1</v>
      </c>
      <c r="P16" s="48">
        <v>1</v>
      </c>
      <c r="Q16" s="48">
        <v>1</v>
      </c>
      <c r="R16" s="48">
        <v>1</v>
      </c>
      <c r="S16" s="48">
        <v>1</v>
      </c>
      <c r="T16" s="48">
        <v>1</v>
      </c>
      <c r="U16" s="48">
        <v>1</v>
      </c>
      <c r="V16" s="48">
        <v>1</v>
      </c>
      <c r="W16" s="48">
        <v>1</v>
      </c>
      <c r="X16" s="48">
        <v>0.5</v>
      </c>
    </row>
    <row r="17" spans="1:25" ht="12.75" customHeight="1" x14ac:dyDescent="0.25">
      <c r="A17" s="15"/>
      <c r="B17" s="40" t="s">
        <v>2689</v>
      </c>
      <c r="C17" s="41">
        <f t="shared" si="0"/>
        <v>6</v>
      </c>
      <c r="D17" s="49">
        <v>1</v>
      </c>
      <c r="E17" s="43" t="s">
        <v>2683</v>
      </c>
      <c r="F17" s="44">
        <v>3900</v>
      </c>
      <c r="G17" s="45">
        <f t="shared" si="1"/>
        <v>23400</v>
      </c>
      <c r="H17" s="46">
        <f t="shared" si="2"/>
        <v>1.1804384400596817E-2</v>
      </c>
      <c r="I17" s="11"/>
      <c r="J17" s="11"/>
      <c r="K17" s="37"/>
      <c r="L17" s="50"/>
      <c r="M17" s="50"/>
      <c r="N17" s="50"/>
      <c r="O17" s="50"/>
      <c r="P17" s="50"/>
      <c r="Q17" s="50"/>
      <c r="R17" s="48">
        <v>1</v>
      </c>
      <c r="S17" s="48">
        <v>1</v>
      </c>
      <c r="T17" s="48">
        <v>1</v>
      </c>
      <c r="U17" s="48">
        <v>1</v>
      </c>
      <c r="V17" s="48">
        <v>1</v>
      </c>
      <c r="W17" s="48">
        <v>1</v>
      </c>
      <c r="X17" s="14"/>
    </row>
    <row r="18" spans="1:25" ht="12.75" customHeight="1" x14ac:dyDescent="0.25">
      <c r="A18" s="15"/>
      <c r="B18" s="40" t="s">
        <v>2690</v>
      </c>
      <c r="C18" s="41">
        <f t="shared" si="0"/>
        <v>11</v>
      </c>
      <c r="D18" s="49">
        <v>1</v>
      </c>
      <c r="E18" s="43" t="s">
        <v>2683</v>
      </c>
      <c r="F18" s="44">
        <v>4500</v>
      </c>
      <c r="G18" s="45">
        <f t="shared" si="1"/>
        <v>49500</v>
      </c>
      <c r="H18" s="46">
        <f t="shared" si="2"/>
        <v>2.4970813155108653E-2</v>
      </c>
      <c r="I18" s="11"/>
      <c r="J18" s="11"/>
      <c r="K18" s="37"/>
      <c r="L18" s="48"/>
      <c r="M18" s="48">
        <v>1</v>
      </c>
      <c r="N18" s="48">
        <v>1</v>
      </c>
      <c r="O18" s="48">
        <v>1</v>
      </c>
      <c r="P18" s="48">
        <v>1</v>
      </c>
      <c r="Q18" s="48">
        <v>1</v>
      </c>
      <c r="R18" s="48">
        <v>1</v>
      </c>
      <c r="S18" s="48">
        <v>1</v>
      </c>
      <c r="T18" s="48">
        <v>1</v>
      </c>
      <c r="U18" s="48">
        <v>1</v>
      </c>
      <c r="V18" s="48">
        <v>1</v>
      </c>
      <c r="W18" s="48">
        <v>1</v>
      </c>
      <c r="X18" s="14"/>
    </row>
    <row r="19" spans="1:25" ht="12.75" customHeight="1" x14ac:dyDescent="0.25">
      <c r="A19" s="15"/>
      <c r="B19" s="40" t="s">
        <v>2691</v>
      </c>
      <c r="C19" s="41">
        <f t="shared" si="0"/>
        <v>11.5</v>
      </c>
      <c r="D19" s="49">
        <v>1</v>
      </c>
      <c r="E19" s="43" t="s">
        <v>2683</v>
      </c>
      <c r="F19" s="11">
        <v>9750</v>
      </c>
      <c r="G19" s="45">
        <f t="shared" si="1"/>
        <v>112125</v>
      </c>
      <c r="H19" s="46">
        <f t="shared" si="2"/>
        <v>5.6562675252859747E-2</v>
      </c>
      <c r="I19" s="11"/>
      <c r="J19" s="11"/>
      <c r="K19" s="37"/>
      <c r="L19" s="48"/>
      <c r="M19" s="48">
        <v>1</v>
      </c>
      <c r="N19" s="48">
        <v>1</v>
      </c>
      <c r="O19" s="48">
        <v>1</v>
      </c>
      <c r="P19" s="48">
        <v>1</v>
      </c>
      <c r="Q19" s="48">
        <v>1</v>
      </c>
      <c r="R19" s="48">
        <v>1</v>
      </c>
      <c r="S19" s="48">
        <v>1</v>
      </c>
      <c r="T19" s="48">
        <v>1</v>
      </c>
      <c r="U19" s="48">
        <v>1</v>
      </c>
      <c r="V19" s="48">
        <v>1</v>
      </c>
      <c r="W19" s="48">
        <v>1</v>
      </c>
      <c r="X19" s="48">
        <v>0.5</v>
      </c>
    </row>
    <row r="20" spans="1:25" ht="12.75" customHeight="1" x14ac:dyDescent="0.25">
      <c r="A20" s="15"/>
      <c r="B20" s="40" t="s">
        <v>2692</v>
      </c>
      <c r="C20" s="41">
        <f t="shared" si="0"/>
        <v>11</v>
      </c>
      <c r="D20" s="49">
        <v>1</v>
      </c>
      <c r="E20" s="43" t="s">
        <v>2683</v>
      </c>
      <c r="F20" s="44">
        <v>3900</v>
      </c>
      <c r="G20" s="45">
        <f t="shared" si="1"/>
        <v>42900</v>
      </c>
      <c r="H20" s="46">
        <f t="shared" si="2"/>
        <v>2.1641371401094164E-2</v>
      </c>
      <c r="I20" s="11"/>
      <c r="J20" s="11"/>
      <c r="K20" s="37"/>
      <c r="L20" s="48"/>
      <c r="M20" s="48">
        <v>1</v>
      </c>
      <c r="N20" s="48">
        <v>1</v>
      </c>
      <c r="O20" s="48">
        <v>1</v>
      </c>
      <c r="P20" s="48">
        <v>1</v>
      </c>
      <c r="Q20" s="48">
        <v>1</v>
      </c>
      <c r="R20" s="48">
        <v>1</v>
      </c>
      <c r="S20" s="48">
        <v>1</v>
      </c>
      <c r="T20" s="48">
        <v>1</v>
      </c>
      <c r="U20" s="48">
        <v>1</v>
      </c>
      <c r="V20" s="48">
        <v>1</v>
      </c>
      <c r="W20" s="48">
        <v>1</v>
      </c>
      <c r="X20" s="14"/>
    </row>
    <row r="21" spans="1:25" ht="12.75" customHeight="1" x14ac:dyDescent="0.25">
      <c r="A21" s="15"/>
      <c r="B21" s="40" t="s">
        <v>2693</v>
      </c>
      <c r="C21" s="41">
        <f t="shared" si="0"/>
        <v>11</v>
      </c>
      <c r="D21" s="49">
        <v>0.3</v>
      </c>
      <c r="E21" s="43" t="s">
        <v>2683</v>
      </c>
      <c r="F21" s="44">
        <v>9000</v>
      </c>
      <c r="G21" s="45">
        <f t="shared" si="1"/>
        <v>29700</v>
      </c>
      <c r="H21" s="46">
        <f t="shared" si="2"/>
        <v>1.498248789306519E-2</v>
      </c>
      <c r="I21" s="11"/>
      <c r="J21" s="11"/>
      <c r="K21" s="37"/>
      <c r="L21" s="48"/>
      <c r="M21" s="48">
        <v>1</v>
      </c>
      <c r="N21" s="48">
        <v>1</v>
      </c>
      <c r="O21" s="48">
        <v>1</v>
      </c>
      <c r="P21" s="48">
        <v>1</v>
      </c>
      <c r="Q21" s="48">
        <v>1</v>
      </c>
      <c r="R21" s="48">
        <v>1</v>
      </c>
      <c r="S21" s="48">
        <v>1</v>
      </c>
      <c r="T21" s="48">
        <v>1</v>
      </c>
      <c r="U21" s="48">
        <v>1</v>
      </c>
      <c r="V21" s="48">
        <v>1</v>
      </c>
      <c r="W21" s="48">
        <v>1</v>
      </c>
      <c r="X21" s="14"/>
    </row>
    <row r="22" spans="1:25" ht="12.75" customHeight="1" x14ac:dyDescent="0.25">
      <c r="A22" s="15"/>
      <c r="B22" s="40" t="s">
        <v>2694</v>
      </c>
      <c r="C22" s="41">
        <f t="shared" si="0"/>
        <v>11.5</v>
      </c>
      <c r="D22" s="49">
        <v>1</v>
      </c>
      <c r="E22" s="43" t="s">
        <v>2683</v>
      </c>
      <c r="F22" s="44">
        <v>4500</v>
      </c>
      <c r="G22" s="45">
        <f t="shared" si="1"/>
        <v>51750</v>
      </c>
      <c r="H22" s="46">
        <f t="shared" si="2"/>
        <v>2.61058501167045E-2</v>
      </c>
      <c r="I22" s="11"/>
      <c r="J22" s="11"/>
      <c r="K22" s="37"/>
      <c r="L22" s="48"/>
      <c r="M22" s="48">
        <v>1</v>
      </c>
      <c r="N22" s="48">
        <v>1</v>
      </c>
      <c r="O22" s="48">
        <v>1</v>
      </c>
      <c r="P22" s="48">
        <v>1</v>
      </c>
      <c r="Q22" s="48">
        <v>1</v>
      </c>
      <c r="R22" s="48">
        <v>1</v>
      </c>
      <c r="S22" s="48">
        <v>1</v>
      </c>
      <c r="T22" s="48">
        <v>1</v>
      </c>
      <c r="U22" s="48">
        <v>1</v>
      </c>
      <c r="V22" s="48">
        <v>1</v>
      </c>
      <c r="W22" s="48">
        <v>1</v>
      </c>
      <c r="X22" s="48">
        <v>0.5</v>
      </c>
    </row>
    <row r="23" spans="1:25" ht="12.75" customHeight="1" x14ac:dyDescent="0.25">
      <c r="A23" s="15"/>
      <c r="B23" s="40" t="s">
        <v>2695</v>
      </c>
      <c r="C23" s="41">
        <f t="shared" si="0"/>
        <v>11</v>
      </c>
      <c r="D23" s="49">
        <v>1</v>
      </c>
      <c r="E23" s="43" t="s">
        <v>2683</v>
      </c>
      <c r="F23" s="44">
        <v>5700</v>
      </c>
      <c r="G23" s="45">
        <f t="shared" si="1"/>
        <v>62700</v>
      </c>
      <c r="H23" s="46">
        <f t="shared" si="2"/>
        <v>3.1629696663137627E-2</v>
      </c>
      <c r="I23" s="11"/>
      <c r="J23" s="11"/>
      <c r="K23" s="37"/>
      <c r="L23" s="48"/>
      <c r="M23" s="48">
        <v>1</v>
      </c>
      <c r="N23" s="48">
        <v>1</v>
      </c>
      <c r="O23" s="48">
        <v>1</v>
      </c>
      <c r="P23" s="48">
        <v>1</v>
      </c>
      <c r="Q23" s="48">
        <v>1</v>
      </c>
      <c r="R23" s="48">
        <v>1</v>
      </c>
      <c r="S23" s="48">
        <v>1</v>
      </c>
      <c r="T23" s="48">
        <v>1</v>
      </c>
      <c r="U23" s="48">
        <v>1</v>
      </c>
      <c r="V23" s="48">
        <v>1</v>
      </c>
      <c r="W23" s="48">
        <v>1</v>
      </c>
      <c r="X23" s="14"/>
    </row>
    <row r="24" spans="1:25" ht="12.75" customHeight="1" x14ac:dyDescent="0.25">
      <c r="A24" s="15"/>
      <c r="B24" s="40" t="s">
        <v>2696</v>
      </c>
      <c r="C24" s="41">
        <f t="shared" si="0"/>
        <v>8</v>
      </c>
      <c r="D24" s="49">
        <v>1</v>
      </c>
      <c r="E24" s="43" t="s">
        <v>2683</v>
      </c>
      <c r="F24" s="44">
        <v>3900</v>
      </c>
      <c r="G24" s="45">
        <f t="shared" si="1"/>
        <v>31200</v>
      </c>
      <c r="H24" s="46">
        <f t="shared" si="2"/>
        <v>1.5739179200795757E-2</v>
      </c>
      <c r="I24" s="11"/>
      <c r="J24" s="11"/>
      <c r="K24" s="37"/>
      <c r="L24" s="48"/>
      <c r="M24" s="48">
        <v>1</v>
      </c>
      <c r="N24" s="48">
        <v>1</v>
      </c>
      <c r="O24" s="48">
        <v>1</v>
      </c>
      <c r="P24" s="48">
        <v>1</v>
      </c>
      <c r="Q24" s="48">
        <v>1</v>
      </c>
      <c r="R24" s="48">
        <v>1</v>
      </c>
      <c r="S24" s="48">
        <v>1</v>
      </c>
      <c r="T24" s="48">
        <v>1</v>
      </c>
      <c r="U24" s="14"/>
      <c r="V24" s="14"/>
      <c r="W24" s="14"/>
      <c r="X24" s="14"/>
    </row>
    <row r="25" spans="1:25" ht="12.75" customHeight="1" x14ac:dyDescent="0.25">
      <c r="A25" s="15"/>
      <c r="B25" s="40" t="s">
        <v>2697</v>
      </c>
      <c r="C25" s="41">
        <f t="shared" si="0"/>
        <v>11</v>
      </c>
      <c r="D25" s="49">
        <v>1</v>
      </c>
      <c r="E25" s="43" t="s">
        <v>2683</v>
      </c>
      <c r="F25" s="44">
        <v>1500</v>
      </c>
      <c r="G25" s="45">
        <f t="shared" si="1"/>
        <v>16500</v>
      </c>
      <c r="H25" s="46">
        <f t="shared" si="2"/>
        <v>8.3236043850362165E-3</v>
      </c>
      <c r="I25" s="11"/>
      <c r="J25" s="11"/>
      <c r="K25" s="37"/>
      <c r="L25" s="48"/>
      <c r="M25" s="48">
        <v>1</v>
      </c>
      <c r="N25" s="48">
        <v>1</v>
      </c>
      <c r="O25" s="48">
        <v>1</v>
      </c>
      <c r="P25" s="48">
        <v>1</v>
      </c>
      <c r="Q25" s="48">
        <v>1</v>
      </c>
      <c r="R25" s="48">
        <v>1</v>
      </c>
      <c r="S25" s="48">
        <v>1</v>
      </c>
      <c r="T25" s="48">
        <v>1</v>
      </c>
      <c r="U25" s="48">
        <v>1</v>
      </c>
      <c r="V25" s="48">
        <v>1</v>
      </c>
      <c r="W25" s="48">
        <v>1</v>
      </c>
      <c r="X25" s="14"/>
    </row>
    <row r="26" spans="1:25" ht="12.75" customHeight="1" x14ac:dyDescent="0.25">
      <c r="A26" s="15"/>
      <c r="B26" s="40" t="s">
        <v>2698</v>
      </c>
      <c r="C26" s="41">
        <f t="shared" si="0"/>
        <v>11</v>
      </c>
      <c r="D26" s="49">
        <v>1</v>
      </c>
      <c r="E26" s="43" t="s">
        <v>2683</v>
      </c>
      <c r="F26" s="44">
        <v>4500</v>
      </c>
      <c r="G26" s="45">
        <f t="shared" si="1"/>
        <v>49500</v>
      </c>
      <c r="H26" s="46">
        <f t="shared" si="2"/>
        <v>2.4970813155108653E-2</v>
      </c>
      <c r="I26" s="11"/>
      <c r="J26" s="11"/>
      <c r="K26" s="37"/>
      <c r="L26" s="48"/>
      <c r="M26" s="48">
        <v>1</v>
      </c>
      <c r="N26" s="48">
        <v>1</v>
      </c>
      <c r="O26" s="48">
        <v>1</v>
      </c>
      <c r="P26" s="48">
        <v>1</v>
      </c>
      <c r="Q26" s="48">
        <v>1</v>
      </c>
      <c r="R26" s="48">
        <v>1</v>
      </c>
      <c r="S26" s="48">
        <v>1</v>
      </c>
      <c r="T26" s="48">
        <v>1</v>
      </c>
      <c r="U26" s="48">
        <v>1</v>
      </c>
      <c r="V26" s="48">
        <v>1</v>
      </c>
      <c r="W26" s="48">
        <v>1</v>
      </c>
      <c r="X26" s="14"/>
    </row>
    <row r="27" spans="1:25" ht="12.75" customHeight="1" x14ac:dyDescent="0.25">
      <c r="A27" s="15"/>
      <c r="B27" s="51" t="s">
        <v>2699</v>
      </c>
      <c r="C27" s="41">
        <f t="shared" si="0"/>
        <v>6</v>
      </c>
      <c r="D27" s="52">
        <v>1</v>
      </c>
      <c r="E27" s="43" t="s">
        <v>2683</v>
      </c>
      <c r="F27" s="44">
        <v>3900</v>
      </c>
      <c r="G27" s="45">
        <f t="shared" si="1"/>
        <v>23400</v>
      </c>
      <c r="H27" s="46">
        <f t="shared" si="2"/>
        <v>1.1804384400596817E-2</v>
      </c>
      <c r="I27" s="11"/>
      <c r="J27" s="11"/>
      <c r="K27" s="37"/>
      <c r="L27" s="39"/>
      <c r="M27" s="39"/>
      <c r="N27" s="39"/>
      <c r="O27" s="39"/>
      <c r="P27" s="39"/>
      <c r="Q27" s="39"/>
      <c r="R27" s="48">
        <v>1</v>
      </c>
      <c r="S27" s="48">
        <v>1</v>
      </c>
      <c r="T27" s="48">
        <v>1</v>
      </c>
      <c r="U27" s="48">
        <v>1</v>
      </c>
      <c r="V27" s="48">
        <v>1</v>
      </c>
      <c r="W27" s="48">
        <v>1</v>
      </c>
      <c r="X27" s="14"/>
    </row>
    <row r="28" spans="1:25" ht="12.75" customHeight="1" x14ac:dyDescent="0.25">
      <c r="A28" s="15"/>
      <c r="B28" s="53" t="s">
        <v>2700</v>
      </c>
      <c r="C28" s="27"/>
      <c r="D28" s="28"/>
      <c r="E28" s="27"/>
      <c r="F28" s="54"/>
      <c r="G28" s="55">
        <f>SUM(G11:G27)</f>
        <v>1380375</v>
      </c>
      <c r="H28" s="56">
        <f t="shared" si="2"/>
        <v>0.69634517593905265</v>
      </c>
      <c r="I28" s="11"/>
      <c r="J28" s="57"/>
      <c r="K28" s="13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58"/>
    </row>
    <row r="29" spans="1:25" ht="12.75" customHeight="1" x14ac:dyDescent="0.25">
      <c r="A29" s="15"/>
      <c r="B29" s="10"/>
      <c r="C29" s="10"/>
      <c r="D29" s="11"/>
      <c r="E29" s="10"/>
      <c r="F29" s="59"/>
      <c r="G29" s="11"/>
      <c r="H29" s="12"/>
      <c r="I29" s="11"/>
      <c r="J29" s="13"/>
      <c r="K29" s="13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58"/>
    </row>
    <row r="30" spans="1:25" ht="12.75" customHeight="1" x14ac:dyDescent="0.25">
      <c r="A30" s="15"/>
      <c r="B30" s="26" t="s">
        <v>2701</v>
      </c>
      <c r="C30" s="27"/>
      <c r="D30" s="28"/>
      <c r="E30" s="27"/>
      <c r="F30" s="60"/>
      <c r="G30" s="28"/>
      <c r="H30" s="29"/>
      <c r="I30" s="10"/>
      <c r="J30" s="61" t="s">
        <v>2702</v>
      </c>
      <c r="K30" s="111" t="s">
        <v>2703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5" ht="12.75" customHeight="1" x14ac:dyDescent="0.25">
      <c r="A31" s="15"/>
      <c r="B31" s="62" t="s">
        <v>2704</v>
      </c>
      <c r="C31" s="63">
        <f t="shared" ref="C31:C35" si="3">$C$11</f>
        <v>11</v>
      </c>
      <c r="D31" s="64">
        <v>1</v>
      </c>
      <c r="E31" s="33" t="s">
        <v>25</v>
      </c>
      <c r="F31" s="44">
        <v>500</v>
      </c>
      <c r="G31" s="45">
        <f t="shared" ref="G31:G35" si="4">+C31*D31*F31</f>
        <v>5500</v>
      </c>
      <c r="H31" s="46">
        <f t="shared" ref="H31:H36" si="5">+G31/G$62</f>
        <v>2.7745347950120726E-3</v>
      </c>
      <c r="I31" s="10"/>
      <c r="J31" s="61" t="s">
        <v>2705</v>
      </c>
      <c r="K31" s="112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"/>
    </row>
    <row r="32" spans="1:25" ht="12.75" customHeight="1" x14ac:dyDescent="0.25">
      <c r="A32" s="15"/>
      <c r="B32" s="40" t="s">
        <v>2706</v>
      </c>
      <c r="C32" s="63">
        <f t="shared" si="3"/>
        <v>11</v>
      </c>
      <c r="D32" s="65">
        <v>12</v>
      </c>
      <c r="E32" s="66" t="s">
        <v>25</v>
      </c>
      <c r="F32" s="44">
        <v>80</v>
      </c>
      <c r="G32" s="45">
        <f t="shared" si="4"/>
        <v>10560</v>
      </c>
      <c r="H32" s="46">
        <f t="shared" si="5"/>
        <v>5.327106806423179E-3</v>
      </c>
      <c r="I32" s="10"/>
      <c r="J32" s="67" t="s">
        <v>2707</v>
      </c>
      <c r="K32" s="68">
        <v>0.7</v>
      </c>
      <c r="L32" s="14" t="s">
        <v>2708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ht="12.75" customHeight="1" x14ac:dyDescent="0.25">
      <c r="A33" s="15"/>
      <c r="B33" s="40" t="s">
        <v>2709</v>
      </c>
      <c r="C33" s="63">
        <f t="shared" si="3"/>
        <v>11</v>
      </c>
      <c r="D33" s="65">
        <v>1</v>
      </c>
      <c r="E33" s="66" t="s">
        <v>25</v>
      </c>
      <c r="F33" s="44">
        <v>450</v>
      </c>
      <c r="G33" s="45">
        <f t="shared" si="4"/>
        <v>4950</v>
      </c>
      <c r="H33" s="46">
        <f t="shared" si="5"/>
        <v>2.4970813155108652E-3</v>
      </c>
      <c r="I33" s="10"/>
      <c r="J33" s="67" t="s">
        <v>2710</v>
      </c>
      <c r="K33" s="68">
        <v>1.2</v>
      </c>
      <c r="L33" s="14"/>
      <c r="M33" s="14" t="s">
        <v>2708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ht="12.75" customHeight="1" x14ac:dyDescent="0.25">
      <c r="A34" s="15"/>
      <c r="B34" s="40" t="s">
        <v>2711</v>
      </c>
      <c r="C34" s="63">
        <f t="shared" si="3"/>
        <v>11</v>
      </c>
      <c r="D34" s="65">
        <v>1</v>
      </c>
      <c r="E34" s="66" t="s">
        <v>25</v>
      </c>
      <c r="F34" s="44">
        <v>300</v>
      </c>
      <c r="G34" s="45">
        <f t="shared" si="4"/>
        <v>3300</v>
      </c>
      <c r="H34" s="46">
        <f t="shared" si="5"/>
        <v>1.6647208770072435E-3</v>
      </c>
      <c r="I34" s="10"/>
      <c r="J34" s="67" t="s">
        <v>2712</v>
      </c>
      <c r="K34" s="68">
        <v>2.8</v>
      </c>
      <c r="L34" s="14"/>
      <c r="M34" s="14"/>
      <c r="N34" s="14" t="s">
        <v>2708</v>
      </c>
      <c r="O34" s="14" t="s">
        <v>2708</v>
      </c>
      <c r="P34" s="14" t="s">
        <v>2708</v>
      </c>
      <c r="Q34" s="14"/>
      <c r="R34" s="14"/>
      <c r="S34" s="14"/>
      <c r="T34" s="14"/>
      <c r="U34" s="14"/>
      <c r="V34" s="14"/>
      <c r="W34" s="14"/>
      <c r="X34" s="14"/>
    </row>
    <row r="35" spans="1:24" ht="12.75" customHeight="1" x14ac:dyDescent="0.25">
      <c r="A35" s="15"/>
      <c r="B35" s="69" t="s">
        <v>2713</v>
      </c>
      <c r="C35" s="63">
        <f t="shared" si="3"/>
        <v>11</v>
      </c>
      <c r="D35" s="70">
        <v>1</v>
      </c>
      <c r="E35" s="71" t="s">
        <v>25</v>
      </c>
      <c r="F35" s="44">
        <v>500</v>
      </c>
      <c r="G35" s="45">
        <f t="shared" si="4"/>
        <v>5500</v>
      </c>
      <c r="H35" s="46">
        <f t="shared" si="5"/>
        <v>2.7745347950120726E-3</v>
      </c>
      <c r="I35" s="10"/>
      <c r="J35" s="67" t="s">
        <v>2714</v>
      </c>
      <c r="K35" s="68">
        <v>2.2999999999999998</v>
      </c>
      <c r="L35" s="14"/>
      <c r="M35" s="14"/>
      <c r="N35" s="14"/>
      <c r="O35" s="14"/>
      <c r="P35" s="14"/>
      <c r="Q35" s="14" t="s">
        <v>2708</v>
      </c>
      <c r="R35" s="14" t="s">
        <v>2708</v>
      </c>
      <c r="S35" s="14"/>
      <c r="T35" s="14"/>
      <c r="U35" s="14"/>
      <c r="V35" s="14"/>
      <c r="W35" s="14"/>
      <c r="X35" s="14"/>
    </row>
    <row r="36" spans="1:24" ht="12.75" customHeight="1" x14ac:dyDescent="0.25">
      <c r="A36" s="15"/>
      <c r="B36" s="53" t="s">
        <v>2700</v>
      </c>
      <c r="C36" s="27"/>
      <c r="D36" s="28"/>
      <c r="E36" s="27"/>
      <c r="F36" s="54"/>
      <c r="G36" s="55">
        <f>SUM(G31:G35)</f>
        <v>29810</v>
      </c>
      <c r="H36" s="56">
        <f t="shared" si="5"/>
        <v>1.5037978588965432E-2</v>
      </c>
      <c r="I36" s="10"/>
      <c r="J36" s="67" t="s">
        <v>2715</v>
      </c>
      <c r="K36" s="68">
        <v>4.5</v>
      </c>
      <c r="L36" s="14"/>
      <c r="M36" s="14"/>
      <c r="N36" s="14"/>
      <c r="O36" s="14"/>
      <c r="P36" s="14"/>
      <c r="Q36" s="14"/>
      <c r="R36" s="14"/>
      <c r="S36" s="14" t="s">
        <v>2708</v>
      </c>
      <c r="T36" s="14" t="s">
        <v>2708</v>
      </c>
      <c r="U36" s="14" t="s">
        <v>2708</v>
      </c>
      <c r="V36" s="14" t="s">
        <v>2708</v>
      </c>
      <c r="W36" s="14" t="s">
        <v>2708</v>
      </c>
      <c r="X36" s="14"/>
    </row>
    <row r="37" spans="1:24" ht="12.75" customHeight="1" x14ac:dyDescent="0.25">
      <c r="A37" s="15"/>
      <c r="B37" s="10"/>
      <c r="C37" s="10"/>
      <c r="D37" s="11"/>
      <c r="E37" s="10"/>
      <c r="F37" s="59"/>
      <c r="G37" s="11"/>
      <c r="H37" s="12"/>
      <c r="I37" s="10"/>
      <c r="J37" s="13"/>
      <c r="K37" s="1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2.75" customHeight="1" x14ac:dyDescent="0.25">
      <c r="A38" s="15"/>
      <c r="B38" s="26" t="s">
        <v>2716</v>
      </c>
      <c r="C38" s="27"/>
      <c r="D38" s="28"/>
      <c r="E38" s="27"/>
      <c r="F38" s="60"/>
      <c r="G38" s="28"/>
      <c r="H38" s="29"/>
      <c r="I38" s="10"/>
      <c r="J38" s="13"/>
      <c r="K38" s="1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ht="12.75" customHeight="1" x14ac:dyDescent="0.25">
      <c r="A39" s="15"/>
      <c r="B39" s="72" t="s">
        <v>2717</v>
      </c>
      <c r="C39" s="73">
        <f t="shared" ref="C39:C40" si="6">$C$11</f>
        <v>11</v>
      </c>
      <c r="D39" s="74">
        <v>12</v>
      </c>
      <c r="E39" s="75" t="s">
        <v>25</v>
      </c>
      <c r="F39" s="44">
        <v>170</v>
      </c>
      <c r="G39" s="45">
        <f t="shared" ref="G39:G40" si="7">+C39*D39*F39</f>
        <v>22440</v>
      </c>
      <c r="H39" s="46">
        <f t="shared" ref="H39:H40" si="8">+G39/G$62</f>
        <v>1.1320101963649255E-2</v>
      </c>
      <c r="I39" s="10"/>
      <c r="J39" s="13"/>
      <c r="K39" s="1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12.75" customHeight="1" x14ac:dyDescent="0.25">
      <c r="A40" s="15"/>
      <c r="B40" s="51" t="s">
        <v>2718</v>
      </c>
      <c r="C40" s="73">
        <f t="shared" si="6"/>
        <v>11</v>
      </c>
      <c r="D40" s="76">
        <v>1</v>
      </c>
      <c r="E40" s="77" t="s">
        <v>25</v>
      </c>
      <c r="F40" s="78">
        <v>800</v>
      </c>
      <c r="G40" s="45">
        <f t="shared" si="7"/>
        <v>8800</v>
      </c>
      <c r="H40" s="46">
        <f t="shared" si="8"/>
        <v>4.4392556720193157E-3</v>
      </c>
      <c r="I40" s="10"/>
      <c r="J40" s="13"/>
      <c r="K40" s="1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ht="12.75" customHeight="1" x14ac:dyDescent="0.25">
      <c r="A41" s="15"/>
      <c r="B41" s="53" t="s">
        <v>2700</v>
      </c>
      <c r="C41" s="27"/>
      <c r="D41" s="28"/>
      <c r="E41" s="27"/>
      <c r="F41" s="54"/>
      <c r="G41" s="55">
        <f t="shared" ref="G41:H41" si="9">SUM(G39:G40)</f>
        <v>31240</v>
      </c>
      <c r="H41" s="56">
        <f t="shared" si="9"/>
        <v>1.5759357635668571E-2</v>
      </c>
      <c r="I41" s="10"/>
      <c r="J41" s="13"/>
      <c r="K41" s="1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ht="12.75" customHeight="1" x14ac:dyDescent="0.25">
      <c r="A42" s="15"/>
      <c r="B42" s="79"/>
      <c r="C42" s="10"/>
      <c r="D42" s="11"/>
      <c r="E42" s="10"/>
      <c r="F42" s="80"/>
      <c r="G42" s="81"/>
      <c r="H42" s="12"/>
      <c r="I42" s="10"/>
      <c r="J42" s="13"/>
      <c r="K42" s="1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ht="12.75" customHeight="1" x14ac:dyDescent="0.25">
      <c r="A43" s="15"/>
      <c r="B43" s="26" t="s">
        <v>2719</v>
      </c>
      <c r="C43" s="82"/>
      <c r="D43" s="83"/>
      <c r="E43" s="82"/>
      <c r="F43" s="84"/>
      <c r="G43" s="83"/>
      <c r="H43" s="29"/>
      <c r="I43" s="10"/>
      <c r="J43" s="13"/>
      <c r="K43" s="1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ht="12.75" customHeight="1" x14ac:dyDescent="0.25">
      <c r="A44" s="15"/>
      <c r="B44" s="40" t="s">
        <v>2720</v>
      </c>
      <c r="C44" s="66">
        <v>1</v>
      </c>
      <c r="D44" s="65">
        <v>11160.93</v>
      </c>
      <c r="E44" s="66" t="s">
        <v>105</v>
      </c>
      <c r="F44" s="44">
        <v>10</v>
      </c>
      <c r="G44" s="45">
        <f t="shared" ref="G44:G46" si="10">+C44*D44*F44</f>
        <v>111609.3</v>
      </c>
      <c r="H44" s="46">
        <f t="shared" ref="H44:H46" si="11">+G44/G$62</f>
        <v>5.6302524781261985E-2</v>
      </c>
      <c r="I44" s="10"/>
      <c r="J44" s="57"/>
      <c r="K44" s="1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ht="12.75" customHeight="1" x14ac:dyDescent="0.25">
      <c r="A45" s="15"/>
      <c r="B45" s="40" t="s">
        <v>2721</v>
      </c>
      <c r="C45" s="63">
        <f>$C$11</f>
        <v>11</v>
      </c>
      <c r="D45" s="65">
        <v>60</v>
      </c>
      <c r="E45" s="66" t="s">
        <v>2722</v>
      </c>
      <c r="F45" s="44">
        <v>50</v>
      </c>
      <c r="G45" s="45">
        <f t="shared" si="10"/>
        <v>33000</v>
      </c>
      <c r="H45" s="46">
        <f t="shared" si="11"/>
        <v>1.6647208770072433E-2</v>
      </c>
      <c r="I45" s="10"/>
      <c r="J45" s="13"/>
      <c r="K45" s="1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ht="12.75" customHeight="1" x14ac:dyDescent="0.25">
      <c r="A46" s="15"/>
      <c r="B46" s="40" t="s">
        <v>2723</v>
      </c>
      <c r="C46" s="85">
        <v>2</v>
      </c>
      <c r="D46" s="65">
        <v>12</v>
      </c>
      <c r="E46" s="66" t="s">
        <v>2722</v>
      </c>
      <c r="F46" s="44">
        <v>120</v>
      </c>
      <c r="G46" s="45">
        <f t="shared" si="10"/>
        <v>2880</v>
      </c>
      <c r="H46" s="46">
        <f t="shared" si="11"/>
        <v>1.4528473108426853E-3</v>
      </c>
      <c r="I46" s="10"/>
      <c r="J46" s="13"/>
      <c r="K46" s="1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ht="12.75" customHeight="1" x14ac:dyDescent="0.25">
      <c r="A47" s="15"/>
      <c r="B47" s="53" t="s">
        <v>2700</v>
      </c>
      <c r="C47" s="82"/>
      <c r="D47" s="83"/>
      <c r="E47" s="82"/>
      <c r="F47" s="54"/>
      <c r="G47" s="55">
        <f t="shared" ref="G47:H47" si="12">SUM(G44:G46)</f>
        <v>147489.29999999999</v>
      </c>
      <c r="H47" s="56">
        <f t="shared" si="12"/>
        <v>7.4402580862177103E-2</v>
      </c>
      <c r="I47" s="10"/>
      <c r="J47" s="13"/>
      <c r="K47" s="13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ht="12.75" customHeight="1" x14ac:dyDescent="0.25">
      <c r="A48" s="15"/>
      <c r="B48" s="10"/>
      <c r="C48" s="10"/>
      <c r="D48" s="11"/>
      <c r="E48" s="10"/>
      <c r="F48" s="59"/>
      <c r="G48" s="11"/>
      <c r="H48" s="12"/>
      <c r="I48" s="10"/>
      <c r="J48" s="13"/>
      <c r="K48" s="13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ht="12.75" customHeight="1" x14ac:dyDescent="0.25">
      <c r="A49" s="15"/>
      <c r="B49" s="26" t="s">
        <v>2724</v>
      </c>
      <c r="C49" s="27"/>
      <c r="D49" s="28"/>
      <c r="E49" s="27"/>
      <c r="F49" s="60"/>
      <c r="G49" s="28"/>
      <c r="H49" s="86"/>
      <c r="I49" s="10"/>
      <c r="J49" s="13"/>
      <c r="K49" s="1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ht="12.75" customHeight="1" x14ac:dyDescent="0.25">
      <c r="A50" s="15"/>
      <c r="B50" s="62" t="s">
        <v>2725</v>
      </c>
      <c r="C50" s="87">
        <v>0.1</v>
      </c>
      <c r="D50" s="87">
        <v>2.5000000000000001E-2</v>
      </c>
      <c r="E50" s="88" t="s">
        <v>20</v>
      </c>
      <c r="F50" s="44">
        <v>68207.928789891637</v>
      </c>
      <c r="G50" s="45">
        <v>69000</v>
      </c>
      <c r="H50" s="46">
        <f t="shared" ref="H50:H55" si="13">+G50/G$62</f>
        <v>3.4807800155606E-2</v>
      </c>
      <c r="I50" s="10"/>
      <c r="J50" s="13"/>
      <c r="K50" s="13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ht="12.75" customHeight="1" x14ac:dyDescent="0.25">
      <c r="A51" s="15"/>
      <c r="B51" s="89" t="s">
        <v>2726</v>
      </c>
      <c r="C51" s="90">
        <v>0.1</v>
      </c>
      <c r="D51" s="90">
        <v>2.5000000000000001E-2</v>
      </c>
      <c r="E51" s="91" t="s">
        <v>20</v>
      </c>
      <c r="F51" s="44">
        <v>86810.091187134807</v>
      </c>
      <c r="G51" s="44">
        <v>88000</v>
      </c>
      <c r="H51" s="46">
        <f t="shared" si="13"/>
        <v>4.4392556720193162E-2</v>
      </c>
      <c r="I51" s="10"/>
      <c r="J51" s="13"/>
      <c r="K51" s="13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ht="12.75" customHeight="1" x14ac:dyDescent="0.25">
      <c r="A52" s="15"/>
      <c r="B52" s="89" t="s">
        <v>2727</v>
      </c>
      <c r="C52" s="90">
        <v>0</v>
      </c>
      <c r="D52" s="90">
        <v>2.5000000000000001E-2</v>
      </c>
      <c r="E52" s="91" t="s">
        <v>20</v>
      </c>
      <c r="F52" s="44">
        <v>0</v>
      </c>
      <c r="G52" s="44">
        <v>0</v>
      </c>
      <c r="H52" s="46">
        <f t="shared" si="13"/>
        <v>0</v>
      </c>
      <c r="I52" s="10"/>
      <c r="J52" s="13"/>
      <c r="K52" s="13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ht="12.75" customHeight="1" x14ac:dyDescent="0.25">
      <c r="A53" s="15"/>
      <c r="B53" s="40" t="s">
        <v>2728</v>
      </c>
      <c r="C53" s="66">
        <v>1.6000000000000001E-3</v>
      </c>
      <c r="D53" s="92">
        <v>1</v>
      </c>
      <c r="E53" s="93" t="s">
        <v>20</v>
      </c>
      <c r="F53" s="44">
        <v>47621.535736942518</v>
      </c>
      <c r="G53" s="45">
        <v>49000</v>
      </c>
      <c r="H53" s="46">
        <f t="shared" si="13"/>
        <v>2.4718582719198464E-2</v>
      </c>
      <c r="I53" s="10"/>
      <c r="J53" s="13"/>
      <c r="K53" s="13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ht="12.75" customHeight="1" x14ac:dyDescent="0.25">
      <c r="A54" s="15"/>
      <c r="B54" s="40" t="s">
        <v>2729</v>
      </c>
      <c r="C54" s="66">
        <v>2E-3</v>
      </c>
      <c r="D54" s="92">
        <v>1</v>
      </c>
      <c r="E54" s="93" t="s">
        <v>20</v>
      </c>
      <c r="F54" s="44">
        <v>59526.919671178148</v>
      </c>
      <c r="G54" s="45">
        <v>61000</v>
      </c>
      <c r="H54" s="46">
        <f t="shared" si="13"/>
        <v>3.0772113181042986E-2</v>
      </c>
      <c r="I54" s="10"/>
      <c r="J54" s="13"/>
      <c r="K54" s="13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ht="12.75" customHeight="1" x14ac:dyDescent="0.25">
      <c r="A55" s="15"/>
      <c r="B55" s="40" t="s">
        <v>2730</v>
      </c>
      <c r="C55" s="63">
        <f>$C$11</f>
        <v>11</v>
      </c>
      <c r="D55" s="92">
        <v>1</v>
      </c>
      <c r="E55" s="93" t="s">
        <v>20</v>
      </c>
      <c r="F55" s="44">
        <v>2400</v>
      </c>
      <c r="G55" s="45">
        <f>+C55*D55*F55</f>
        <v>26400</v>
      </c>
      <c r="H55" s="46">
        <f t="shared" si="13"/>
        <v>1.3317767016057948E-2</v>
      </c>
      <c r="I55" s="10"/>
      <c r="J55" s="13"/>
      <c r="K55" s="13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ht="12.75" customHeight="1" x14ac:dyDescent="0.25">
      <c r="A56" s="15"/>
      <c r="B56" s="53" t="s">
        <v>2700</v>
      </c>
      <c r="C56" s="27"/>
      <c r="D56" s="28"/>
      <c r="E56" s="27"/>
      <c r="F56" s="54"/>
      <c r="G56" s="55">
        <f t="shared" ref="G56:H56" si="14">SUM(G50:G55)</f>
        <v>293400</v>
      </c>
      <c r="H56" s="56">
        <f t="shared" si="14"/>
        <v>0.14800881979209854</v>
      </c>
      <c r="I56" s="10"/>
      <c r="J56" s="13"/>
      <c r="K56" s="13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ht="12.75" customHeight="1" x14ac:dyDescent="0.25">
      <c r="A57" s="15"/>
      <c r="B57" s="79"/>
      <c r="C57" s="10"/>
      <c r="D57" s="11"/>
      <c r="E57" s="10"/>
      <c r="F57" s="80"/>
      <c r="G57" s="81"/>
      <c r="H57" s="12"/>
      <c r="I57" s="10"/>
      <c r="J57" s="13"/>
      <c r="K57" s="13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ht="12.75" customHeight="1" x14ac:dyDescent="0.25">
      <c r="A58" s="15"/>
      <c r="B58" s="26" t="s">
        <v>2719</v>
      </c>
      <c r="C58" s="82"/>
      <c r="D58" s="83"/>
      <c r="E58" s="82"/>
      <c r="F58" s="84"/>
      <c r="G58" s="83"/>
      <c r="H58" s="29"/>
      <c r="I58" s="10"/>
      <c r="J58" s="13"/>
      <c r="K58" s="13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ht="12.75" customHeight="1" x14ac:dyDescent="0.25">
      <c r="A59" s="15"/>
      <c r="B59" s="40" t="s">
        <v>2731</v>
      </c>
      <c r="C59" s="63">
        <v>1</v>
      </c>
      <c r="D59" s="92">
        <v>1</v>
      </c>
      <c r="E59" s="66" t="s">
        <v>20</v>
      </c>
      <c r="F59" s="44">
        <v>100000</v>
      </c>
      <c r="G59" s="45">
        <f>+C59*D59*F59</f>
        <v>100000</v>
      </c>
      <c r="H59" s="46">
        <f>+G59/G$62</f>
        <v>5.0446087182037684E-2</v>
      </c>
      <c r="I59" s="10"/>
      <c r="J59" s="13"/>
      <c r="K59" s="13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ht="12.75" customHeight="1" x14ac:dyDescent="0.25">
      <c r="A60" s="15"/>
      <c r="B60" s="53" t="s">
        <v>2700</v>
      </c>
      <c r="C60" s="82"/>
      <c r="D60" s="83"/>
      <c r="E60" s="82"/>
      <c r="F60" s="54"/>
      <c r="G60" s="55">
        <f t="shared" ref="G60:H60" si="15">SUM(G59)</f>
        <v>100000</v>
      </c>
      <c r="H60" s="56">
        <f t="shared" si="15"/>
        <v>5.0446087182037684E-2</v>
      </c>
      <c r="I60" s="10"/>
      <c r="J60" s="13"/>
      <c r="K60" s="13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ht="12.75" customHeight="1" x14ac:dyDescent="0.25">
      <c r="A61" s="15"/>
      <c r="B61" s="10"/>
      <c r="C61" s="10"/>
      <c r="D61" s="11"/>
      <c r="E61" s="10"/>
      <c r="F61" s="59"/>
      <c r="G61" s="11"/>
      <c r="H61" s="12"/>
      <c r="I61" s="10"/>
      <c r="J61" s="13"/>
      <c r="K61" s="13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ht="12.75" customHeight="1" x14ac:dyDescent="0.25">
      <c r="A62" s="15"/>
      <c r="B62" s="53" t="s">
        <v>2732</v>
      </c>
      <c r="C62" s="94"/>
      <c r="D62" s="55"/>
      <c r="E62" s="94"/>
      <c r="F62" s="54"/>
      <c r="G62" s="95">
        <f t="shared" ref="G62:H62" si="16">G56+G47+G41+G36+G28+G60</f>
        <v>1982314.3</v>
      </c>
      <c r="H62" s="56">
        <f t="shared" si="16"/>
        <v>1</v>
      </c>
      <c r="I62" s="10"/>
      <c r="J62" s="13"/>
      <c r="K62" s="13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ht="12.75" customHeight="1" x14ac:dyDescent="0.25">
      <c r="A63" s="15"/>
      <c r="B63" s="79"/>
      <c r="C63" s="79"/>
      <c r="D63" s="81"/>
      <c r="E63" s="79"/>
      <c r="F63" s="96"/>
      <c r="G63" s="97"/>
      <c r="H63" s="97"/>
      <c r="I63" s="10"/>
      <c r="J63" s="13"/>
      <c r="K63" s="13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ht="12.75" customHeight="1" x14ac:dyDescent="0.25">
      <c r="A64" s="15"/>
      <c r="B64" s="98"/>
      <c r="C64" s="10"/>
      <c r="D64" s="11"/>
      <c r="E64" s="10"/>
      <c r="F64" s="11"/>
      <c r="G64" s="11"/>
      <c r="H64" s="12"/>
      <c r="I64" s="10"/>
      <c r="J64" s="13"/>
      <c r="K64" s="13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ht="12.75" customHeight="1" x14ac:dyDescent="0.25">
      <c r="A65" s="15"/>
      <c r="B65" s="10"/>
      <c r="C65" s="10"/>
      <c r="D65" s="11"/>
      <c r="E65" s="10"/>
      <c r="F65" s="11"/>
      <c r="G65" s="11"/>
      <c r="H65" s="12"/>
      <c r="I65" s="10"/>
      <c r="J65" s="13"/>
      <c r="K65" s="13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ht="12.75" customHeight="1" x14ac:dyDescent="0.25">
      <c r="A66" s="15"/>
      <c r="B66" s="10"/>
      <c r="C66" s="10"/>
      <c r="D66" s="11"/>
      <c r="E66" s="10"/>
      <c r="F66" s="11"/>
      <c r="G66" s="99"/>
      <c r="H66" s="99"/>
      <c r="I66" s="10"/>
      <c r="J66" s="13"/>
      <c r="K66" s="13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ht="12.75" customHeight="1" x14ac:dyDescent="0.25">
      <c r="A67" s="15"/>
      <c r="B67" s="10"/>
      <c r="C67" s="10"/>
      <c r="D67" s="11"/>
      <c r="E67" s="10"/>
      <c r="F67" s="11"/>
      <c r="G67" s="99"/>
      <c r="H67" s="12"/>
      <c r="I67" s="10"/>
      <c r="J67" s="13"/>
      <c r="K67" s="13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ht="12.75" customHeight="1" x14ac:dyDescent="0.25">
      <c r="A68" s="15"/>
      <c r="B68" s="10"/>
      <c r="C68" s="10"/>
      <c r="D68" s="11"/>
      <c r="E68" s="10"/>
      <c r="F68" s="11"/>
      <c r="G68" s="100"/>
      <c r="H68" s="12"/>
      <c r="I68" s="10"/>
      <c r="J68" s="13"/>
      <c r="K68" s="13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ht="12.75" customHeight="1" x14ac:dyDescent="0.25">
      <c r="A69" s="15"/>
      <c r="B69" s="10"/>
      <c r="C69" s="10"/>
      <c r="D69" s="11"/>
      <c r="E69" s="10"/>
      <c r="F69" s="11"/>
      <c r="G69" s="101"/>
      <c r="H69" s="12"/>
      <c r="I69" s="10"/>
      <c r="J69" s="13"/>
      <c r="K69" s="13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ht="12.75" customHeight="1" x14ac:dyDescent="0.25">
      <c r="A70" s="15"/>
      <c r="B70" s="10"/>
      <c r="C70" s="10"/>
      <c r="D70" s="11"/>
      <c r="E70" s="10"/>
      <c r="F70" s="11"/>
      <c r="G70" s="11"/>
      <c r="H70" s="12"/>
      <c r="I70" s="10"/>
      <c r="J70" s="13"/>
      <c r="K70" s="13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ht="12.75" customHeight="1" x14ac:dyDescent="0.25">
      <c r="A71" s="15"/>
      <c r="B71" s="10"/>
      <c r="C71" s="10"/>
      <c r="D71" s="11"/>
      <c r="E71" s="10"/>
      <c r="F71" s="11"/>
      <c r="G71" s="11"/>
      <c r="H71" s="12"/>
      <c r="I71" s="10"/>
      <c r="J71" s="13"/>
      <c r="K71" s="13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ht="12.75" customHeight="1" x14ac:dyDescent="0.25">
      <c r="A72" s="15"/>
      <c r="B72" s="10"/>
      <c r="C72" s="10"/>
      <c r="D72" s="11"/>
      <c r="E72" s="10"/>
      <c r="F72" s="11"/>
      <c r="G72" s="11"/>
      <c r="H72" s="12"/>
      <c r="I72" s="10"/>
      <c r="J72" s="13"/>
      <c r="K72" s="13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ht="12.75" customHeight="1" x14ac:dyDescent="0.25">
      <c r="A73" s="15"/>
      <c r="B73" s="10"/>
      <c r="C73" s="10"/>
      <c r="D73" s="11"/>
      <c r="E73" s="10"/>
      <c r="F73" s="11"/>
      <c r="G73" s="11"/>
      <c r="H73" s="12"/>
      <c r="I73" s="10"/>
      <c r="J73" s="13"/>
      <c r="K73" s="13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ht="12.75" customHeight="1" x14ac:dyDescent="0.25">
      <c r="A74" s="15"/>
      <c r="B74" s="10"/>
      <c r="C74" s="10"/>
      <c r="D74" s="11"/>
      <c r="E74" s="10"/>
      <c r="F74" s="11"/>
      <c r="G74" s="11"/>
      <c r="H74" s="12"/>
      <c r="I74" s="10"/>
      <c r="J74" s="13"/>
      <c r="K74" s="13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ht="12.75" customHeight="1" x14ac:dyDescent="0.25">
      <c r="A75" s="15"/>
      <c r="B75" s="10"/>
      <c r="C75" s="10"/>
      <c r="D75" s="11"/>
      <c r="E75" s="10"/>
      <c r="F75" s="11"/>
      <c r="G75" s="11"/>
      <c r="H75" s="12"/>
      <c r="I75" s="10"/>
      <c r="J75" s="13"/>
      <c r="K75" s="13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ht="12.75" customHeight="1" x14ac:dyDescent="0.25">
      <c r="A76" s="15"/>
      <c r="B76" s="10"/>
      <c r="C76" s="10"/>
      <c r="D76" s="11"/>
      <c r="E76" s="10"/>
      <c r="F76" s="11"/>
      <c r="G76" s="11"/>
      <c r="H76" s="12"/>
      <c r="I76" s="10"/>
      <c r="J76" s="13"/>
      <c r="K76" s="13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ht="12.75" customHeight="1" x14ac:dyDescent="0.25">
      <c r="A77" s="15"/>
      <c r="B77" s="10"/>
      <c r="C77" s="10"/>
      <c r="D77" s="11"/>
      <c r="E77" s="10"/>
      <c r="F77" s="11"/>
      <c r="G77" s="11"/>
      <c r="H77" s="12"/>
      <c r="I77" s="10"/>
      <c r="J77" s="13"/>
      <c r="K77" s="13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ht="12.75" customHeight="1" x14ac:dyDescent="0.25">
      <c r="A78" s="15"/>
      <c r="B78" s="10"/>
      <c r="C78" s="10"/>
      <c r="D78" s="11"/>
      <c r="E78" s="10"/>
      <c r="F78" s="11"/>
      <c r="G78" s="11"/>
      <c r="H78" s="12"/>
      <c r="I78" s="10"/>
      <c r="J78" s="13"/>
      <c r="K78" s="13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ht="12.75" customHeight="1" x14ac:dyDescent="0.25">
      <c r="A79" s="15"/>
      <c r="B79" s="10"/>
      <c r="C79" s="10"/>
      <c r="D79" s="11"/>
      <c r="E79" s="10"/>
      <c r="F79" s="11"/>
      <c r="G79" s="11"/>
      <c r="H79" s="12"/>
      <c r="I79" s="10"/>
      <c r="J79" s="13"/>
      <c r="K79" s="13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ht="12.75" customHeight="1" x14ac:dyDescent="0.25">
      <c r="A80" s="15"/>
      <c r="B80" s="10"/>
      <c r="C80" s="10"/>
      <c r="D80" s="11"/>
      <c r="E80" s="10"/>
      <c r="F80" s="11"/>
      <c r="G80" s="11"/>
      <c r="H80" s="12"/>
      <c r="I80" s="10"/>
      <c r="J80" s="13"/>
      <c r="K80" s="13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ht="12.75" customHeight="1" x14ac:dyDescent="0.25">
      <c r="A81" s="15"/>
      <c r="B81" s="10"/>
      <c r="C81" s="10"/>
      <c r="D81" s="11"/>
      <c r="E81" s="10"/>
      <c r="F81" s="11"/>
      <c r="G81" s="11"/>
      <c r="H81" s="12"/>
      <c r="I81" s="10"/>
      <c r="J81" s="13"/>
      <c r="K81" s="13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ht="12.75" customHeight="1" x14ac:dyDescent="0.25">
      <c r="A82" s="15"/>
      <c r="B82" s="10"/>
      <c r="C82" s="10"/>
      <c r="D82" s="11"/>
      <c r="E82" s="10"/>
      <c r="F82" s="11"/>
      <c r="G82" s="11"/>
      <c r="H82" s="12"/>
      <c r="I82" s="10"/>
      <c r="J82" s="13"/>
      <c r="K82" s="13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ht="12.75" customHeight="1" x14ac:dyDescent="0.25">
      <c r="A83" s="15"/>
      <c r="B83" s="10"/>
      <c r="C83" s="10"/>
      <c r="D83" s="11"/>
      <c r="E83" s="10"/>
      <c r="F83" s="11"/>
      <c r="G83" s="11"/>
      <c r="H83" s="12"/>
      <c r="I83" s="10"/>
      <c r="J83" s="13"/>
      <c r="K83" s="13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ht="12.75" customHeight="1" x14ac:dyDescent="0.25">
      <c r="A84" s="15"/>
      <c r="B84" s="10"/>
      <c r="C84" s="10"/>
      <c r="D84" s="11"/>
      <c r="E84" s="10"/>
      <c r="F84" s="11"/>
      <c r="G84" s="11"/>
      <c r="H84" s="12"/>
      <c r="I84" s="10"/>
      <c r="J84" s="13"/>
      <c r="K84" s="13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ht="12.75" customHeight="1" x14ac:dyDescent="0.25">
      <c r="A85" s="15"/>
      <c r="B85" s="10"/>
      <c r="C85" s="10"/>
      <c r="D85" s="11"/>
      <c r="E85" s="10"/>
      <c r="F85" s="11"/>
      <c r="G85" s="11"/>
      <c r="H85" s="12"/>
      <c r="I85" s="10"/>
      <c r="J85" s="13"/>
      <c r="K85" s="13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ht="12.75" customHeight="1" x14ac:dyDescent="0.25">
      <c r="A86" s="15"/>
      <c r="B86" s="10"/>
      <c r="C86" s="10"/>
      <c r="D86" s="11"/>
      <c r="E86" s="10"/>
      <c r="F86" s="11"/>
      <c r="G86" s="11"/>
      <c r="H86" s="12"/>
      <c r="I86" s="10"/>
      <c r="J86" s="13"/>
      <c r="K86" s="13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ht="12.75" customHeight="1" x14ac:dyDescent="0.25">
      <c r="A87" s="15"/>
      <c r="B87" s="10"/>
      <c r="C87" s="10"/>
      <c r="D87" s="11"/>
      <c r="E87" s="10"/>
      <c r="F87" s="11"/>
      <c r="G87" s="11"/>
      <c r="H87" s="12"/>
      <c r="I87" s="10"/>
      <c r="J87" s="13"/>
      <c r="K87" s="13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ht="12.75" customHeight="1" x14ac:dyDescent="0.25">
      <c r="A88" s="15"/>
      <c r="B88" s="10"/>
      <c r="C88" s="10"/>
      <c r="D88" s="11"/>
      <c r="E88" s="10"/>
      <c r="F88" s="11"/>
      <c r="G88" s="11"/>
      <c r="H88" s="12"/>
      <c r="I88" s="10"/>
      <c r="J88" s="13"/>
      <c r="K88" s="13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ht="12.75" customHeight="1" x14ac:dyDescent="0.25">
      <c r="A89" s="15"/>
      <c r="B89" s="10"/>
      <c r="C89" s="10"/>
      <c r="D89" s="11"/>
      <c r="E89" s="10"/>
      <c r="F89" s="11"/>
      <c r="G89" s="11"/>
      <c r="H89" s="12"/>
      <c r="I89" s="10"/>
      <c r="J89" s="13"/>
      <c r="K89" s="13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ht="12.75" customHeight="1" x14ac:dyDescent="0.25">
      <c r="A90" s="15"/>
      <c r="B90" s="10"/>
      <c r="C90" s="10"/>
      <c r="D90" s="11"/>
      <c r="E90" s="10"/>
      <c r="F90" s="11"/>
      <c r="G90" s="11"/>
      <c r="H90" s="12"/>
      <c r="I90" s="10"/>
      <c r="J90" s="13"/>
      <c r="K90" s="13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ht="12.75" customHeight="1" x14ac:dyDescent="0.25">
      <c r="A91" s="15"/>
      <c r="B91" s="10"/>
      <c r="C91" s="10"/>
      <c r="D91" s="11"/>
      <c r="E91" s="10"/>
      <c r="F91" s="11"/>
      <c r="G91" s="11"/>
      <c r="H91" s="12"/>
      <c r="I91" s="10"/>
      <c r="J91" s="13"/>
      <c r="K91" s="13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ht="12.75" customHeight="1" x14ac:dyDescent="0.25">
      <c r="A92" s="15"/>
      <c r="B92" s="10"/>
      <c r="C92" s="10"/>
      <c r="D92" s="11"/>
      <c r="E92" s="10"/>
      <c r="F92" s="11"/>
      <c r="G92" s="11"/>
      <c r="H92" s="12"/>
      <c r="I92" s="10"/>
      <c r="J92" s="13"/>
      <c r="K92" s="13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ht="12.75" customHeight="1" x14ac:dyDescent="0.25">
      <c r="A93" s="15"/>
      <c r="B93" s="10"/>
      <c r="C93" s="10"/>
      <c r="D93" s="11"/>
      <c r="E93" s="10"/>
      <c r="F93" s="11"/>
      <c r="G93" s="11"/>
      <c r="H93" s="12"/>
      <c r="I93" s="10"/>
      <c r="J93" s="13"/>
      <c r="K93" s="13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ht="12.75" customHeight="1" x14ac:dyDescent="0.25">
      <c r="A94" s="15"/>
      <c r="B94" s="10"/>
      <c r="C94" s="10"/>
      <c r="D94" s="11"/>
      <c r="E94" s="10"/>
      <c r="F94" s="11"/>
      <c r="G94" s="11"/>
      <c r="H94" s="12"/>
      <c r="I94" s="10"/>
      <c r="J94" s="13"/>
      <c r="K94" s="13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ht="12.75" customHeight="1" x14ac:dyDescent="0.25">
      <c r="A95" s="15"/>
      <c r="B95" s="10"/>
      <c r="C95" s="10"/>
      <c r="D95" s="11"/>
      <c r="E95" s="10"/>
      <c r="F95" s="11"/>
      <c r="G95" s="11"/>
      <c r="H95" s="12"/>
      <c r="I95" s="10"/>
      <c r="J95" s="13"/>
      <c r="K95" s="13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ht="12.75" customHeight="1" x14ac:dyDescent="0.25">
      <c r="A96" s="15"/>
      <c r="B96" s="10"/>
      <c r="C96" s="10"/>
      <c r="D96" s="11"/>
      <c r="E96" s="10"/>
      <c r="F96" s="11"/>
      <c r="G96" s="11"/>
      <c r="H96" s="12"/>
      <c r="I96" s="10"/>
      <c r="J96" s="13"/>
      <c r="K96" s="13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ht="12.75" customHeight="1" x14ac:dyDescent="0.25">
      <c r="A97" s="15"/>
      <c r="B97" s="10"/>
      <c r="C97" s="10"/>
      <c r="D97" s="11"/>
      <c r="E97" s="10"/>
      <c r="F97" s="11"/>
      <c r="G97" s="11"/>
      <c r="H97" s="12"/>
      <c r="I97" s="10"/>
      <c r="J97" s="13"/>
      <c r="K97" s="13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ht="12.75" customHeight="1" x14ac:dyDescent="0.25">
      <c r="A98" s="15"/>
      <c r="B98" s="10"/>
      <c r="C98" s="10"/>
      <c r="D98" s="11"/>
      <c r="E98" s="10"/>
      <c r="F98" s="11"/>
      <c r="G98" s="11"/>
      <c r="H98" s="12"/>
      <c r="I98" s="10"/>
      <c r="J98" s="13"/>
      <c r="K98" s="13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ht="12.75" customHeight="1" x14ac:dyDescent="0.25">
      <c r="A99" s="15"/>
      <c r="B99" s="10"/>
      <c r="C99" s="10"/>
      <c r="D99" s="11"/>
      <c r="E99" s="10"/>
      <c r="F99" s="11"/>
      <c r="G99" s="11"/>
      <c r="H99" s="12"/>
      <c r="I99" s="10"/>
      <c r="J99" s="13"/>
      <c r="K99" s="13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ht="12.75" customHeight="1" x14ac:dyDescent="0.25">
      <c r="A100" s="15"/>
      <c r="B100" s="10"/>
      <c r="C100" s="10"/>
      <c r="D100" s="11"/>
      <c r="E100" s="10"/>
      <c r="F100" s="11"/>
      <c r="G100" s="11"/>
      <c r="H100" s="12"/>
      <c r="I100" s="10"/>
      <c r="J100" s="13"/>
      <c r="K100" s="13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ht="12.75" customHeight="1" x14ac:dyDescent="0.25">
      <c r="A101" s="15"/>
      <c r="B101" s="10"/>
      <c r="C101" s="10"/>
      <c r="D101" s="11"/>
      <c r="E101" s="10"/>
      <c r="F101" s="11"/>
      <c r="G101" s="11"/>
      <c r="H101" s="12"/>
      <c r="I101" s="10"/>
      <c r="J101" s="13"/>
      <c r="K101" s="13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ht="12.75" customHeight="1" x14ac:dyDescent="0.25">
      <c r="A102" s="15"/>
      <c r="B102" s="10"/>
      <c r="C102" s="10"/>
      <c r="D102" s="11"/>
      <c r="E102" s="10"/>
      <c r="F102" s="11"/>
      <c r="G102" s="11"/>
      <c r="H102" s="12"/>
      <c r="I102" s="10"/>
      <c r="J102" s="13"/>
      <c r="K102" s="13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ht="12.75" customHeight="1" x14ac:dyDescent="0.25">
      <c r="A103" s="15"/>
      <c r="B103" s="10"/>
      <c r="C103" s="10"/>
      <c r="D103" s="11"/>
      <c r="E103" s="10"/>
      <c r="F103" s="11"/>
      <c r="G103" s="11"/>
      <c r="H103" s="12"/>
      <c r="I103" s="10"/>
      <c r="J103" s="13"/>
      <c r="K103" s="13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ht="12.75" customHeight="1" x14ac:dyDescent="0.25">
      <c r="A104" s="15"/>
      <c r="B104" s="10"/>
      <c r="C104" s="10"/>
      <c r="D104" s="11"/>
      <c r="E104" s="10"/>
      <c r="F104" s="11"/>
      <c r="G104" s="11"/>
      <c r="H104" s="12"/>
      <c r="I104" s="10"/>
      <c r="J104" s="13"/>
      <c r="K104" s="13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ht="12.75" customHeight="1" x14ac:dyDescent="0.25">
      <c r="A105" s="15"/>
      <c r="B105" s="10"/>
      <c r="C105" s="10"/>
      <c r="D105" s="11"/>
      <c r="E105" s="10"/>
      <c r="F105" s="11"/>
      <c r="G105" s="11"/>
      <c r="H105" s="12"/>
      <c r="I105" s="10"/>
      <c r="J105" s="13"/>
      <c r="K105" s="13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ht="12.75" customHeight="1" x14ac:dyDescent="0.25">
      <c r="A106" s="15"/>
      <c r="B106" s="10"/>
      <c r="C106" s="10"/>
      <c r="D106" s="11"/>
      <c r="E106" s="10"/>
      <c r="F106" s="11"/>
      <c r="G106" s="11"/>
      <c r="H106" s="12"/>
      <c r="I106" s="10"/>
      <c r="J106" s="13"/>
      <c r="K106" s="13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ht="12.75" customHeight="1" x14ac:dyDescent="0.25">
      <c r="A107" s="15"/>
      <c r="B107" s="10"/>
      <c r="C107" s="10"/>
      <c r="D107" s="11"/>
      <c r="E107" s="10"/>
      <c r="F107" s="11"/>
      <c r="G107" s="11"/>
      <c r="H107" s="12"/>
      <c r="I107" s="10"/>
      <c r="J107" s="13"/>
      <c r="K107" s="13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ht="12.75" customHeight="1" x14ac:dyDescent="0.25">
      <c r="A108" s="15"/>
      <c r="B108" s="10"/>
      <c r="C108" s="10"/>
      <c r="D108" s="11"/>
      <c r="E108" s="10"/>
      <c r="F108" s="11"/>
      <c r="G108" s="11"/>
      <c r="H108" s="12"/>
      <c r="I108" s="10"/>
      <c r="J108" s="13"/>
      <c r="K108" s="13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ht="12.75" customHeight="1" x14ac:dyDescent="0.25">
      <c r="A109" s="15"/>
      <c r="B109" s="10"/>
      <c r="C109" s="10"/>
      <c r="D109" s="11"/>
      <c r="E109" s="10"/>
      <c r="F109" s="11"/>
      <c r="G109" s="11"/>
      <c r="H109" s="12"/>
      <c r="I109" s="10"/>
      <c r="J109" s="13"/>
      <c r="K109" s="13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ht="12.75" customHeight="1" x14ac:dyDescent="0.25">
      <c r="A110" s="15"/>
      <c r="B110" s="10"/>
      <c r="C110" s="10"/>
      <c r="D110" s="11"/>
      <c r="E110" s="10"/>
      <c r="F110" s="11"/>
      <c r="G110" s="11"/>
      <c r="H110" s="12"/>
      <c r="I110" s="10"/>
      <c r="J110" s="13"/>
      <c r="K110" s="13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ht="12.75" customHeight="1" x14ac:dyDescent="0.25">
      <c r="A111" s="15"/>
      <c r="B111" s="10"/>
      <c r="C111" s="10"/>
      <c r="D111" s="11"/>
      <c r="E111" s="10"/>
      <c r="F111" s="11"/>
      <c r="G111" s="11"/>
      <c r="H111" s="12"/>
      <c r="I111" s="10"/>
      <c r="J111" s="13"/>
      <c r="K111" s="13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ht="12.75" customHeight="1" x14ac:dyDescent="0.25">
      <c r="A112" s="15"/>
      <c r="B112" s="10"/>
      <c r="C112" s="10"/>
      <c r="D112" s="11"/>
      <c r="E112" s="10"/>
      <c r="F112" s="11"/>
      <c r="G112" s="11"/>
      <c r="H112" s="12"/>
      <c r="I112" s="10"/>
      <c r="J112" s="13"/>
      <c r="K112" s="13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ht="12.75" customHeight="1" x14ac:dyDescent="0.25">
      <c r="A113" s="15"/>
      <c r="B113" s="10"/>
      <c r="C113" s="10"/>
      <c r="D113" s="11"/>
      <c r="E113" s="10"/>
      <c r="F113" s="11"/>
      <c r="G113" s="11"/>
      <c r="H113" s="12"/>
      <c r="I113" s="10"/>
      <c r="J113" s="13"/>
      <c r="K113" s="13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ht="12.75" customHeight="1" x14ac:dyDescent="0.25">
      <c r="A114" s="15"/>
      <c r="B114" s="10"/>
      <c r="C114" s="10"/>
      <c r="D114" s="11"/>
      <c r="E114" s="10"/>
      <c r="F114" s="11"/>
      <c r="G114" s="11"/>
      <c r="H114" s="12"/>
      <c r="I114" s="10"/>
      <c r="J114" s="13"/>
      <c r="K114" s="13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ht="12.75" customHeight="1" x14ac:dyDescent="0.25">
      <c r="A115" s="15"/>
      <c r="B115" s="10"/>
      <c r="C115" s="10"/>
      <c r="D115" s="11"/>
      <c r="E115" s="10"/>
      <c r="F115" s="11"/>
      <c r="G115" s="11"/>
      <c r="H115" s="12"/>
      <c r="I115" s="10"/>
      <c r="J115" s="13"/>
      <c r="K115" s="13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ht="12.75" customHeight="1" x14ac:dyDescent="0.25">
      <c r="A116" s="15"/>
      <c r="B116" s="10"/>
      <c r="C116" s="10"/>
      <c r="D116" s="11"/>
      <c r="E116" s="10"/>
      <c r="F116" s="11"/>
      <c r="G116" s="11"/>
      <c r="H116" s="12"/>
      <c r="I116" s="10"/>
      <c r="J116" s="13"/>
      <c r="K116" s="13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ht="12.75" customHeight="1" x14ac:dyDescent="0.25">
      <c r="A117" s="15"/>
      <c r="B117" s="10"/>
      <c r="C117" s="10"/>
      <c r="D117" s="11"/>
      <c r="E117" s="10"/>
      <c r="F117" s="11"/>
      <c r="G117" s="11"/>
      <c r="H117" s="12"/>
      <c r="I117" s="10"/>
      <c r="J117" s="13"/>
      <c r="K117" s="13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ht="12.75" customHeight="1" x14ac:dyDescent="0.25">
      <c r="A118" s="15"/>
      <c r="B118" s="10"/>
      <c r="C118" s="10"/>
      <c r="D118" s="11"/>
      <c r="E118" s="10"/>
      <c r="F118" s="11"/>
      <c r="G118" s="11"/>
      <c r="H118" s="12"/>
      <c r="I118" s="10"/>
      <c r="J118" s="13"/>
      <c r="K118" s="13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ht="12.75" customHeight="1" x14ac:dyDescent="0.25">
      <c r="A119" s="15"/>
      <c r="B119" s="10"/>
      <c r="C119" s="10"/>
      <c r="D119" s="11"/>
      <c r="E119" s="10"/>
      <c r="F119" s="11"/>
      <c r="G119" s="11"/>
      <c r="H119" s="12"/>
      <c r="I119" s="10"/>
      <c r="J119" s="13"/>
      <c r="K119" s="13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ht="12.75" customHeight="1" x14ac:dyDescent="0.25">
      <c r="A120" s="15"/>
      <c r="B120" s="10"/>
      <c r="C120" s="10"/>
      <c r="D120" s="11"/>
      <c r="E120" s="10"/>
      <c r="F120" s="11"/>
      <c r="G120" s="11"/>
      <c r="H120" s="12"/>
      <c r="I120" s="10"/>
      <c r="J120" s="13"/>
      <c r="K120" s="13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ht="12.75" customHeight="1" x14ac:dyDescent="0.25">
      <c r="A121" s="15"/>
      <c r="B121" s="10"/>
      <c r="C121" s="10"/>
      <c r="D121" s="11"/>
      <c r="E121" s="10"/>
      <c r="F121" s="11"/>
      <c r="G121" s="11"/>
      <c r="H121" s="12"/>
      <c r="I121" s="10"/>
      <c r="J121" s="13"/>
      <c r="K121" s="13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ht="12.75" customHeight="1" x14ac:dyDescent="0.25">
      <c r="A122" s="15"/>
      <c r="B122" s="10"/>
      <c r="C122" s="10"/>
      <c r="D122" s="11"/>
      <c r="E122" s="10"/>
      <c r="F122" s="11"/>
      <c r="G122" s="11"/>
      <c r="H122" s="12"/>
      <c r="I122" s="10"/>
      <c r="J122" s="13"/>
      <c r="K122" s="13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ht="12.75" customHeight="1" x14ac:dyDescent="0.25">
      <c r="A123" s="15"/>
      <c r="B123" s="10"/>
      <c r="C123" s="10"/>
      <c r="D123" s="11"/>
      <c r="E123" s="10"/>
      <c r="F123" s="11"/>
      <c r="G123" s="11"/>
      <c r="H123" s="12"/>
      <c r="I123" s="10"/>
      <c r="J123" s="13"/>
      <c r="K123" s="13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ht="12.75" customHeight="1" x14ac:dyDescent="0.25">
      <c r="A124" s="15"/>
      <c r="B124" s="10"/>
      <c r="C124" s="10"/>
      <c r="D124" s="11"/>
      <c r="E124" s="10"/>
      <c r="F124" s="11"/>
      <c r="G124" s="11"/>
      <c r="H124" s="12"/>
      <c r="I124" s="10"/>
      <c r="J124" s="13"/>
      <c r="K124" s="13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ht="12.75" customHeight="1" x14ac:dyDescent="0.25">
      <c r="A125" s="15"/>
      <c r="B125" s="10"/>
      <c r="C125" s="10"/>
      <c r="D125" s="11"/>
      <c r="E125" s="10"/>
      <c r="F125" s="11"/>
      <c r="G125" s="11"/>
      <c r="H125" s="12"/>
      <c r="I125" s="10"/>
      <c r="J125" s="13"/>
      <c r="K125" s="13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ht="12.75" customHeight="1" x14ac:dyDescent="0.25">
      <c r="A126" s="15"/>
      <c r="B126" s="10"/>
      <c r="C126" s="10"/>
      <c r="D126" s="11"/>
      <c r="E126" s="10"/>
      <c r="F126" s="11"/>
      <c r="G126" s="11"/>
      <c r="H126" s="12"/>
      <c r="I126" s="10"/>
      <c r="J126" s="13"/>
      <c r="K126" s="13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ht="12.75" customHeight="1" x14ac:dyDescent="0.25">
      <c r="A127" s="15"/>
      <c r="B127" s="10"/>
      <c r="C127" s="10"/>
      <c r="D127" s="11"/>
      <c r="E127" s="10"/>
      <c r="F127" s="11"/>
      <c r="G127" s="11"/>
      <c r="H127" s="12"/>
      <c r="I127" s="10"/>
      <c r="J127" s="13"/>
      <c r="K127" s="13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ht="12.75" customHeight="1" x14ac:dyDescent="0.25">
      <c r="A128" s="15"/>
      <c r="B128" s="10"/>
      <c r="C128" s="10"/>
      <c r="D128" s="11"/>
      <c r="E128" s="10"/>
      <c r="F128" s="11"/>
      <c r="G128" s="11"/>
      <c r="H128" s="12"/>
      <c r="I128" s="10"/>
      <c r="J128" s="13"/>
      <c r="K128" s="13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ht="12.75" customHeight="1" x14ac:dyDescent="0.25">
      <c r="A129" s="15"/>
      <c r="B129" s="10"/>
      <c r="C129" s="10"/>
      <c r="D129" s="11"/>
      <c r="E129" s="10"/>
      <c r="F129" s="11"/>
      <c r="G129" s="11"/>
      <c r="H129" s="12"/>
      <c r="I129" s="10"/>
      <c r="J129" s="13"/>
      <c r="K129" s="13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ht="12.75" customHeight="1" x14ac:dyDescent="0.25">
      <c r="A130" s="15"/>
      <c r="B130" s="10"/>
      <c r="C130" s="10"/>
      <c r="D130" s="11"/>
      <c r="E130" s="10"/>
      <c r="F130" s="11"/>
      <c r="G130" s="11"/>
      <c r="H130" s="12"/>
      <c r="I130" s="10"/>
      <c r="J130" s="13"/>
      <c r="K130" s="13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ht="12.75" customHeight="1" x14ac:dyDescent="0.25">
      <c r="A131" s="15"/>
      <c r="B131" s="10"/>
      <c r="C131" s="10"/>
      <c r="D131" s="11"/>
      <c r="E131" s="10"/>
      <c r="F131" s="11"/>
      <c r="G131" s="11"/>
      <c r="H131" s="12"/>
      <c r="I131" s="10"/>
      <c r="J131" s="13"/>
      <c r="K131" s="13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ht="12.75" customHeight="1" x14ac:dyDescent="0.25">
      <c r="A132" s="15"/>
      <c r="B132" s="10"/>
      <c r="C132" s="10"/>
      <c r="D132" s="11"/>
      <c r="E132" s="10"/>
      <c r="F132" s="11"/>
      <c r="G132" s="11"/>
      <c r="H132" s="12"/>
      <c r="I132" s="10"/>
      <c r="J132" s="13"/>
      <c r="K132" s="13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ht="12.75" customHeight="1" x14ac:dyDescent="0.25">
      <c r="A133" s="15"/>
      <c r="B133" s="10"/>
      <c r="C133" s="10"/>
      <c r="D133" s="11"/>
      <c r="E133" s="10"/>
      <c r="F133" s="11"/>
      <c r="G133" s="11"/>
      <c r="H133" s="12"/>
      <c r="I133" s="10"/>
      <c r="J133" s="13"/>
      <c r="K133" s="13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ht="12.75" customHeight="1" x14ac:dyDescent="0.25">
      <c r="A134" s="15"/>
      <c r="B134" s="10"/>
      <c r="C134" s="10"/>
      <c r="D134" s="11"/>
      <c r="E134" s="10"/>
      <c r="F134" s="11"/>
      <c r="G134" s="11"/>
      <c r="H134" s="12"/>
      <c r="I134" s="10"/>
      <c r="J134" s="13"/>
      <c r="K134" s="13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ht="12.75" customHeight="1" x14ac:dyDescent="0.25">
      <c r="A135" s="15"/>
      <c r="B135" s="10"/>
      <c r="C135" s="10"/>
      <c r="D135" s="11"/>
      <c r="E135" s="10"/>
      <c r="F135" s="11"/>
      <c r="G135" s="11"/>
      <c r="H135" s="12"/>
      <c r="I135" s="10"/>
      <c r="J135" s="13"/>
      <c r="K135" s="13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ht="12.75" customHeight="1" x14ac:dyDescent="0.25">
      <c r="A136" s="15"/>
      <c r="B136" s="10"/>
      <c r="C136" s="10"/>
      <c r="D136" s="11"/>
      <c r="E136" s="10"/>
      <c r="F136" s="11"/>
      <c r="G136" s="11"/>
      <c r="H136" s="12"/>
      <c r="I136" s="10"/>
      <c r="J136" s="13"/>
      <c r="K136" s="13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ht="12.75" customHeight="1" x14ac:dyDescent="0.25">
      <c r="A137" s="15"/>
      <c r="B137" s="10"/>
      <c r="C137" s="10"/>
      <c r="D137" s="11"/>
      <c r="E137" s="10"/>
      <c r="F137" s="11"/>
      <c r="G137" s="11"/>
      <c r="H137" s="12"/>
      <c r="I137" s="10"/>
      <c r="J137" s="13"/>
      <c r="K137" s="13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ht="12.75" customHeight="1" x14ac:dyDescent="0.25">
      <c r="A138" s="15"/>
      <c r="B138" s="10"/>
      <c r="C138" s="10"/>
      <c r="D138" s="11"/>
      <c r="E138" s="10"/>
      <c r="F138" s="11"/>
      <c r="G138" s="11"/>
      <c r="H138" s="12"/>
      <c r="I138" s="10"/>
      <c r="J138" s="13"/>
      <c r="K138" s="13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ht="12.75" customHeight="1" x14ac:dyDescent="0.25">
      <c r="A139" s="15"/>
      <c r="B139" s="10"/>
      <c r="C139" s="10"/>
      <c r="D139" s="11"/>
      <c r="E139" s="10"/>
      <c r="F139" s="11"/>
      <c r="G139" s="11"/>
      <c r="H139" s="12"/>
      <c r="I139" s="10"/>
      <c r="J139" s="13"/>
      <c r="K139" s="13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ht="12.75" customHeight="1" x14ac:dyDescent="0.25">
      <c r="A140" s="15"/>
      <c r="B140" s="10"/>
      <c r="C140" s="10"/>
      <c r="D140" s="11"/>
      <c r="E140" s="10"/>
      <c r="F140" s="11"/>
      <c r="G140" s="11"/>
      <c r="H140" s="12"/>
      <c r="I140" s="10"/>
      <c r="J140" s="13"/>
      <c r="K140" s="13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1:24" ht="12.75" customHeight="1" x14ac:dyDescent="0.25">
      <c r="A141" s="15"/>
      <c r="B141" s="10"/>
      <c r="C141" s="10"/>
      <c r="D141" s="11"/>
      <c r="E141" s="10"/>
      <c r="F141" s="11"/>
      <c r="G141" s="11"/>
      <c r="H141" s="12"/>
      <c r="I141" s="10"/>
      <c r="J141" s="13"/>
      <c r="K141" s="13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1:24" ht="12.75" customHeight="1" x14ac:dyDescent="0.25">
      <c r="A142" s="15"/>
      <c r="B142" s="10"/>
      <c r="C142" s="10"/>
      <c r="D142" s="11"/>
      <c r="E142" s="10"/>
      <c r="F142" s="11"/>
      <c r="G142" s="11"/>
      <c r="H142" s="12"/>
      <c r="I142" s="10"/>
      <c r="J142" s="13"/>
      <c r="K142" s="13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4" ht="12.75" customHeight="1" x14ac:dyDescent="0.25">
      <c r="A143" s="15"/>
      <c r="B143" s="10"/>
      <c r="C143" s="10"/>
      <c r="D143" s="11"/>
      <c r="E143" s="10"/>
      <c r="F143" s="11"/>
      <c r="G143" s="11"/>
      <c r="H143" s="12"/>
      <c r="I143" s="10"/>
      <c r="J143" s="13"/>
      <c r="K143" s="13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 ht="12.75" customHeight="1" x14ac:dyDescent="0.25">
      <c r="A144" s="15"/>
      <c r="B144" s="10"/>
      <c r="C144" s="10"/>
      <c r="D144" s="11"/>
      <c r="E144" s="10"/>
      <c r="F144" s="11"/>
      <c r="G144" s="11"/>
      <c r="H144" s="12"/>
      <c r="I144" s="10"/>
      <c r="J144" s="13"/>
      <c r="K144" s="13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1:24" ht="12.75" customHeight="1" x14ac:dyDescent="0.25">
      <c r="A145" s="15"/>
      <c r="B145" s="10"/>
      <c r="C145" s="10"/>
      <c r="D145" s="11"/>
      <c r="E145" s="10"/>
      <c r="F145" s="11"/>
      <c r="G145" s="11"/>
      <c r="H145" s="12"/>
      <c r="I145" s="10"/>
      <c r="J145" s="13"/>
      <c r="K145" s="13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1:24" ht="12.75" customHeight="1" x14ac:dyDescent="0.25">
      <c r="A146" s="15"/>
      <c r="B146" s="10"/>
      <c r="C146" s="10"/>
      <c r="D146" s="11"/>
      <c r="E146" s="10"/>
      <c r="F146" s="11"/>
      <c r="G146" s="11"/>
      <c r="H146" s="12"/>
      <c r="I146" s="10"/>
      <c r="J146" s="13"/>
      <c r="K146" s="13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1:24" ht="12.75" customHeight="1" x14ac:dyDescent="0.25">
      <c r="A147" s="15"/>
      <c r="B147" s="10"/>
      <c r="C147" s="10"/>
      <c r="D147" s="11"/>
      <c r="E147" s="10"/>
      <c r="F147" s="11"/>
      <c r="G147" s="11"/>
      <c r="H147" s="12"/>
      <c r="I147" s="10"/>
      <c r="J147" s="13"/>
      <c r="K147" s="13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1:24" ht="12.75" customHeight="1" x14ac:dyDescent="0.25">
      <c r="A148" s="15"/>
      <c r="B148" s="10"/>
      <c r="C148" s="10"/>
      <c r="D148" s="11"/>
      <c r="E148" s="10"/>
      <c r="F148" s="11"/>
      <c r="G148" s="11"/>
      <c r="H148" s="12"/>
      <c r="I148" s="10"/>
      <c r="J148" s="13"/>
      <c r="K148" s="13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1:24" ht="12.75" customHeight="1" x14ac:dyDescent="0.25">
      <c r="A149" s="15"/>
      <c r="B149" s="10"/>
      <c r="C149" s="10"/>
      <c r="D149" s="11"/>
      <c r="E149" s="10"/>
      <c r="F149" s="11"/>
      <c r="G149" s="11"/>
      <c r="H149" s="12"/>
      <c r="I149" s="10"/>
      <c r="J149" s="13"/>
      <c r="K149" s="13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1:24" ht="12.75" customHeight="1" x14ac:dyDescent="0.25">
      <c r="A150" s="15"/>
      <c r="B150" s="10"/>
      <c r="C150" s="10"/>
      <c r="D150" s="11"/>
      <c r="E150" s="10"/>
      <c r="F150" s="11"/>
      <c r="G150" s="11"/>
      <c r="H150" s="12"/>
      <c r="I150" s="10"/>
      <c r="J150" s="13"/>
      <c r="K150" s="13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1:24" ht="12.75" customHeight="1" x14ac:dyDescent="0.25">
      <c r="A151" s="15"/>
      <c r="B151" s="10"/>
      <c r="C151" s="10"/>
      <c r="D151" s="11"/>
      <c r="E151" s="10"/>
      <c r="F151" s="11"/>
      <c r="G151" s="11"/>
      <c r="H151" s="12"/>
      <c r="I151" s="10"/>
      <c r="J151" s="13"/>
      <c r="K151" s="13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 ht="12.75" customHeight="1" x14ac:dyDescent="0.25">
      <c r="A152" s="15"/>
      <c r="B152" s="10"/>
      <c r="C152" s="10"/>
      <c r="D152" s="11"/>
      <c r="E152" s="10"/>
      <c r="F152" s="11"/>
      <c r="G152" s="11"/>
      <c r="H152" s="12"/>
      <c r="I152" s="10"/>
      <c r="J152" s="13"/>
      <c r="K152" s="13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 ht="12.75" customHeight="1" x14ac:dyDescent="0.25">
      <c r="A153" s="15"/>
      <c r="B153" s="10"/>
      <c r="C153" s="10"/>
      <c r="D153" s="11"/>
      <c r="E153" s="10"/>
      <c r="F153" s="11"/>
      <c r="G153" s="11"/>
      <c r="H153" s="12"/>
      <c r="I153" s="10"/>
      <c r="J153" s="13"/>
      <c r="K153" s="13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1:24" ht="12.75" customHeight="1" x14ac:dyDescent="0.25">
      <c r="A154" s="15"/>
      <c r="B154" s="10"/>
      <c r="C154" s="10"/>
      <c r="D154" s="11"/>
      <c r="E154" s="10"/>
      <c r="F154" s="11"/>
      <c r="G154" s="11"/>
      <c r="H154" s="12"/>
      <c r="I154" s="10"/>
      <c r="J154" s="13"/>
      <c r="K154" s="13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1:24" ht="12.75" customHeight="1" x14ac:dyDescent="0.25">
      <c r="A155" s="15"/>
      <c r="B155" s="10"/>
      <c r="C155" s="10"/>
      <c r="D155" s="11"/>
      <c r="E155" s="10"/>
      <c r="F155" s="11"/>
      <c r="G155" s="11"/>
      <c r="H155" s="12"/>
      <c r="I155" s="10"/>
      <c r="J155" s="13"/>
      <c r="K155" s="13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1:24" ht="12.75" customHeight="1" x14ac:dyDescent="0.25">
      <c r="A156" s="15"/>
      <c r="B156" s="10"/>
      <c r="C156" s="10"/>
      <c r="D156" s="11"/>
      <c r="E156" s="10"/>
      <c r="F156" s="11"/>
      <c r="G156" s="11"/>
      <c r="H156" s="12"/>
      <c r="I156" s="10"/>
      <c r="J156" s="13"/>
      <c r="K156" s="13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 ht="12.75" customHeight="1" x14ac:dyDescent="0.25">
      <c r="A157" s="15"/>
      <c r="B157" s="10"/>
      <c r="C157" s="10"/>
      <c r="D157" s="11"/>
      <c r="E157" s="10"/>
      <c r="F157" s="11"/>
      <c r="G157" s="11"/>
      <c r="H157" s="12"/>
      <c r="I157" s="10"/>
      <c r="J157" s="13"/>
      <c r="K157" s="13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1:24" ht="12.75" customHeight="1" x14ac:dyDescent="0.25">
      <c r="A158" s="15"/>
      <c r="B158" s="10"/>
      <c r="C158" s="10"/>
      <c r="D158" s="11"/>
      <c r="E158" s="10"/>
      <c r="F158" s="11"/>
      <c r="G158" s="11"/>
      <c r="H158" s="12"/>
      <c r="I158" s="10"/>
      <c r="J158" s="13"/>
      <c r="K158" s="13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1:24" ht="12.75" customHeight="1" x14ac:dyDescent="0.25">
      <c r="A159" s="15"/>
      <c r="B159" s="10"/>
      <c r="C159" s="10"/>
      <c r="D159" s="11"/>
      <c r="E159" s="10"/>
      <c r="F159" s="11"/>
      <c r="G159" s="11"/>
      <c r="H159" s="12"/>
      <c r="I159" s="10"/>
      <c r="J159" s="13"/>
      <c r="K159" s="13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 ht="12.75" customHeight="1" x14ac:dyDescent="0.25">
      <c r="A160" s="15"/>
      <c r="B160" s="10"/>
      <c r="C160" s="10"/>
      <c r="D160" s="11"/>
      <c r="E160" s="10"/>
      <c r="F160" s="11"/>
      <c r="G160" s="11"/>
      <c r="H160" s="12"/>
      <c r="I160" s="10"/>
      <c r="J160" s="13"/>
      <c r="K160" s="13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 ht="12.75" customHeight="1" x14ac:dyDescent="0.25">
      <c r="A161" s="15"/>
      <c r="B161" s="10"/>
      <c r="C161" s="10"/>
      <c r="D161" s="11"/>
      <c r="E161" s="10"/>
      <c r="F161" s="11"/>
      <c r="G161" s="11"/>
      <c r="H161" s="12"/>
      <c r="I161" s="10"/>
      <c r="J161" s="13"/>
      <c r="K161" s="13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1:24" ht="12.75" customHeight="1" x14ac:dyDescent="0.25">
      <c r="A162" s="15"/>
      <c r="B162" s="10"/>
      <c r="C162" s="10"/>
      <c r="D162" s="11"/>
      <c r="E162" s="10"/>
      <c r="F162" s="11"/>
      <c r="G162" s="11"/>
      <c r="H162" s="12"/>
      <c r="I162" s="10"/>
      <c r="J162" s="13"/>
      <c r="K162" s="13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 ht="12.75" customHeight="1" x14ac:dyDescent="0.25">
      <c r="A163" s="15"/>
      <c r="B163" s="10"/>
      <c r="C163" s="10"/>
      <c r="D163" s="11"/>
      <c r="E163" s="10"/>
      <c r="F163" s="11"/>
      <c r="G163" s="11"/>
      <c r="H163" s="12"/>
      <c r="I163" s="10"/>
      <c r="J163" s="13"/>
      <c r="K163" s="13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1:24" ht="12.75" customHeight="1" x14ac:dyDescent="0.25">
      <c r="A164" s="15"/>
      <c r="B164" s="10"/>
      <c r="C164" s="10"/>
      <c r="D164" s="11"/>
      <c r="E164" s="10"/>
      <c r="F164" s="11"/>
      <c r="G164" s="11"/>
      <c r="H164" s="12"/>
      <c r="I164" s="10"/>
      <c r="J164" s="13"/>
      <c r="K164" s="13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 ht="12.75" customHeight="1" x14ac:dyDescent="0.25">
      <c r="A165" s="15"/>
      <c r="B165" s="10"/>
      <c r="C165" s="10"/>
      <c r="D165" s="11"/>
      <c r="E165" s="10"/>
      <c r="F165" s="11"/>
      <c r="G165" s="11"/>
      <c r="H165" s="12"/>
      <c r="I165" s="10"/>
      <c r="J165" s="13"/>
      <c r="K165" s="13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1:24" ht="12.75" customHeight="1" x14ac:dyDescent="0.25">
      <c r="A166" s="15"/>
      <c r="B166" s="10"/>
      <c r="C166" s="10"/>
      <c r="D166" s="11"/>
      <c r="E166" s="10"/>
      <c r="F166" s="11"/>
      <c r="G166" s="11"/>
      <c r="H166" s="12"/>
      <c r="I166" s="10"/>
      <c r="J166" s="13"/>
      <c r="K166" s="13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1:24" ht="12.75" customHeight="1" x14ac:dyDescent="0.25">
      <c r="A167" s="15"/>
      <c r="B167" s="10"/>
      <c r="C167" s="10"/>
      <c r="D167" s="11"/>
      <c r="E167" s="10"/>
      <c r="F167" s="11"/>
      <c r="G167" s="11"/>
      <c r="H167" s="12"/>
      <c r="I167" s="10"/>
      <c r="J167" s="13"/>
      <c r="K167" s="13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1:24" ht="12.75" customHeight="1" x14ac:dyDescent="0.25">
      <c r="A168" s="15"/>
      <c r="B168" s="10"/>
      <c r="C168" s="10"/>
      <c r="D168" s="11"/>
      <c r="E168" s="10"/>
      <c r="F168" s="11"/>
      <c r="G168" s="11"/>
      <c r="H168" s="12"/>
      <c r="I168" s="10"/>
      <c r="J168" s="13"/>
      <c r="K168" s="13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 ht="12.75" customHeight="1" x14ac:dyDescent="0.25">
      <c r="A169" s="15"/>
      <c r="B169" s="10"/>
      <c r="C169" s="10"/>
      <c r="D169" s="11"/>
      <c r="E169" s="10"/>
      <c r="F169" s="11"/>
      <c r="G169" s="11"/>
      <c r="H169" s="12"/>
      <c r="I169" s="10"/>
      <c r="J169" s="13"/>
      <c r="K169" s="13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1:24" ht="12.75" customHeight="1" x14ac:dyDescent="0.25">
      <c r="A170" s="15"/>
      <c r="B170" s="10"/>
      <c r="C170" s="10"/>
      <c r="D170" s="11"/>
      <c r="E170" s="10"/>
      <c r="F170" s="11"/>
      <c r="G170" s="11"/>
      <c r="H170" s="12"/>
      <c r="I170" s="10"/>
      <c r="J170" s="13"/>
      <c r="K170" s="13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4" ht="12.75" customHeight="1" x14ac:dyDescent="0.25">
      <c r="A171" s="15"/>
      <c r="B171" s="10"/>
      <c r="C171" s="10"/>
      <c r="D171" s="11"/>
      <c r="E171" s="10"/>
      <c r="F171" s="11"/>
      <c r="G171" s="11"/>
      <c r="H171" s="12"/>
      <c r="I171" s="10"/>
      <c r="J171" s="13"/>
      <c r="K171" s="13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1:24" ht="12.75" customHeight="1" x14ac:dyDescent="0.25">
      <c r="A172" s="15"/>
      <c r="B172" s="10"/>
      <c r="C172" s="10"/>
      <c r="D172" s="11"/>
      <c r="E172" s="10"/>
      <c r="F172" s="11"/>
      <c r="G172" s="11"/>
      <c r="H172" s="12"/>
      <c r="I172" s="10"/>
      <c r="J172" s="13"/>
      <c r="K172" s="13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 ht="12.75" customHeight="1" x14ac:dyDescent="0.25">
      <c r="A173" s="15"/>
      <c r="B173" s="10"/>
      <c r="C173" s="10"/>
      <c r="D173" s="11"/>
      <c r="E173" s="10"/>
      <c r="F173" s="11"/>
      <c r="G173" s="11"/>
      <c r="H173" s="12"/>
      <c r="I173" s="10"/>
      <c r="J173" s="13"/>
      <c r="K173" s="13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1:24" ht="12.75" customHeight="1" x14ac:dyDescent="0.25">
      <c r="A174" s="15"/>
      <c r="B174" s="10"/>
      <c r="C174" s="10"/>
      <c r="D174" s="11"/>
      <c r="E174" s="10"/>
      <c r="F174" s="11"/>
      <c r="G174" s="11"/>
      <c r="H174" s="12"/>
      <c r="I174" s="10"/>
      <c r="J174" s="13"/>
      <c r="K174" s="13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 ht="12.75" customHeight="1" x14ac:dyDescent="0.25">
      <c r="A175" s="15"/>
      <c r="B175" s="10"/>
      <c r="C175" s="10"/>
      <c r="D175" s="11"/>
      <c r="E175" s="10"/>
      <c r="F175" s="11"/>
      <c r="G175" s="11"/>
      <c r="H175" s="12"/>
      <c r="I175" s="10"/>
      <c r="J175" s="13"/>
      <c r="K175" s="13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 ht="12.75" customHeight="1" x14ac:dyDescent="0.25">
      <c r="A176" s="15"/>
      <c r="B176" s="10"/>
      <c r="C176" s="10"/>
      <c r="D176" s="11"/>
      <c r="E176" s="10"/>
      <c r="F176" s="11"/>
      <c r="G176" s="11"/>
      <c r="H176" s="12"/>
      <c r="I176" s="10"/>
      <c r="J176" s="13"/>
      <c r="K176" s="13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4" ht="12.75" customHeight="1" x14ac:dyDescent="0.25">
      <c r="A177" s="15"/>
      <c r="B177" s="10"/>
      <c r="C177" s="10"/>
      <c r="D177" s="11"/>
      <c r="E177" s="10"/>
      <c r="F177" s="11"/>
      <c r="G177" s="11"/>
      <c r="H177" s="12"/>
      <c r="I177" s="10"/>
      <c r="J177" s="13"/>
      <c r="K177" s="13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4" ht="12.75" customHeight="1" x14ac:dyDescent="0.25">
      <c r="A178" s="15"/>
      <c r="B178" s="10"/>
      <c r="C178" s="10"/>
      <c r="D178" s="11"/>
      <c r="E178" s="10"/>
      <c r="F178" s="11"/>
      <c r="G178" s="11"/>
      <c r="H178" s="12"/>
      <c r="I178" s="10"/>
      <c r="J178" s="13"/>
      <c r="K178" s="13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 ht="12.75" customHeight="1" x14ac:dyDescent="0.25">
      <c r="A179" s="15"/>
      <c r="B179" s="10"/>
      <c r="C179" s="10"/>
      <c r="D179" s="11"/>
      <c r="E179" s="10"/>
      <c r="F179" s="11"/>
      <c r="G179" s="11"/>
      <c r="H179" s="12"/>
      <c r="I179" s="10"/>
      <c r="J179" s="13"/>
      <c r="K179" s="13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4" ht="12.75" customHeight="1" x14ac:dyDescent="0.25">
      <c r="A180" s="15"/>
      <c r="B180" s="10"/>
      <c r="C180" s="10"/>
      <c r="D180" s="11"/>
      <c r="E180" s="10"/>
      <c r="F180" s="11"/>
      <c r="G180" s="11"/>
      <c r="H180" s="12"/>
      <c r="I180" s="10"/>
      <c r="J180" s="13"/>
      <c r="K180" s="13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4" ht="12.75" customHeight="1" x14ac:dyDescent="0.25">
      <c r="A181" s="15"/>
      <c r="B181" s="10"/>
      <c r="C181" s="10"/>
      <c r="D181" s="11"/>
      <c r="E181" s="10"/>
      <c r="F181" s="11"/>
      <c r="G181" s="11"/>
      <c r="H181" s="12"/>
      <c r="I181" s="10"/>
      <c r="J181" s="13"/>
      <c r="K181" s="13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4" ht="12.75" customHeight="1" x14ac:dyDescent="0.25">
      <c r="A182" s="15"/>
      <c r="B182" s="10"/>
      <c r="C182" s="10"/>
      <c r="D182" s="11"/>
      <c r="E182" s="10"/>
      <c r="F182" s="11"/>
      <c r="G182" s="11"/>
      <c r="H182" s="12"/>
      <c r="I182" s="10"/>
      <c r="J182" s="13"/>
      <c r="K182" s="13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4" ht="12.75" customHeight="1" x14ac:dyDescent="0.25">
      <c r="A183" s="15"/>
      <c r="B183" s="10"/>
      <c r="C183" s="10"/>
      <c r="D183" s="11"/>
      <c r="E183" s="10"/>
      <c r="F183" s="11"/>
      <c r="G183" s="11"/>
      <c r="H183" s="12"/>
      <c r="I183" s="10"/>
      <c r="J183" s="13"/>
      <c r="K183" s="13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4" ht="12.75" customHeight="1" x14ac:dyDescent="0.25">
      <c r="A184" s="15"/>
      <c r="B184" s="10"/>
      <c r="C184" s="10"/>
      <c r="D184" s="11"/>
      <c r="E184" s="10"/>
      <c r="F184" s="11"/>
      <c r="G184" s="11"/>
      <c r="H184" s="12"/>
      <c r="I184" s="10"/>
      <c r="J184" s="13"/>
      <c r="K184" s="13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 ht="12.75" customHeight="1" x14ac:dyDescent="0.25">
      <c r="A185" s="15"/>
      <c r="B185" s="10"/>
      <c r="C185" s="10"/>
      <c r="D185" s="11"/>
      <c r="E185" s="10"/>
      <c r="F185" s="11"/>
      <c r="G185" s="11"/>
      <c r="H185" s="12"/>
      <c r="I185" s="10"/>
      <c r="J185" s="13"/>
      <c r="K185" s="13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 ht="12.75" customHeight="1" x14ac:dyDescent="0.25">
      <c r="A186" s="15"/>
      <c r="B186" s="10"/>
      <c r="C186" s="10"/>
      <c r="D186" s="11"/>
      <c r="E186" s="10"/>
      <c r="F186" s="11"/>
      <c r="G186" s="11"/>
      <c r="H186" s="12"/>
      <c r="I186" s="10"/>
      <c r="J186" s="13"/>
      <c r="K186" s="13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1:24" ht="12.75" customHeight="1" x14ac:dyDescent="0.25">
      <c r="A187" s="15"/>
      <c r="B187" s="10"/>
      <c r="C187" s="10"/>
      <c r="D187" s="11"/>
      <c r="E187" s="10"/>
      <c r="F187" s="11"/>
      <c r="G187" s="11"/>
      <c r="H187" s="12"/>
      <c r="I187" s="10"/>
      <c r="J187" s="13"/>
      <c r="K187" s="13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1:24" ht="12.75" customHeight="1" x14ac:dyDescent="0.25">
      <c r="A188" s="15"/>
      <c r="B188" s="10"/>
      <c r="C188" s="10"/>
      <c r="D188" s="11"/>
      <c r="E188" s="10"/>
      <c r="F188" s="11"/>
      <c r="G188" s="11"/>
      <c r="H188" s="12"/>
      <c r="I188" s="10"/>
      <c r="J188" s="13"/>
      <c r="K188" s="13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 ht="12.75" customHeight="1" x14ac:dyDescent="0.25">
      <c r="A189" s="15"/>
      <c r="B189" s="10"/>
      <c r="C189" s="10"/>
      <c r="D189" s="11"/>
      <c r="E189" s="10"/>
      <c r="F189" s="11"/>
      <c r="G189" s="11"/>
      <c r="H189" s="12"/>
      <c r="I189" s="10"/>
      <c r="J189" s="13"/>
      <c r="K189" s="13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1:24" ht="12.75" customHeight="1" x14ac:dyDescent="0.25">
      <c r="A190" s="15"/>
      <c r="B190" s="10"/>
      <c r="C190" s="10"/>
      <c r="D190" s="11"/>
      <c r="E190" s="10"/>
      <c r="F190" s="11"/>
      <c r="G190" s="11"/>
      <c r="H190" s="12"/>
      <c r="I190" s="10"/>
      <c r="J190" s="13"/>
      <c r="K190" s="13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 ht="12.75" customHeight="1" x14ac:dyDescent="0.25">
      <c r="A191" s="15"/>
      <c r="B191" s="10"/>
      <c r="C191" s="10"/>
      <c r="D191" s="11"/>
      <c r="E191" s="10"/>
      <c r="F191" s="11"/>
      <c r="G191" s="11"/>
      <c r="H191" s="12"/>
      <c r="I191" s="10"/>
      <c r="J191" s="13"/>
      <c r="K191" s="13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1:24" ht="12.75" customHeight="1" x14ac:dyDescent="0.25">
      <c r="A192" s="15"/>
      <c r="B192" s="10"/>
      <c r="C192" s="10"/>
      <c r="D192" s="11"/>
      <c r="E192" s="10"/>
      <c r="F192" s="11"/>
      <c r="G192" s="11"/>
      <c r="H192" s="12"/>
      <c r="I192" s="10"/>
      <c r="J192" s="13"/>
      <c r="K192" s="13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 ht="12.75" customHeight="1" x14ac:dyDescent="0.25">
      <c r="A193" s="15"/>
      <c r="B193" s="10"/>
      <c r="C193" s="10"/>
      <c r="D193" s="11"/>
      <c r="E193" s="10"/>
      <c r="F193" s="11"/>
      <c r="G193" s="11"/>
      <c r="H193" s="12"/>
      <c r="I193" s="10"/>
      <c r="J193" s="13"/>
      <c r="K193" s="13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1:24" ht="12.75" customHeight="1" x14ac:dyDescent="0.25">
      <c r="A194" s="15"/>
      <c r="B194" s="10"/>
      <c r="C194" s="10"/>
      <c r="D194" s="11"/>
      <c r="E194" s="10"/>
      <c r="F194" s="11"/>
      <c r="G194" s="11"/>
      <c r="H194" s="12"/>
      <c r="I194" s="10"/>
      <c r="J194" s="13"/>
      <c r="K194" s="13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1:24" ht="12.75" customHeight="1" x14ac:dyDescent="0.25">
      <c r="A195" s="15"/>
      <c r="B195" s="10"/>
      <c r="C195" s="10"/>
      <c r="D195" s="11"/>
      <c r="E195" s="10"/>
      <c r="F195" s="11"/>
      <c r="G195" s="11"/>
      <c r="H195" s="12"/>
      <c r="I195" s="10"/>
      <c r="J195" s="13"/>
      <c r="K195" s="13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1:24" ht="12.75" customHeight="1" x14ac:dyDescent="0.25">
      <c r="A196" s="15"/>
      <c r="B196" s="10"/>
      <c r="C196" s="10"/>
      <c r="D196" s="11"/>
      <c r="E196" s="10"/>
      <c r="F196" s="11"/>
      <c r="G196" s="11"/>
      <c r="H196" s="12"/>
      <c r="I196" s="10"/>
      <c r="J196" s="13"/>
      <c r="K196" s="13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1:24" ht="12.75" customHeight="1" x14ac:dyDescent="0.25">
      <c r="A197" s="15"/>
      <c r="B197" s="10"/>
      <c r="C197" s="10"/>
      <c r="D197" s="11"/>
      <c r="E197" s="10"/>
      <c r="F197" s="11"/>
      <c r="G197" s="11"/>
      <c r="H197" s="12"/>
      <c r="I197" s="10"/>
      <c r="J197" s="13"/>
      <c r="K197" s="13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1:24" ht="12.75" customHeight="1" x14ac:dyDescent="0.25">
      <c r="A198" s="15"/>
      <c r="B198" s="10"/>
      <c r="C198" s="10"/>
      <c r="D198" s="11"/>
      <c r="E198" s="10"/>
      <c r="F198" s="11"/>
      <c r="G198" s="11"/>
      <c r="H198" s="12"/>
      <c r="I198" s="10"/>
      <c r="J198" s="13"/>
      <c r="K198" s="13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1:24" ht="12.75" customHeight="1" x14ac:dyDescent="0.25">
      <c r="A199" s="15"/>
      <c r="B199" s="10"/>
      <c r="C199" s="10"/>
      <c r="D199" s="11"/>
      <c r="E199" s="10"/>
      <c r="F199" s="11"/>
      <c r="G199" s="11"/>
      <c r="H199" s="12"/>
      <c r="I199" s="10"/>
      <c r="J199" s="13"/>
      <c r="K199" s="13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1:24" ht="12.75" customHeight="1" x14ac:dyDescent="0.25">
      <c r="A200" s="15"/>
      <c r="B200" s="10"/>
      <c r="C200" s="10"/>
      <c r="D200" s="11"/>
      <c r="E200" s="10"/>
      <c r="F200" s="11"/>
      <c r="G200" s="11"/>
      <c r="H200" s="12"/>
      <c r="I200" s="10"/>
      <c r="J200" s="13"/>
      <c r="K200" s="13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1:24" ht="12.75" customHeight="1" x14ac:dyDescent="0.25">
      <c r="A201" s="15"/>
      <c r="B201" s="10"/>
      <c r="C201" s="10"/>
      <c r="D201" s="11"/>
      <c r="E201" s="10"/>
      <c r="F201" s="11"/>
      <c r="G201" s="11"/>
      <c r="H201" s="12"/>
      <c r="I201" s="10"/>
      <c r="J201" s="13"/>
      <c r="K201" s="13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1:24" ht="12.75" customHeight="1" x14ac:dyDescent="0.25">
      <c r="A202" s="15"/>
      <c r="B202" s="10"/>
      <c r="C202" s="10"/>
      <c r="D202" s="11"/>
      <c r="E202" s="10"/>
      <c r="F202" s="11"/>
      <c r="G202" s="11"/>
      <c r="H202" s="12"/>
      <c r="I202" s="10"/>
      <c r="J202" s="13"/>
      <c r="K202" s="13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1:24" ht="12.75" customHeight="1" x14ac:dyDescent="0.25">
      <c r="A203" s="15"/>
      <c r="B203" s="10"/>
      <c r="C203" s="10"/>
      <c r="D203" s="11"/>
      <c r="E203" s="10"/>
      <c r="F203" s="11"/>
      <c r="G203" s="11"/>
      <c r="H203" s="12"/>
      <c r="I203" s="10"/>
      <c r="J203" s="13"/>
      <c r="K203" s="13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1:24" ht="12.75" customHeight="1" x14ac:dyDescent="0.25">
      <c r="A204" s="15"/>
      <c r="B204" s="10"/>
      <c r="C204" s="10"/>
      <c r="D204" s="11"/>
      <c r="E204" s="10"/>
      <c r="F204" s="11"/>
      <c r="G204" s="11"/>
      <c r="H204" s="12"/>
      <c r="I204" s="10"/>
      <c r="J204" s="13"/>
      <c r="K204" s="13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1:24" ht="12.75" customHeight="1" x14ac:dyDescent="0.25">
      <c r="A205" s="15"/>
      <c r="B205" s="10"/>
      <c r="C205" s="10"/>
      <c r="D205" s="11"/>
      <c r="E205" s="10"/>
      <c r="F205" s="11"/>
      <c r="G205" s="11"/>
      <c r="H205" s="12"/>
      <c r="I205" s="10"/>
      <c r="J205" s="13"/>
      <c r="K205" s="13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1:24" ht="12.75" customHeight="1" x14ac:dyDescent="0.25">
      <c r="A206" s="15"/>
      <c r="B206" s="10"/>
      <c r="C206" s="10"/>
      <c r="D206" s="11"/>
      <c r="E206" s="10"/>
      <c r="F206" s="11"/>
      <c r="G206" s="11"/>
      <c r="H206" s="12"/>
      <c r="I206" s="10"/>
      <c r="J206" s="13"/>
      <c r="K206" s="13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1:24" ht="12.75" customHeight="1" x14ac:dyDescent="0.25">
      <c r="A207" s="15"/>
      <c r="B207" s="10"/>
      <c r="C207" s="10"/>
      <c r="D207" s="11"/>
      <c r="E207" s="10"/>
      <c r="F207" s="11"/>
      <c r="G207" s="11"/>
      <c r="H207" s="12"/>
      <c r="I207" s="10"/>
      <c r="J207" s="13"/>
      <c r="K207" s="13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1:24" ht="12.75" customHeight="1" x14ac:dyDescent="0.25">
      <c r="A208" s="15"/>
      <c r="B208" s="10"/>
      <c r="C208" s="10"/>
      <c r="D208" s="11"/>
      <c r="E208" s="10"/>
      <c r="F208" s="11"/>
      <c r="G208" s="11"/>
      <c r="H208" s="12"/>
      <c r="I208" s="10"/>
      <c r="J208" s="13"/>
      <c r="K208" s="13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1:24" ht="12.75" customHeight="1" x14ac:dyDescent="0.25">
      <c r="A209" s="15"/>
      <c r="B209" s="10"/>
      <c r="C209" s="10"/>
      <c r="D209" s="11"/>
      <c r="E209" s="10"/>
      <c r="F209" s="11"/>
      <c r="G209" s="11"/>
      <c r="H209" s="12"/>
      <c r="I209" s="10"/>
      <c r="J209" s="13"/>
      <c r="K209" s="13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spans="1:24" ht="12.75" customHeight="1" x14ac:dyDescent="0.25">
      <c r="A210" s="15"/>
      <c r="B210" s="10"/>
      <c r="C210" s="10"/>
      <c r="D210" s="11"/>
      <c r="E210" s="10"/>
      <c r="F210" s="11"/>
      <c r="G210" s="11"/>
      <c r="H210" s="12"/>
      <c r="I210" s="10"/>
      <c r="J210" s="13"/>
      <c r="K210" s="13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spans="1:24" ht="12.75" customHeight="1" x14ac:dyDescent="0.25">
      <c r="A211" s="15"/>
      <c r="B211" s="10"/>
      <c r="C211" s="10"/>
      <c r="D211" s="11"/>
      <c r="E211" s="10"/>
      <c r="F211" s="11"/>
      <c r="G211" s="11"/>
      <c r="H211" s="12"/>
      <c r="I211" s="10"/>
      <c r="J211" s="13"/>
      <c r="K211" s="13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spans="1:24" ht="12.75" customHeight="1" x14ac:dyDescent="0.25">
      <c r="A212" s="15"/>
      <c r="B212" s="10"/>
      <c r="C212" s="10"/>
      <c r="D212" s="11"/>
      <c r="E212" s="10"/>
      <c r="F212" s="11"/>
      <c r="G212" s="11"/>
      <c r="H212" s="12"/>
      <c r="I212" s="10"/>
      <c r="J212" s="13"/>
      <c r="K212" s="13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spans="1:24" ht="12.75" customHeight="1" x14ac:dyDescent="0.25">
      <c r="A213" s="15"/>
      <c r="B213" s="10"/>
      <c r="C213" s="10"/>
      <c r="D213" s="11"/>
      <c r="E213" s="10"/>
      <c r="F213" s="11"/>
      <c r="G213" s="11"/>
      <c r="H213" s="12"/>
      <c r="I213" s="10"/>
      <c r="J213" s="13"/>
      <c r="K213" s="13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spans="1:24" ht="12.75" customHeight="1" x14ac:dyDescent="0.25">
      <c r="A214" s="15"/>
      <c r="B214" s="10"/>
      <c r="C214" s="10"/>
      <c r="D214" s="11"/>
      <c r="E214" s="10"/>
      <c r="F214" s="11"/>
      <c r="G214" s="11"/>
      <c r="H214" s="12"/>
      <c r="I214" s="10"/>
      <c r="J214" s="13"/>
      <c r="K214" s="13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spans="1:24" ht="12.75" customHeight="1" x14ac:dyDescent="0.25">
      <c r="A215" s="15"/>
      <c r="B215" s="10"/>
      <c r="C215" s="10"/>
      <c r="D215" s="11"/>
      <c r="E215" s="10"/>
      <c r="F215" s="11"/>
      <c r="G215" s="11"/>
      <c r="H215" s="12"/>
      <c r="I215" s="10"/>
      <c r="J215" s="13"/>
      <c r="K215" s="13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spans="1:24" ht="12.75" customHeight="1" x14ac:dyDescent="0.25">
      <c r="A216" s="15"/>
      <c r="B216" s="10"/>
      <c r="C216" s="10"/>
      <c r="D216" s="11"/>
      <c r="E216" s="10"/>
      <c r="F216" s="11"/>
      <c r="G216" s="11"/>
      <c r="H216" s="12"/>
      <c r="I216" s="10"/>
      <c r="J216" s="13"/>
      <c r="K216" s="13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spans="1:24" ht="12.75" customHeight="1" x14ac:dyDescent="0.25">
      <c r="A217" s="15"/>
      <c r="B217" s="10"/>
      <c r="C217" s="10"/>
      <c r="D217" s="11"/>
      <c r="E217" s="10"/>
      <c r="F217" s="11"/>
      <c r="G217" s="11"/>
      <c r="H217" s="12"/>
      <c r="I217" s="10"/>
      <c r="J217" s="13"/>
      <c r="K217" s="13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spans="1:24" ht="12.75" customHeight="1" x14ac:dyDescent="0.25">
      <c r="A218" s="15"/>
      <c r="B218" s="10"/>
      <c r="C218" s="10"/>
      <c r="D218" s="11"/>
      <c r="E218" s="10"/>
      <c r="F218" s="11"/>
      <c r="G218" s="11"/>
      <c r="H218" s="12"/>
      <c r="I218" s="10"/>
      <c r="J218" s="13"/>
      <c r="K218" s="13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spans="1:24" ht="12.75" customHeight="1" x14ac:dyDescent="0.25">
      <c r="A219" s="15"/>
      <c r="B219" s="10"/>
      <c r="C219" s="10"/>
      <c r="D219" s="11"/>
      <c r="E219" s="10"/>
      <c r="F219" s="11"/>
      <c r="G219" s="11"/>
      <c r="H219" s="12"/>
      <c r="I219" s="10"/>
      <c r="J219" s="13"/>
      <c r="K219" s="13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spans="1:24" ht="12.75" customHeight="1" x14ac:dyDescent="0.25">
      <c r="A220" s="15"/>
      <c r="B220" s="10"/>
      <c r="C220" s="10"/>
      <c r="D220" s="11"/>
      <c r="E220" s="10"/>
      <c r="F220" s="11"/>
      <c r="G220" s="11"/>
      <c r="H220" s="12"/>
      <c r="I220" s="10"/>
      <c r="J220" s="13"/>
      <c r="K220" s="13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spans="1:24" ht="12.75" customHeight="1" x14ac:dyDescent="0.25">
      <c r="A221" s="15"/>
      <c r="B221" s="10"/>
      <c r="C221" s="10"/>
      <c r="D221" s="11"/>
      <c r="E221" s="10"/>
      <c r="F221" s="11"/>
      <c r="G221" s="11"/>
      <c r="H221" s="12"/>
      <c r="I221" s="10"/>
      <c r="J221" s="13"/>
      <c r="K221" s="13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spans="1:24" ht="12.75" customHeight="1" x14ac:dyDescent="0.25">
      <c r="A222" s="15"/>
      <c r="B222" s="10"/>
      <c r="C222" s="10"/>
      <c r="D222" s="11"/>
      <c r="E222" s="10"/>
      <c r="F222" s="11"/>
      <c r="G222" s="11"/>
      <c r="H222" s="12"/>
      <c r="I222" s="10"/>
      <c r="J222" s="13"/>
      <c r="K222" s="13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spans="1:24" ht="12.75" customHeight="1" x14ac:dyDescent="0.25">
      <c r="A223" s="15"/>
      <c r="B223" s="10"/>
      <c r="C223" s="10"/>
      <c r="D223" s="11"/>
      <c r="E223" s="10"/>
      <c r="F223" s="11"/>
      <c r="G223" s="11"/>
      <c r="H223" s="12"/>
      <c r="I223" s="10"/>
      <c r="J223" s="13"/>
      <c r="K223" s="13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spans="1:24" ht="12.75" customHeight="1" x14ac:dyDescent="0.25">
      <c r="A224" s="15"/>
      <c r="B224" s="10"/>
      <c r="C224" s="10"/>
      <c r="D224" s="11"/>
      <c r="E224" s="10"/>
      <c r="F224" s="11"/>
      <c r="G224" s="11"/>
      <c r="H224" s="12"/>
      <c r="I224" s="10"/>
      <c r="J224" s="13"/>
      <c r="K224" s="13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1:24" ht="12.75" customHeight="1" x14ac:dyDescent="0.25">
      <c r="A225" s="15"/>
      <c r="B225" s="10"/>
      <c r="C225" s="10"/>
      <c r="D225" s="11"/>
      <c r="E225" s="10"/>
      <c r="F225" s="11"/>
      <c r="G225" s="11"/>
      <c r="H225" s="12"/>
      <c r="I225" s="10"/>
      <c r="J225" s="13"/>
      <c r="K225" s="13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spans="1:24" ht="12.75" customHeight="1" x14ac:dyDescent="0.25">
      <c r="A226" s="15"/>
      <c r="B226" s="10"/>
      <c r="C226" s="10"/>
      <c r="D226" s="11"/>
      <c r="E226" s="10"/>
      <c r="F226" s="11"/>
      <c r="G226" s="11"/>
      <c r="H226" s="12"/>
      <c r="I226" s="10"/>
      <c r="J226" s="13"/>
      <c r="K226" s="13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spans="1:24" ht="12.75" customHeight="1" x14ac:dyDescent="0.25">
      <c r="A227" s="15"/>
      <c r="B227" s="10"/>
      <c r="C227" s="10"/>
      <c r="D227" s="11"/>
      <c r="E227" s="10"/>
      <c r="F227" s="11"/>
      <c r="G227" s="11"/>
      <c r="H227" s="12"/>
      <c r="I227" s="10"/>
      <c r="J227" s="13"/>
      <c r="K227" s="13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spans="1:24" ht="12.75" customHeight="1" x14ac:dyDescent="0.25">
      <c r="A228" s="15"/>
      <c r="B228" s="10"/>
      <c r="C228" s="10"/>
      <c r="D228" s="11"/>
      <c r="E228" s="10"/>
      <c r="F228" s="11"/>
      <c r="G228" s="11"/>
      <c r="H228" s="12"/>
      <c r="I228" s="10"/>
      <c r="J228" s="13"/>
      <c r="K228" s="13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spans="1:24" ht="12.75" customHeight="1" x14ac:dyDescent="0.25">
      <c r="A229" s="15"/>
      <c r="B229" s="10"/>
      <c r="C229" s="10"/>
      <c r="D229" s="11"/>
      <c r="E229" s="10"/>
      <c r="F229" s="11"/>
      <c r="G229" s="11"/>
      <c r="H229" s="12"/>
      <c r="I229" s="10"/>
      <c r="J229" s="13"/>
      <c r="K229" s="13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spans="1:24" ht="12.75" customHeight="1" x14ac:dyDescent="0.25">
      <c r="A230" s="15"/>
      <c r="B230" s="10"/>
      <c r="C230" s="10"/>
      <c r="D230" s="11"/>
      <c r="E230" s="10"/>
      <c r="F230" s="11"/>
      <c r="G230" s="11"/>
      <c r="H230" s="12"/>
      <c r="I230" s="10"/>
      <c r="J230" s="13"/>
      <c r="K230" s="13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spans="1:24" ht="12.75" customHeight="1" x14ac:dyDescent="0.25">
      <c r="A231" s="15"/>
      <c r="B231" s="10"/>
      <c r="C231" s="10"/>
      <c r="D231" s="11"/>
      <c r="E231" s="10"/>
      <c r="F231" s="11"/>
      <c r="G231" s="11"/>
      <c r="H231" s="12"/>
      <c r="I231" s="10"/>
      <c r="J231" s="13"/>
      <c r="K231" s="13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spans="1:24" ht="12.75" customHeight="1" x14ac:dyDescent="0.25">
      <c r="A232" s="15"/>
      <c r="B232" s="10"/>
      <c r="C232" s="10"/>
      <c r="D232" s="11"/>
      <c r="E232" s="10"/>
      <c r="F232" s="11"/>
      <c r="G232" s="11"/>
      <c r="H232" s="12"/>
      <c r="I232" s="10"/>
      <c r="J232" s="13"/>
      <c r="K232" s="13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spans="1:24" ht="12.75" customHeight="1" x14ac:dyDescent="0.25">
      <c r="A233" s="15"/>
      <c r="B233" s="10"/>
      <c r="C233" s="10"/>
      <c r="D233" s="11"/>
      <c r="E233" s="10"/>
      <c r="F233" s="11"/>
      <c r="G233" s="11"/>
      <c r="H233" s="12"/>
      <c r="I233" s="10"/>
      <c r="J233" s="13"/>
      <c r="K233" s="13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spans="1:24" ht="12.75" customHeight="1" x14ac:dyDescent="0.25">
      <c r="A234" s="15"/>
      <c r="B234" s="10"/>
      <c r="C234" s="10"/>
      <c r="D234" s="11"/>
      <c r="E234" s="10"/>
      <c r="F234" s="11"/>
      <c r="G234" s="11"/>
      <c r="H234" s="12"/>
      <c r="I234" s="10"/>
      <c r="J234" s="13"/>
      <c r="K234" s="13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spans="1:24" ht="12.75" customHeight="1" x14ac:dyDescent="0.25">
      <c r="A235" s="15"/>
      <c r="B235" s="10"/>
      <c r="C235" s="10"/>
      <c r="D235" s="11"/>
      <c r="E235" s="10"/>
      <c r="F235" s="11"/>
      <c r="G235" s="11"/>
      <c r="H235" s="12"/>
      <c r="I235" s="10"/>
      <c r="J235" s="13"/>
      <c r="K235" s="13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spans="1:24" ht="12.75" customHeight="1" x14ac:dyDescent="0.25">
      <c r="A236" s="15"/>
      <c r="B236" s="10"/>
      <c r="C236" s="10"/>
      <c r="D236" s="11"/>
      <c r="E236" s="10"/>
      <c r="F236" s="11"/>
      <c r="G236" s="11"/>
      <c r="H236" s="12"/>
      <c r="I236" s="10"/>
      <c r="J236" s="13"/>
      <c r="K236" s="13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spans="1:24" ht="12.75" customHeight="1" x14ac:dyDescent="0.25">
      <c r="A237" s="15"/>
      <c r="B237" s="10"/>
      <c r="C237" s="10"/>
      <c r="D237" s="11"/>
      <c r="E237" s="10"/>
      <c r="F237" s="11"/>
      <c r="G237" s="11"/>
      <c r="H237" s="12"/>
      <c r="I237" s="10"/>
      <c r="J237" s="13"/>
      <c r="K237" s="13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spans="1:24" ht="12.75" customHeight="1" x14ac:dyDescent="0.25">
      <c r="A238" s="15"/>
      <c r="B238" s="10"/>
      <c r="C238" s="10"/>
      <c r="D238" s="11"/>
      <c r="E238" s="10"/>
      <c r="F238" s="11"/>
      <c r="G238" s="11"/>
      <c r="H238" s="12"/>
      <c r="I238" s="10"/>
      <c r="J238" s="13"/>
      <c r="K238" s="13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spans="1:24" ht="12.75" customHeight="1" x14ac:dyDescent="0.25">
      <c r="A239" s="15"/>
      <c r="B239" s="10"/>
      <c r="C239" s="10"/>
      <c r="D239" s="11"/>
      <c r="E239" s="10"/>
      <c r="F239" s="11"/>
      <c r="G239" s="11"/>
      <c r="H239" s="12"/>
      <c r="I239" s="10"/>
      <c r="J239" s="13"/>
      <c r="K239" s="13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spans="1:24" ht="12.75" customHeight="1" x14ac:dyDescent="0.25">
      <c r="A240" s="15"/>
      <c r="B240" s="10"/>
      <c r="C240" s="10"/>
      <c r="D240" s="11"/>
      <c r="E240" s="10"/>
      <c r="F240" s="11"/>
      <c r="G240" s="11"/>
      <c r="H240" s="12"/>
      <c r="I240" s="10"/>
      <c r="J240" s="13"/>
      <c r="K240" s="13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spans="1:24" ht="12.75" customHeight="1" x14ac:dyDescent="0.25">
      <c r="A241" s="15"/>
      <c r="B241" s="10"/>
      <c r="C241" s="10"/>
      <c r="D241" s="11"/>
      <c r="E241" s="10"/>
      <c r="F241" s="11"/>
      <c r="G241" s="11"/>
      <c r="H241" s="12"/>
      <c r="I241" s="10"/>
      <c r="J241" s="13"/>
      <c r="K241" s="13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spans="1:24" ht="12.75" customHeight="1" x14ac:dyDescent="0.25">
      <c r="A242" s="15"/>
      <c r="B242" s="10"/>
      <c r="C242" s="10"/>
      <c r="D242" s="11"/>
      <c r="E242" s="10"/>
      <c r="F242" s="11"/>
      <c r="G242" s="11"/>
      <c r="H242" s="12"/>
      <c r="I242" s="10"/>
      <c r="J242" s="13"/>
      <c r="K242" s="13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spans="1:24" ht="12.75" customHeight="1" x14ac:dyDescent="0.25">
      <c r="A243" s="15"/>
      <c r="B243" s="10"/>
      <c r="C243" s="10"/>
      <c r="D243" s="11"/>
      <c r="E243" s="10"/>
      <c r="F243" s="11"/>
      <c r="G243" s="11"/>
      <c r="H243" s="12"/>
      <c r="I243" s="10"/>
      <c r="J243" s="13"/>
      <c r="K243" s="13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spans="1:24" ht="12.75" customHeight="1" x14ac:dyDescent="0.25">
      <c r="A244" s="15"/>
      <c r="B244" s="10"/>
      <c r="C244" s="10"/>
      <c r="D244" s="11"/>
      <c r="E244" s="10"/>
      <c r="F244" s="11"/>
      <c r="G244" s="11"/>
      <c r="H244" s="12"/>
      <c r="I244" s="10"/>
      <c r="J244" s="13"/>
      <c r="K244" s="13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spans="1:24" ht="12.75" customHeight="1" x14ac:dyDescent="0.25">
      <c r="A245" s="15"/>
      <c r="B245" s="10"/>
      <c r="C245" s="10"/>
      <c r="D245" s="11"/>
      <c r="E245" s="10"/>
      <c r="F245" s="11"/>
      <c r="G245" s="11"/>
      <c r="H245" s="12"/>
      <c r="I245" s="10"/>
      <c r="J245" s="13"/>
      <c r="K245" s="13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spans="1:24" ht="12.75" customHeight="1" x14ac:dyDescent="0.25">
      <c r="A246" s="15"/>
      <c r="B246" s="10"/>
      <c r="C246" s="10"/>
      <c r="D246" s="11"/>
      <c r="E246" s="10"/>
      <c r="F246" s="11"/>
      <c r="G246" s="11"/>
      <c r="H246" s="12"/>
      <c r="I246" s="10"/>
      <c r="J246" s="13"/>
      <c r="K246" s="13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spans="1:24" ht="12.75" customHeight="1" x14ac:dyDescent="0.25">
      <c r="A247" s="15"/>
      <c r="B247" s="10"/>
      <c r="C247" s="10"/>
      <c r="D247" s="11"/>
      <c r="E247" s="10"/>
      <c r="F247" s="11"/>
      <c r="G247" s="11"/>
      <c r="H247" s="12"/>
      <c r="I247" s="10"/>
      <c r="J247" s="13"/>
      <c r="K247" s="13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spans="1:24" ht="12.75" customHeight="1" x14ac:dyDescent="0.25">
      <c r="A248" s="15"/>
      <c r="B248" s="10"/>
      <c r="C248" s="10"/>
      <c r="D248" s="11"/>
      <c r="E248" s="10"/>
      <c r="F248" s="11"/>
      <c r="G248" s="11"/>
      <c r="H248" s="12"/>
      <c r="I248" s="10"/>
      <c r="J248" s="13"/>
      <c r="K248" s="13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spans="1:24" ht="12.75" customHeight="1" x14ac:dyDescent="0.25">
      <c r="A249" s="15"/>
      <c r="B249" s="10"/>
      <c r="C249" s="10"/>
      <c r="D249" s="11"/>
      <c r="E249" s="10"/>
      <c r="F249" s="11"/>
      <c r="G249" s="11"/>
      <c r="H249" s="12"/>
      <c r="I249" s="10"/>
      <c r="J249" s="13"/>
      <c r="K249" s="13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spans="1:24" ht="12.75" customHeight="1" x14ac:dyDescent="0.25">
      <c r="A250" s="15"/>
      <c r="B250" s="10"/>
      <c r="C250" s="10"/>
      <c r="D250" s="11"/>
      <c r="E250" s="10"/>
      <c r="F250" s="11"/>
      <c r="G250" s="11"/>
      <c r="H250" s="12"/>
      <c r="I250" s="10"/>
      <c r="J250" s="13"/>
      <c r="K250" s="13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spans="1:24" ht="12.75" customHeight="1" x14ac:dyDescent="0.25">
      <c r="A251" s="15"/>
      <c r="B251" s="10"/>
      <c r="C251" s="10"/>
      <c r="D251" s="11"/>
      <c r="E251" s="10"/>
      <c r="F251" s="11"/>
      <c r="G251" s="11"/>
      <c r="H251" s="12"/>
      <c r="I251" s="10"/>
      <c r="J251" s="13"/>
      <c r="K251" s="13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spans="1:24" ht="12.75" customHeight="1" x14ac:dyDescent="0.25">
      <c r="A252" s="15"/>
      <c r="B252" s="10"/>
      <c r="C252" s="10"/>
      <c r="D252" s="11"/>
      <c r="E252" s="10"/>
      <c r="F252" s="11"/>
      <c r="G252" s="11"/>
      <c r="H252" s="12"/>
      <c r="I252" s="10"/>
      <c r="J252" s="13"/>
      <c r="K252" s="13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spans="1:24" ht="12.75" customHeight="1" x14ac:dyDescent="0.25">
      <c r="A253" s="15"/>
      <c r="B253" s="10"/>
      <c r="C253" s="10"/>
      <c r="D253" s="11"/>
      <c r="E253" s="10"/>
      <c r="F253" s="11"/>
      <c r="G253" s="11"/>
      <c r="H253" s="12"/>
      <c r="I253" s="10"/>
      <c r="J253" s="13"/>
      <c r="K253" s="13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spans="1:24" ht="12.75" customHeight="1" x14ac:dyDescent="0.25">
      <c r="A254" s="15"/>
      <c r="B254" s="10"/>
      <c r="C254" s="10"/>
      <c r="D254" s="11"/>
      <c r="E254" s="10"/>
      <c r="F254" s="11"/>
      <c r="G254" s="11"/>
      <c r="H254" s="12"/>
      <c r="I254" s="10"/>
      <c r="J254" s="13"/>
      <c r="K254" s="13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spans="1:24" ht="12.75" customHeight="1" x14ac:dyDescent="0.25">
      <c r="A255" s="15"/>
      <c r="B255" s="10"/>
      <c r="C255" s="10"/>
      <c r="D255" s="11"/>
      <c r="E255" s="10"/>
      <c r="F255" s="11"/>
      <c r="G255" s="11"/>
      <c r="H255" s="12"/>
      <c r="I255" s="10"/>
      <c r="J255" s="13"/>
      <c r="K255" s="13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spans="1:24" ht="12.75" customHeight="1" x14ac:dyDescent="0.25">
      <c r="A256" s="15"/>
      <c r="B256" s="10"/>
      <c r="C256" s="10"/>
      <c r="D256" s="11"/>
      <c r="E256" s="10"/>
      <c r="F256" s="11"/>
      <c r="G256" s="11"/>
      <c r="H256" s="12"/>
      <c r="I256" s="10"/>
      <c r="J256" s="13"/>
      <c r="K256" s="13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spans="1:24" ht="12.75" customHeight="1" x14ac:dyDescent="0.25">
      <c r="A257" s="15"/>
      <c r="B257" s="10"/>
      <c r="C257" s="10"/>
      <c r="D257" s="11"/>
      <c r="E257" s="10"/>
      <c r="F257" s="11"/>
      <c r="G257" s="11"/>
      <c r="H257" s="12"/>
      <c r="I257" s="10"/>
      <c r="J257" s="13"/>
      <c r="K257" s="13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spans="1:24" ht="12.75" customHeight="1" x14ac:dyDescent="0.25">
      <c r="A258" s="15"/>
      <c r="B258" s="10"/>
      <c r="C258" s="10"/>
      <c r="D258" s="11"/>
      <c r="E258" s="10"/>
      <c r="F258" s="11"/>
      <c r="G258" s="11"/>
      <c r="H258" s="12"/>
      <c r="I258" s="10"/>
      <c r="J258" s="13"/>
      <c r="K258" s="13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spans="1:24" ht="12.75" customHeight="1" x14ac:dyDescent="0.25">
      <c r="A259" s="15"/>
      <c r="B259" s="10"/>
      <c r="C259" s="10"/>
      <c r="D259" s="11"/>
      <c r="E259" s="10"/>
      <c r="F259" s="11"/>
      <c r="G259" s="11"/>
      <c r="H259" s="12"/>
      <c r="I259" s="10"/>
      <c r="J259" s="13"/>
      <c r="K259" s="13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spans="1:24" ht="12.75" customHeight="1" x14ac:dyDescent="0.25">
      <c r="A260" s="15"/>
      <c r="B260" s="10"/>
      <c r="C260" s="10"/>
      <c r="D260" s="11"/>
      <c r="E260" s="10"/>
      <c r="F260" s="11"/>
      <c r="G260" s="11"/>
      <c r="H260" s="12"/>
      <c r="I260" s="10"/>
      <c r="J260" s="13"/>
      <c r="K260" s="13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spans="1:24" ht="12.75" customHeight="1" x14ac:dyDescent="0.25">
      <c r="A261" s="15"/>
      <c r="B261" s="10"/>
      <c r="C261" s="10"/>
      <c r="D261" s="11"/>
      <c r="E261" s="10"/>
      <c r="F261" s="11"/>
      <c r="G261" s="11"/>
      <c r="H261" s="12"/>
      <c r="I261" s="10"/>
      <c r="J261" s="13"/>
      <c r="K261" s="13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spans="1:24" ht="12.75" customHeight="1" x14ac:dyDescent="0.25">
      <c r="A262" s="15"/>
      <c r="B262" s="10"/>
      <c r="C262" s="10"/>
      <c r="D262" s="11"/>
      <c r="E262" s="10"/>
      <c r="F262" s="11"/>
      <c r="G262" s="11"/>
      <c r="H262" s="12"/>
      <c r="I262" s="10"/>
      <c r="J262" s="13"/>
      <c r="K262" s="13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spans="1:24" ht="15.75" customHeight="1" x14ac:dyDescent="0.25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spans="1:24" ht="15.75" customHeight="1" x14ac:dyDescent="0.25"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spans="1:24" ht="15.75" customHeight="1" x14ac:dyDescent="0.25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spans="1:24" ht="15.75" customHeight="1" x14ac:dyDescent="0.25"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spans="1:24" ht="15.75" customHeight="1" x14ac:dyDescent="0.25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spans="1:24" ht="15.75" customHeight="1" x14ac:dyDescent="0.25"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spans="1:24" ht="15.75" customHeight="1" x14ac:dyDescent="0.25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spans="1:24" ht="15.75" customHeight="1" x14ac:dyDescent="0.25"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spans="1:24" ht="15.75" customHeight="1" x14ac:dyDescent="0.25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spans="1:24" ht="15.75" customHeight="1" x14ac:dyDescent="0.25"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spans="2:24" ht="15.75" customHeight="1" x14ac:dyDescent="0.25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spans="2:24" ht="15.75" customHeight="1" x14ac:dyDescent="0.25"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spans="2:24" ht="15.75" customHeight="1" x14ac:dyDescent="0.25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spans="2:24" ht="15.75" customHeight="1" x14ac:dyDescent="0.25"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spans="2:24" ht="15.75" customHeight="1" x14ac:dyDescent="0.25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spans="2:24" ht="15.75" customHeight="1" x14ac:dyDescent="0.25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spans="2:24" ht="15.75" customHeight="1" x14ac:dyDescent="0.25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spans="2:24" ht="15.75" customHeight="1" x14ac:dyDescent="0.25"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spans="2:24" ht="15.75" customHeight="1" x14ac:dyDescent="0.25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spans="2:24" ht="15.75" customHeight="1" x14ac:dyDescent="0.25"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spans="2:24" ht="15.75" customHeight="1" x14ac:dyDescent="0.25"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spans="2:24" ht="15.75" customHeight="1" x14ac:dyDescent="0.25"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spans="2:24" ht="15.75" customHeight="1" x14ac:dyDescent="0.25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spans="2:24" ht="15.75" customHeight="1" x14ac:dyDescent="0.25"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spans="2:24" ht="15.75" customHeight="1" x14ac:dyDescent="0.25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spans="2:24" ht="15.75" customHeight="1" x14ac:dyDescent="0.25"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spans="2:24" ht="15.75" customHeight="1" x14ac:dyDescent="0.25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spans="2:24" ht="15.75" customHeight="1" x14ac:dyDescent="0.25"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spans="2:24" ht="15.75" customHeight="1" x14ac:dyDescent="0.25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spans="2:24" ht="15.75" customHeight="1" x14ac:dyDescent="0.25"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spans="2:24" ht="15.75" customHeight="1" x14ac:dyDescent="0.25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spans="2:24" ht="15.75" customHeight="1" x14ac:dyDescent="0.25"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spans="2:24" ht="15.75" customHeight="1" x14ac:dyDescent="0.25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spans="2:24" ht="15.75" customHeight="1" x14ac:dyDescent="0.25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spans="2:24" ht="15.75" customHeight="1" x14ac:dyDescent="0.25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spans="2:24" ht="15.75" customHeight="1" x14ac:dyDescent="0.25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spans="2:24" ht="15.75" customHeight="1" x14ac:dyDescent="0.25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spans="2:24" ht="15.75" customHeight="1" x14ac:dyDescent="0.25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spans="2:24" ht="15.75" customHeight="1" x14ac:dyDescent="0.25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spans="2:24" ht="15.75" customHeight="1" x14ac:dyDescent="0.25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spans="2:24" ht="15.75" customHeight="1" x14ac:dyDescent="0.25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spans="2:24" ht="15.75" customHeight="1" x14ac:dyDescent="0.25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spans="2:24" ht="15.75" customHeight="1" x14ac:dyDescent="0.25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spans="2:24" ht="15.75" customHeight="1" x14ac:dyDescent="0.25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spans="2:24" ht="15.75" customHeight="1" x14ac:dyDescent="0.25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spans="2:24" ht="15.75" customHeight="1" x14ac:dyDescent="0.25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spans="2:24" ht="15.75" customHeight="1" x14ac:dyDescent="0.25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spans="2:24" ht="15.75" customHeight="1" x14ac:dyDescent="0.25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spans="2:24" ht="15.75" customHeight="1" x14ac:dyDescent="0.25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spans="2:24" ht="15.75" customHeight="1" x14ac:dyDescent="0.25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spans="2:24" ht="15.75" customHeight="1" x14ac:dyDescent="0.25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spans="2:24" ht="15.75" customHeight="1" x14ac:dyDescent="0.25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spans="2:24" ht="15.75" customHeight="1" x14ac:dyDescent="0.25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spans="2:24" ht="15.75" customHeight="1" x14ac:dyDescent="0.25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spans="2:24" ht="15.75" customHeight="1" x14ac:dyDescent="0.25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spans="2:24" ht="15.75" customHeight="1" x14ac:dyDescent="0.25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spans="2:24" ht="15.75" customHeight="1" x14ac:dyDescent="0.25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spans="2:24" ht="15.75" customHeight="1" x14ac:dyDescent="0.25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spans="2:24" ht="15.75" customHeight="1" x14ac:dyDescent="0.25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spans="2:24" ht="15.75" customHeight="1" x14ac:dyDescent="0.25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spans="2:24" ht="15.75" customHeight="1" x14ac:dyDescent="0.25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spans="2:24" ht="15.75" customHeight="1" x14ac:dyDescent="0.25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spans="2:24" ht="15.75" customHeight="1" x14ac:dyDescent="0.25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spans="2:24" ht="15.75" customHeight="1" x14ac:dyDescent="0.25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spans="2:24" ht="15.75" customHeight="1" x14ac:dyDescent="0.25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spans="2:24" ht="15.75" customHeight="1" x14ac:dyDescent="0.25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spans="2:24" ht="15.75" customHeight="1" x14ac:dyDescent="0.25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spans="2:24" ht="15.75" customHeight="1" x14ac:dyDescent="0.25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spans="2:24" ht="15.75" customHeight="1" x14ac:dyDescent="0.25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spans="2:24" ht="15.75" customHeight="1" x14ac:dyDescent="0.25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spans="2:24" ht="15.75" customHeight="1" x14ac:dyDescent="0.25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spans="2:24" ht="15.75" customHeight="1" x14ac:dyDescent="0.25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spans="2:24" ht="15.75" customHeight="1" x14ac:dyDescent="0.25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spans="2:24" ht="15.75" customHeight="1" x14ac:dyDescent="0.25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spans="2:24" ht="15.75" customHeight="1" x14ac:dyDescent="0.25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spans="2:24" ht="15.75" customHeight="1" x14ac:dyDescent="0.25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spans="2:24" ht="15.75" customHeight="1" x14ac:dyDescent="0.25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spans="2:24" ht="15.75" customHeight="1" x14ac:dyDescent="0.25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spans="2:24" ht="15.75" customHeight="1" x14ac:dyDescent="0.25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spans="2:24" ht="15.75" customHeight="1" x14ac:dyDescent="0.25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spans="2:24" ht="15.75" customHeight="1" x14ac:dyDescent="0.25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spans="2:24" ht="15.75" customHeight="1" x14ac:dyDescent="0.25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spans="2:24" ht="15.75" customHeight="1" x14ac:dyDescent="0.25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spans="2:24" ht="15.75" customHeight="1" x14ac:dyDescent="0.25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spans="2:24" ht="15.75" customHeight="1" x14ac:dyDescent="0.25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spans="2:24" ht="15.75" customHeight="1" x14ac:dyDescent="0.25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spans="2:24" ht="15.75" customHeight="1" x14ac:dyDescent="0.25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spans="2:24" ht="15.75" customHeight="1" x14ac:dyDescent="0.25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spans="2:24" ht="15.75" customHeight="1" x14ac:dyDescent="0.25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spans="2:24" ht="15.75" customHeight="1" x14ac:dyDescent="0.25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spans="2:24" ht="15.75" customHeight="1" x14ac:dyDescent="0.25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spans="2:24" ht="15.75" customHeight="1" x14ac:dyDescent="0.25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spans="2:24" ht="15.75" customHeight="1" x14ac:dyDescent="0.25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spans="2:24" ht="15.75" customHeight="1" x14ac:dyDescent="0.25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spans="2:24" ht="15.75" customHeight="1" x14ac:dyDescent="0.25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spans="2:24" ht="15.75" customHeight="1" x14ac:dyDescent="0.25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spans="2:24" ht="15.75" customHeight="1" x14ac:dyDescent="0.25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spans="2:24" ht="15.75" customHeight="1" x14ac:dyDescent="0.25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spans="2:24" ht="15.75" customHeight="1" x14ac:dyDescent="0.25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spans="2:24" ht="15.75" customHeight="1" x14ac:dyDescent="0.25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spans="2:24" ht="15.75" customHeight="1" x14ac:dyDescent="0.25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spans="2:24" ht="15.75" customHeight="1" x14ac:dyDescent="0.25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spans="2:24" ht="15.75" customHeight="1" x14ac:dyDescent="0.25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spans="2:24" ht="15.75" customHeight="1" x14ac:dyDescent="0.25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spans="2:24" ht="15.75" customHeight="1" x14ac:dyDescent="0.25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spans="2:24" ht="15.75" customHeight="1" x14ac:dyDescent="0.25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spans="2:24" ht="15.75" customHeight="1" x14ac:dyDescent="0.25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spans="2:24" ht="15.75" customHeight="1" x14ac:dyDescent="0.25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spans="2:24" ht="15.75" customHeight="1" x14ac:dyDescent="0.25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spans="2:24" ht="15.75" customHeight="1" x14ac:dyDescent="0.25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spans="2:24" ht="15.75" customHeight="1" x14ac:dyDescent="0.25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spans="2:24" ht="15.75" customHeight="1" x14ac:dyDescent="0.25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spans="2:24" ht="15.75" customHeight="1" x14ac:dyDescent="0.25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spans="2:24" ht="15.75" customHeight="1" x14ac:dyDescent="0.25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spans="2:24" ht="15.75" customHeight="1" x14ac:dyDescent="0.25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spans="2:24" ht="15.75" customHeight="1" x14ac:dyDescent="0.25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spans="2:24" ht="15.75" customHeight="1" x14ac:dyDescent="0.25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spans="2:24" ht="15.75" customHeight="1" x14ac:dyDescent="0.25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spans="2:24" ht="15.75" customHeight="1" x14ac:dyDescent="0.25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spans="2:24" ht="15.75" customHeight="1" x14ac:dyDescent="0.25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spans="2:24" ht="15.75" customHeight="1" x14ac:dyDescent="0.25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spans="2:24" ht="15.75" customHeight="1" x14ac:dyDescent="0.25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spans="2:24" ht="15.75" customHeight="1" x14ac:dyDescent="0.25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spans="2:24" ht="15.75" customHeight="1" x14ac:dyDescent="0.25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spans="2:24" ht="15.75" customHeight="1" x14ac:dyDescent="0.25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spans="2:24" ht="15.75" customHeight="1" x14ac:dyDescent="0.25"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spans="2:24" ht="15.75" customHeight="1" x14ac:dyDescent="0.25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spans="2:24" ht="15.75" customHeight="1" x14ac:dyDescent="0.25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spans="2:24" ht="15.75" customHeight="1" x14ac:dyDescent="0.25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spans="2:24" ht="15.75" customHeight="1" x14ac:dyDescent="0.25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spans="2:24" ht="15.75" customHeight="1" x14ac:dyDescent="0.25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spans="2:24" ht="15.75" customHeight="1" x14ac:dyDescent="0.25"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spans="2:24" ht="15.75" customHeight="1" x14ac:dyDescent="0.25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spans="2:24" ht="15.75" customHeight="1" x14ac:dyDescent="0.25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spans="2:24" ht="15.75" customHeight="1" x14ac:dyDescent="0.25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spans="2:24" ht="15.75" customHeight="1" x14ac:dyDescent="0.25"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spans="2:24" ht="15.75" customHeight="1" x14ac:dyDescent="0.25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spans="2:24" ht="15.75" customHeight="1" x14ac:dyDescent="0.25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spans="2:24" ht="15.75" customHeight="1" x14ac:dyDescent="0.25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spans="2:24" ht="15.75" customHeight="1" x14ac:dyDescent="0.25"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spans="2:24" ht="15.75" customHeight="1" x14ac:dyDescent="0.25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spans="2:24" ht="15.75" customHeight="1" x14ac:dyDescent="0.25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spans="2:24" ht="15.75" customHeight="1" x14ac:dyDescent="0.25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spans="2:24" ht="15.75" customHeight="1" x14ac:dyDescent="0.25"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spans="2:24" ht="15.75" customHeight="1" x14ac:dyDescent="0.25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spans="2:24" ht="15.75" customHeight="1" x14ac:dyDescent="0.25"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spans="2:24" ht="15.75" customHeight="1" x14ac:dyDescent="0.25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spans="2:24" ht="15.75" customHeight="1" x14ac:dyDescent="0.25"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spans="2:24" ht="15.75" customHeight="1" x14ac:dyDescent="0.25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spans="2:24" ht="15.75" customHeight="1" x14ac:dyDescent="0.25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spans="2:24" ht="15.75" customHeight="1" x14ac:dyDescent="0.25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spans="2:24" ht="15.75" customHeight="1" x14ac:dyDescent="0.25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spans="2:24" ht="15.75" customHeight="1" x14ac:dyDescent="0.25"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spans="2:24" ht="15.75" customHeight="1" x14ac:dyDescent="0.25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spans="2:24" ht="15.75" customHeight="1" x14ac:dyDescent="0.25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spans="2:24" ht="15.75" customHeight="1" x14ac:dyDescent="0.25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spans="2:24" ht="15.75" customHeight="1" x14ac:dyDescent="0.25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spans="2:24" ht="15.75" customHeight="1" x14ac:dyDescent="0.25"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spans="2:24" ht="15.75" customHeight="1" x14ac:dyDescent="0.25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spans="2:24" ht="15.75" customHeight="1" x14ac:dyDescent="0.25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spans="2:24" ht="15.75" customHeight="1" x14ac:dyDescent="0.25"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spans="2:24" ht="15.75" customHeight="1" x14ac:dyDescent="0.25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spans="2:24" ht="15.75" customHeight="1" x14ac:dyDescent="0.25"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spans="2:24" ht="15.75" customHeight="1" x14ac:dyDescent="0.25"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spans="2:24" ht="15.75" customHeight="1" x14ac:dyDescent="0.25"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spans="2:24" ht="15.75" customHeight="1" x14ac:dyDescent="0.25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spans="2:24" ht="15.75" customHeight="1" x14ac:dyDescent="0.25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spans="2:24" ht="15.75" customHeight="1" x14ac:dyDescent="0.25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spans="2:24" ht="15.75" customHeight="1" x14ac:dyDescent="0.25"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spans="2:24" ht="15.75" customHeight="1" x14ac:dyDescent="0.25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spans="2:24" ht="15.75" customHeight="1" x14ac:dyDescent="0.25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spans="2:24" ht="15.75" customHeight="1" x14ac:dyDescent="0.25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spans="2:24" ht="15.75" customHeight="1" x14ac:dyDescent="0.25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spans="2:24" ht="15.75" customHeight="1" x14ac:dyDescent="0.25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spans="2:24" ht="15.75" customHeight="1" x14ac:dyDescent="0.25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spans="2:24" ht="15.75" customHeight="1" x14ac:dyDescent="0.25"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spans="2:24" ht="15.75" customHeight="1" x14ac:dyDescent="0.25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spans="2:24" ht="15.75" customHeight="1" x14ac:dyDescent="0.25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spans="2:24" ht="15.75" customHeight="1" x14ac:dyDescent="0.25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spans="2:24" ht="15.75" customHeight="1" x14ac:dyDescent="0.25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spans="2:24" ht="15.75" customHeight="1" x14ac:dyDescent="0.25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spans="2:24" ht="15.75" customHeight="1" x14ac:dyDescent="0.25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spans="2:24" ht="15.75" customHeight="1" x14ac:dyDescent="0.25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spans="2:24" ht="15.75" customHeight="1" x14ac:dyDescent="0.25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spans="2:24" ht="15.75" customHeight="1" x14ac:dyDescent="0.25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spans="2:24" ht="15.75" customHeight="1" x14ac:dyDescent="0.25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spans="2:24" ht="15.75" customHeight="1" x14ac:dyDescent="0.25"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spans="2:24" ht="15.75" customHeight="1" x14ac:dyDescent="0.25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spans="2:24" ht="15.75" customHeight="1" x14ac:dyDescent="0.25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spans="2:24" ht="15.75" customHeight="1" x14ac:dyDescent="0.25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spans="2:24" ht="15.75" customHeight="1" x14ac:dyDescent="0.25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spans="2:24" ht="15.75" customHeight="1" x14ac:dyDescent="0.25"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spans="2:24" ht="15.75" customHeight="1" x14ac:dyDescent="0.25"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spans="2:24" ht="15.75" customHeight="1" x14ac:dyDescent="0.25"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spans="2:24" ht="15.75" customHeight="1" x14ac:dyDescent="0.25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spans="2:24" ht="15.75" customHeight="1" x14ac:dyDescent="0.25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spans="2:24" ht="15.75" customHeight="1" x14ac:dyDescent="0.25"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spans="2:24" ht="15.75" customHeight="1" x14ac:dyDescent="0.25"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spans="2:24" ht="15.75" customHeight="1" x14ac:dyDescent="0.25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spans="2:24" ht="15.75" customHeight="1" x14ac:dyDescent="0.25"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spans="2:24" ht="15.75" customHeight="1" x14ac:dyDescent="0.25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spans="2:24" ht="15.75" customHeight="1" x14ac:dyDescent="0.25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spans="2:24" ht="15.75" customHeight="1" x14ac:dyDescent="0.25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spans="2:24" ht="15.75" customHeight="1" x14ac:dyDescent="0.25"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spans="2:24" ht="15.75" customHeight="1" x14ac:dyDescent="0.25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spans="2:24" ht="15.75" customHeight="1" x14ac:dyDescent="0.25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spans="2:24" ht="15.75" customHeight="1" x14ac:dyDescent="0.25"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spans="2:24" ht="15.75" customHeight="1" x14ac:dyDescent="0.25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spans="2:24" ht="15.75" customHeight="1" x14ac:dyDescent="0.25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spans="2:24" ht="15.75" customHeight="1" x14ac:dyDescent="0.25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spans="2:24" ht="15.75" customHeight="1" x14ac:dyDescent="0.25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spans="2:24" ht="15.75" customHeight="1" x14ac:dyDescent="0.25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spans="2:24" ht="15.75" customHeight="1" x14ac:dyDescent="0.25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spans="2:24" ht="15.75" customHeight="1" x14ac:dyDescent="0.25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spans="2:24" ht="15.75" customHeight="1" x14ac:dyDescent="0.25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spans="2:24" ht="15.75" customHeight="1" x14ac:dyDescent="0.25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spans="2:24" ht="15.75" customHeight="1" x14ac:dyDescent="0.25"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spans="2:24" ht="15.75" customHeight="1" x14ac:dyDescent="0.25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spans="2:24" ht="15.75" customHeight="1" x14ac:dyDescent="0.25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spans="2:24" ht="15.75" customHeight="1" x14ac:dyDescent="0.25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spans="2:24" ht="15.75" customHeight="1" x14ac:dyDescent="0.25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spans="2:24" ht="15.75" customHeight="1" x14ac:dyDescent="0.25"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spans="2:24" ht="15.75" customHeight="1" x14ac:dyDescent="0.25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spans="2:24" ht="15.75" customHeight="1" x14ac:dyDescent="0.25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spans="2:24" ht="15.75" customHeight="1" x14ac:dyDescent="0.25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spans="2:24" ht="15.75" customHeight="1" x14ac:dyDescent="0.25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spans="2:24" ht="15.75" customHeight="1" x14ac:dyDescent="0.25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spans="2:24" ht="15.75" customHeight="1" x14ac:dyDescent="0.25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spans="2:24" ht="15.75" customHeight="1" x14ac:dyDescent="0.25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spans="2:24" ht="15.75" customHeight="1" x14ac:dyDescent="0.25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spans="2:24" ht="15.75" customHeight="1" x14ac:dyDescent="0.25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spans="2:24" ht="15.75" customHeight="1" x14ac:dyDescent="0.25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spans="2:24" ht="15.75" customHeight="1" x14ac:dyDescent="0.25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spans="2:24" ht="15.75" customHeight="1" x14ac:dyDescent="0.25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spans="2:24" ht="15.75" customHeight="1" x14ac:dyDescent="0.25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spans="2:24" ht="15.75" customHeight="1" x14ac:dyDescent="0.25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spans="2:24" ht="15.75" customHeight="1" x14ac:dyDescent="0.25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spans="2:24" ht="15.75" customHeight="1" x14ac:dyDescent="0.25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spans="2:24" ht="15.75" customHeight="1" x14ac:dyDescent="0.25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spans="2:24" ht="15.75" customHeight="1" x14ac:dyDescent="0.25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spans="2:24" ht="15.75" customHeight="1" x14ac:dyDescent="0.25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spans="2:24" ht="15.75" customHeight="1" x14ac:dyDescent="0.25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spans="2:24" ht="15.75" customHeight="1" x14ac:dyDescent="0.25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spans="2:24" ht="15.75" customHeight="1" x14ac:dyDescent="0.25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spans="2:24" ht="15.75" customHeight="1" x14ac:dyDescent="0.25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spans="2:24" ht="15.75" customHeight="1" x14ac:dyDescent="0.25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spans="2:24" ht="15.75" customHeight="1" x14ac:dyDescent="0.25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spans="2:24" ht="15.75" customHeight="1" x14ac:dyDescent="0.25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spans="2:24" ht="15.75" customHeight="1" x14ac:dyDescent="0.25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spans="2:24" ht="15.75" customHeight="1" x14ac:dyDescent="0.25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spans="2:24" ht="15.75" customHeight="1" x14ac:dyDescent="0.25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spans="2:24" ht="15.75" customHeight="1" x14ac:dyDescent="0.25"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spans="2:24" ht="15.75" customHeight="1" x14ac:dyDescent="0.25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spans="2:24" ht="15.75" customHeight="1" x14ac:dyDescent="0.25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spans="2:24" ht="15.75" customHeight="1" x14ac:dyDescent="0.25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spans="2:24" ht="15.75" customHeight="1" x14ac:dyDescent="0.25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spans="2:24" ht="15.75" customHeight="1" x14ac:dyDescent="0.25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spans="2:24" ht="15.75" customHeight="1" x14ac:dyDescent="0.25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spans="2:24" ht="15.75" customHeight="1" x14ac:dyDescent="0.25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spans="2:24" ht="15.75" customHeight="1" x14ac:dyDescent="0.25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spans="2:24" ht="15.75" customHeight="1" x14ac:dyDescent="0.25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spans="2:24" ht="15.75" customHeight="1" x14ac:dyDescent="0.25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spans="2:24" ht="15.75" customHeight="1" x14ac:dyDescent="0.25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spans="2:24" ht="15.75" customHeight="1" x14ac:dyDescent="0.25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spans="2:24" ht="15.75" customHeight="1" x14ac:dyDescent="0.25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spans="2:24" ht="15.75" customHeight="1" x14ac:dyDescent="0.25"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spans="2:24" ht="15.75" customHeight="1" x14ac:dyDescent="0.25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spans="2:24" ht="15.75" customHeight="1" x14ac:dyDescent="0.25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spans="2:24" ht="15.75" customHeight="1" x14ac:dyDescent="0.25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spans="2:24" ht="15.75" customHeight="1" x14ac:dyDescent="0.25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spans="2:24" ht="15.75" customHeight="1" x14ac:dyDescent="0.25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spans="2:24" ht="15.75" customHeight="1" x14ac:dyDescent="0.25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spans="2:24" ht="15.75" customHeight="1" x14ac:dyDescent="0.25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spans="2:24" ht="15.75" customHeight="1" x14ac:dyDescent="0.25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spans="2:24" ht="15.75" customHeight="1" x14ac:dyDescent="0.25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spans="2:24" ht="15.75" customHeight="1" x14ac:dyDescent="0.25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spans="2:24" ht="15.75" customHeight="1" x14ac:dyDescent="0.25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spans="2:24" ht="15.75" customHeight="1" x14ac:dyDescent="0.25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spans="2:24" ht="15.75" customHeight="1" x14ac:dyDescent="0.25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spans="2:24" ht="15.75" customHeight="1" x14ac:dyDescent="0.25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spans="2:24" ht="15.75" customHeight="1" x14ac:dyDescent="0.25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spans="2:24" ht="15.75" customHeight="1" x14ac:dyDescent="0.25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spans="2:24" ht="15.75" customHeight="1" x14ac:dyDescent="0.25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spans="2:24" ht="15.75" customHeight="1" x14ac:dyDescent="0.25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spans="2:24" ht="15.75" customHeight="1" x14ac:dyDescent="0.25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spans="2:24" ht="15.75" customHeight="1" x14ac:dyDescent="0.25"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spans="2:24" ht="15.75" customHeight="1" x14ac:dyDescent="0.25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spans="2:24" ht="15.75" customHeight="1" x14ac:dyDescent="0.25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spans="2:24" ht="15.75" customHeight="1" x14ac:dyDescent="0.25"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spans="2:24" ht="15.75" customHeight="1" x14ac:dyDescent="0.25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spans="2:24" ht="15.75" customHeight="1" x14ac:dyDescent="0.25"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spans="2:24" ht="15.75" customHeight="1" x14ac:dyDescent="0.25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spans="2:24" ht="15.75" customHeight="1" x14ac:dyDescent="0.25"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spans="2:24" ht="15.75" customHeight="1" x14ac:dyDescent="0.25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spans="2:24" ht="15.75" customHeight="1" x14ac:dyDescent="0.25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spans="2:24" ht="15.75" customHeight="1" x14ac:dyDescent="0.25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spans="2:24" ht="15.75" customHeight="1" x14ac:dyDescent="0.25"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spans="2:24" ht="15.75" customHeight="1" x14ac:dyDescent="0.25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spans="2:24" ht="15.75" customHeight="1" x14ac:dyDescent="0.25"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spans="2:24" ht="15.75" customHeight="1" x14ac:dyDescent="0.25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spans="2:24" ht="15.75" customHeight="1" x14ac:dyDescent="0.25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spans="2:24" ht="15.75" customHeight="1" x14ac:dyDescent="0.25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spans="2:24" ht="15.75" customHeight="1" x14ac:dyDescent="0.25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spans="2:24" ht="15.75" customHeight="1" x14ac:dyDescent="0.25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spans="2:24" ht="15.75" customHeight="1" x14ac:dyDescent="0.25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spans="2:24" ht="15.75" customHeight="1" x14ac:dyDescent="0.25"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spans="2:24" ht="15.75" customHeight="1" x14ac:dyDescent="0.25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spans="2:24" ht="15.75" customHeight="1" x14ac:dyDescent="0.25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spans="2:24" ht="15.75" customHeight="1" x14ac:dyDescent="0.25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spans="2:24" ht="15.75" customHeight="1" x14ac:dyDescent="0.25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spans="2:24" ht="15.75" customHeight="1" x14ac:dyDescent="0.25"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spans="2:24" ht="15.75" customHeight="1" x14ac:dyDescent="0.25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spans="2:24" ht="15.75" customHeight="1" x14ac:dyDescent="0.25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spans="2:24" ht="15.75" customHeight="1" x14ac:dyDescent="0.25"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spans="2:24" ht="15.75" customHeight="1" x14ac:dyDescent="0.25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spans="2:24" ht="15.75" customHeight="1" x14ac:dyDescent="0.25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spans="2:24" ht="15.75" customHeight="1" x14ac:dyDescent="0.25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spans="2:24" ht="15.75" customHeight="1" x14ac:dyDescent="0.25"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spans="2:24" ht="15.75" customHeight="1" x14ac:dyDescent="0.25"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spans="2:24" ht="15.75" customHeight="1" x14ac:dyDescent="0.25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spans="2:24" ht="15.75" customHeight="1" x14ac:dyDescent="0.25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spans="2:24" ht="15.75" customHeight="1" x14ac:dyDescent="0.25"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spans="2:24" ht="15.75" customHeight="1" x14ac:dyDescent="0.25"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spans="2:24" ht="15.75" customHeight="1" x14ac:dyDescent="0.25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spans="2:24" ht="15.75" customHeight="1" x14ac:dyDescent="0.25"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spans="2:24" ht="15.75" customHeight="1" x14ac:dyDescent="0.25"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spans="2:24" ht="15.75" customHeight="1" x14ac:dyDescent="0.25"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spans="2:24" ht="15.75" customHeight="1" x14ac:dyDescent="0.25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spans="2:24" ht="15.75" customHeight="1" x14ac:dyDescent="0.25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spans="2:24" ht="15.75" customHeight="1" x14ac:dyDescent="0.25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spans="2:24" ht="15.75" customHeight="1" x14ac:dyDescent="0.25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spans="2:24" ht="15.75" customHeight="1" x14ac:dyDescent="0.25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spans="2:24" ht="15.75" customHeight="1" x14ac:dyDescent="0.25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spans="2:24" ht="15.75" customHeight="1" x14ac:dyDescent="0.25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spans="2:24" ht="15.75" customHeight="1" x14ac:dyDescent="0.25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spans="2:24" ht="15.75" customHeight="1" x14ac:dyDescent="0.25"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spans="2:24" ht="15.75" customHeight="1" x14ac:dyDescent="0.25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spans="2:24" ht="15.75" customHeight="1" x14ac:dyDescent="0.25"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spans="2:24" ht="15.75" customHeight="1" x14ac:dyDescent="0.25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spans="2:24" ht="15.75" customHeight="1" x14ac:dyDescent="0.25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spans="2:24" ht="15.75" customHeight="1" x14ac:dyDescent="0.25"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spans="2:24" ht="15.75" customHeight="1" x14ac:dyDescent="0.25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spans="2:24" ht="15.75" customHeight="1" x14ac:dyDescent="0.25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spans="2:24" ht="15.75" customHeight="1" x14ac:dyDescent="0.25"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spans="2:24" ht="15.75" customHeight="1" x14ac:dyDescent="0.25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spans="2:24" ht="15.75" customHeight="1" x14ac:dyDescent="0.25"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spans="2:24" ht="15.75" customHeight="1" x14ac:dyDescent="0.25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spans="2:24" ht="15.75" customHeight="1" x14ac:dyDescent="0.25"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spans="2:24" ht="15.75" customHeight="1" x14ac:dyDescent="0.25"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spans="2:24" ht="15.75" customHeight="1" x14ac:dyDescent="0.25"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spans="2:24" ht="15.75" customHeight="1" x14ac:dyDescent="0.25"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spans="2:24" ht="15.75" customHeight="1" x14ac:dyDescent="0.25"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spans="2:24" ht="15.75" customHeight="1" x14ac:dyDescent="0.25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spans="2:24" ht="15.75" customHeight="1" x14ac:dyDescent="0.25"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spans="2:24" ht="15.75" customHeight="1" x14ac:dyDescent="0.25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spans="2:24" ht="15.75" customHeight="1" x14ac:dyDescent="0.25"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spans="2:24" ht="15.75" customHeight="1" x14ac:dyDescent="0.25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spans="2:24" ht="15.75" customHeight="1" x14ac:dyDescent="0.25"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spans="2:24" ht="15.75" customHeight="1" x14ac:dyDescent="0.25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spans="2:24" ht="15.75" customHeight="1" x14ac:dyDescent="0.25"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spans="2:24" ht="15.75" customHeight="1" x14ac:dyDescent="0.25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spans="2:24" ht="15.75" customHeight="1" x14ac:dyDescent="0.25"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spans="2:24" ht="15.75" customHeight="1" x14ac:dyDescent="0.25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spans="2:24" ht="15.75" customHeight="1" x14ac:dyDescent="0.25"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spans="2:24" ht="15.75" customHeight="1" x14ac:dyDescent="0.25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spans="2:24" ht="15.75" customHeight="1" x14ac:dyDescent="0.25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spans="2:24" ht="15.75" customHeight="1" x14ac:dyDescent="0.25"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spans="2:24" ht="15.75" customHeight="1" x14ac:dyDescent="0.25"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spans="2:24" ht="15.75" customHeight="1" x14ac:dyDescent="0.25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spans="2:24" ht="15.75" customHeight="1" x14ac:dyDescent="0.25"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spans="2:24" ht="15.75" customHeight="1" x14ac:dyDescent="0.25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spans="2:24" ht="15.75" customHeight="1" x14ac:dyDescent="0.25"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spans="2:24" ht="15.75" customHeight="1" x14ac:dyDescent="0.25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spans="2:24" ht="15.75" customHeight="1" x14ac:dyDescent="0.25"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spans="2:24" ht="15.75" customHeight="1" x14ac:dyDescent="0.25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spans="2:24" ht="15.75" customHeight="1" x14ac:dyDescent="0.25"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spans="2:24" ht="15.75" customHeight="1" x14ac:dyDescent="0.25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spans="2:24" ht="15.75" customHeight="1" x14ac:dyDescent="0.25"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spans="2:24" ht="15.75" customHeight="1" x14ac:dyDescent="0.25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spans="2:24" ht="15.75" customHeight="1" x14ac:dyDescent="0.25"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spans="2:24" ht="15.75" customHeight="1" x14ac:dyDescent="0.25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spans="2:24" ht="15.75" customHeight="1" x14ac:dyDescent="0.25"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spans="2:24" ht="15.75" customHeight="1" x14ac:dyDescent="0.25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spans="2:24" ht="15.75" customHeight="1" x14ac:dyDescent="0.25"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spans="2:24" ht="15.75" customHeight="1" x14ac:dyDescent="0.25"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spans="2:24" ht="15.75" customHeight="1" x14ac:dyDescent="0.25"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spans="2:24" ht="15.75" customHeight="1" x14ac:dyDescent="0.25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spans="2:24" ht="15.75" customHeight="1" x14ac:dyDescent="0.25"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spans="2:24" ht="15.75" customHeight="1" x14ac:dyDescent="0.25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spans="2:24" ht="15.75" customHeight="1" x14ac:dyDescent="0.25"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spans="2:24" ht="15.75" customHeight="1" x14ac:dyDescent="0.25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spans="2:24" ht="15.75" customHeight="1" x14ac:dyDescent="0.25"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spans="2:24" ht="15.75" customHeight="1" x14ac:dyDescent="0.25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spans="2:24" ht="15.75" customHeight="1" x14ac:dyDescent="0.25"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spans="2:24" ht="15.75" customHeight="1" x14ac:dyDescent="0.25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spans="2:24" ht="15.75" customHeight="1" x14ac:dyDescent="0.25"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spans="2:24" ht="15.75" customHeight="1" x14ac:dyDescent="0.25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spans="2:24" ht="15.75" customHeight="1" x14ac:dyDescent="0.25"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spans="2:24" ht="15.75" customHeight="1" x14ac:dyDescent="0.25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spans="2:24" ht="15.75" customHeight="1" x14ac:dyDescent="0.25"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spans="2:24" ht="15.75" customHeight="1" x14ac:dyDescent="0.25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spans="2:24" ht="15.75" customHeight="1" x14ac:dyDescent="0.25"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spans="2:24" ht="15.75" customHeight="1" x14ac:dyDescent="0.25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spans="2:24" ht="15.75" customHeight="1" x14ac:dyDescent="0.25"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spans="2:24" ht="15.75" customHeight="1" x14ac:dyDescent="0.25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spans="2:24" ht="15.75" customHeight="1" x14ac:dyDescent="0.25"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spans="2:24" ht="15.75" customHeight="1" x14ac:dyDescent="0.25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spans="2:24" ht="15.75" customHeight="1" x14ac:dyDescent="0.25"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spans="2:24" ht="15.75" customHeight="1" x14ac:dyDescent="0.25"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spans="2:24" ht="15.75" customHeight="1" x14ac:dyDescent="0.25"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spans="2:24" ht="15.75" customHeight="1" x14ac:dyDescent="0.25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spans="2:24" ht="15.75" customHeight="1" x14ac:dyDescent="0.25"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spans="2:24" ht="15.75" customHeight="1" x14ac:dyDescent="0.25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spans="2:24" ht="15.75" customHeight="1" x14ac:dyDescent="0.25"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spans="2:24" ht="15.75" customHeight="1" x14ac:dyDescent="0.25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spans="2:24" ht="15.75" customHeight="1" x14ac:dyDescent="0.25"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spans="2:24" ht="15.75" customHeight="1" x14ac:dyDescent="0.25"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spans="2:24" ht="15.75" customHeight="1" x14ac:dyDescent="0.25"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spans="2:24" ht="15.75" customHeight="1" x14ac:dyDescent="0.25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spans="2:24" ht="15.75" customHeight="1" x14ac:dyDescent="0.25"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spans="2:24" ht="15.75" customHeight="1" x14ac:dyDescent="0.25"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spans="2:24" ht="15.75" customHeight="1" x14ac:dyDescent="0.25"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spans="2:24" ht="15.75" customHeight="1" x14ac:dyDescent="0.25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spans="2:24" ht="15.75" customHeight="1" x14ac:dyDescent="0.25"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spans="2:24" ht="15.75" customHeight="1" x14ac:dyDescent="0.25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spans="2:24" ht="15.75" customHeight="1" x14ac:dyDescent="0.25"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spans="2:24" ht="15.75" customHeight="1" x14ac:dyDescent="0.25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spans="2:24" ht="15.75" customHeight="1" x14ac:dyDescent="0.25"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spans="2:24" ht="15.75" customHeight="1" x14ac:dyDescent="0.25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spans="2:24" ht="15.75" customHeight="1" x14ac:dyDescent="0.25"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spans="2:24" ht="15.75" customHeight="1" x14ac:dyDescent="0.25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spans="2:24" ht="15.75" customHeight="1" x14ac:dyDescent="0.25"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spans="2:24" ht="15.75" customHeight="1" x14ac:dyDescent="0.25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spans="2:24" ht="15.75" customHeight="1" x14ac:dyDescent="0.25"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spans="2:24" ht="15.75" customHeight="1" x14ac:dyDescent="0.25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spans="2:24" ht="15.75" customHeight="1" x14ac:dyDescent="0.25"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spans="2:24" ht="15.75" customHeight="1" x14ac:dyDescent="0.25"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spans="2:24" ht="15.75" customHeight="1" x14ac:dyDescent="0.25"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spans="2:24" ht="15.75" customHeight="1" x14ac:dyDescent="0.25"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spans="2:24" ht="15.75" customHeight="1" x14ac:dyDescent="0.25"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spans="2:24" ht="15.75" customHeight="1" x14ac:dyDescent="0.25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spans="2:24" ht="15.75" customHeight="1" x14ac:dyDescent="0.25"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spans="2:24" ht="15.75" customHeight="1" x14ac:dyDescent="0.25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spans="2:24" ht="15.75" customHeight="1" x14ac:dyDescent="0.25"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spans="2:24" ht="15.75" customHeight="1" x14ac:dyDescent="0.25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spans="2:24" ht="15.75" customHeight="1" x14ac:dyDescent="0.25"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spans="2:24" ht="15.75" customHeight="1" x14ac:dyDescent="0.25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spans="2:24" ht="15.75" customHeight="1" x14ac:dyDescent="0.25"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spans="2:24" ht="15.75" customHeight="1" x14ac:dyDescent="0.25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spans="2:24" ht="15.75" customHeight="1" x14ac:dyDescent="0.25"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spans="2:24" ht="15.75" customHeight="1" x14ac:dyDescent="0.25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spans="2:24" ht="15.75" customHeight="1" x14ac:dyDescent="0.25"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spans="2:24" ht="15.75" customHeight="1" x14ac:dyDescent="0.25"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spans="2:24" ht="15.75" customHeight="1" x14ac:dyDescent="0.25"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spans="2:24" ht="15.75" customHeight="1" x14ac:dyDescent="0.25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spans="2:24" ht="15.75" customHeight="1" x14ac:dyDescent="0.25"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spans="2:24" ht="15.75" customHeight="1" x14ac:dyDescent="0.25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spans="2:24" ht="15.75" customHeight="1" x14ac:dyDescent="0.25"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spans="2:24" ht="15.75" customHeight="1" x14ac:dyDescent="0.25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spans="2:24" ht="15.75" customHeight="1" x14ac:dyDescent="0.25"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spans="2:24" ht="15.75" customHeight="1" x14ac:dyDescent="0.25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spans="2:24" ht="15.75" customHeight="1" x14ac:dyDescent="0.25"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spans="2:24" ht="15.75" customHeight="1" x14ac:dyDescent="0.25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spans="2:24" ht="15.75" customHeight="1" x14ac:dyDescent="0.25"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spans="2:24" ht="15.75" customHeight="1" x14ac:dyDescent="0.25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spans="2:24" ht="15.75" customHeight="1" x14ac:dyDescent="0.25"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spans="2:24" ht="15.75" customHeight="1" x14ac:dyDescent="0.25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spans="2:24" ht="15.75" customHeight="1" x14ac:dyDescent="0.25"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spans="2:24" ht="15.75" customHeight="1" x14ac:dyDescent="0.25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spans="2:24" ht="15.75" customHeight="1" x14ac:dyDescent="0.25"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spans="2:24" ht="15.75" customHeight="1" x14ac:dyDescent="0.25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spans="2:24" ht="15.75" customHeight="1" x14ac:dyDescent="0.25"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spans="2:24" ht="15.75" customHeight="1" x14ac:dyDescent="0.25"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spans="2:24" ht="15.75" customHeight="1" x14ac:dyDescent="0.25"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spans="2:24" ht="15.75" customHeight="1" x14ac:dyDescent="0.25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spans="2:24" ht="15.75" customHeight="1" x14ac:dyDescent="0.25"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spans="2:24" ht="15.75" customHeight="1" x14ac:dyDescent="0.25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spans="2:24" ht="15.75" customHeight="1" x14ac:dyDescent="0.25"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spans="2:24" ht="15.75" customHeight="1" x14ac:dyDescent="0.25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spans="2:24" ht="15.75" customHeight="1" x14ac:dyDescent="0.25"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spans="2:24" ht="15.75" customHeight="1" x14ac:dyDescent="0.25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spans="2:24" ht="15.75" customHeight="1" x14ac:dyDescent="0.25"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spans="2:24" ht="15.75" customHeight="1" x14ac:dyDescent="0.25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spans="2:24" ht="15.75" customHeight="1" x14ac:dyDescent="0.25"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spans="2:24" ht="15.75" customHeight="1" x14ac:dyDescent="0.25"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spans="2:24" ht="15.75" customHeight="1" x14ac:dyDescent="0.25"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spans="2:24" ht="15.75" customHeight="1" x14ac:dyDescent="0.25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spans="2:24" ht="15.75" customHeight="1" x14ac:dyDescent="0.25"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spans="2:24" ht="15.75" customHeight="1" x14ac:dyDescent="0.25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spans="2:24" ht="15.75" customHeight="1" x14ac:dyDescent="0.25"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spans="2:24" ht="15.75" customHeight="1" x14ac:dyDescent="0.25"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spans="2:24" ht="15.75" customHeight="1" x14ac:dyDescent="0.25"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spans="2:24" ht="15.75" customHeight="1" x14ac:dyDescent="0.25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spans="2:24" ht="15.75" customHeight="1" x14ac:dyDescent="0.25"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spans="2:24" ht="15.75" customHeight="1" x14ac:dyDescent="0.25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spans="2:24" ht="15.75" customHeight="1" x14ac:dyDescent="0.25"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spans="2:24" ht="15.75" customHeight="1" x14ac:dyDescent="0.25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spans="2:24" ht="15.75" customHeight="1" x14ac:dyDescent="0.25"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spans="2:24" ht="15.75" customHeight="1" x14ac:dyDescent="0.25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spans="2:24" ht="15.75" customHeight="1" x14ac:dyDescent="0.25"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spans="2:24" ht="15.75" customHeight="1" x14ac:dyDescent="0.25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spans="2:24" ht="15.75" customHeight="1" x14ac:dyDescent="0.25"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spans="2:24" ht="15.75" customHeight="1" x14ac:dyDescent="0.25"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spans="2:24" ht="15.75" customHeight="1" x14ac:dyDescent="0.25"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spans="2:24" ht="15.75" customHeight="1" x14ac:dyDescent="0.25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spans="2:24" ht="15.75" customHeight="1" x14ac:dyDescent="0.25"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spans="2:24" ht="15.75" customHeight="1" x14ac:dyDescent="0.25"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spans="2:24" ht="15.75" customHeight="1" x14ac:dyDescent="0.25"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spans="2:24" ht="15.75" customHeight="1" x14ac:dyDescent="0.25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spans="2:24" ht="15.75" customHeight="1" x14ac:dyDescent="0.25"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spans="2:24" ht="15.75" customHeight="1" x14ac:dyDescent="0.25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spans="2:24" ht="15.75" customHeight="1" x14ac:dyDescent="0.25"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spans="2:24" ht="15.75" customHeight="1" x14ac:dyDescent="0.25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spans="2:24" ht="15.75" customHeight="1" x14ac:dyDescent="0.25"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spans="2:24" ht="15.75" customHeight="1" x14ac:dyDescent="0.25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spans="2:24" ht="15.75" customHeight="1" x14ac:dyDescent="0.25"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spans="2:24" ht="15.75" customHeight="1" x14ac:dyDescent="0.25"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spans="2:24" ht="15.75" customHeight="1" x14ac:dyDescent="0.25"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spans="2:24" ht="15.75" customHeight="1" x14ac:dyDescent="0.25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spans="2:24" ht="15.75" customHeight="1" x14ac:dyDescent="0.25"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spans="2:24" ht="15.75" customHeight="1" x14ac:dyDescent="0.25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spans="2:24" ht="15.75" customHeight="1" x14ac:dyDescent="0.25"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spans="2:24" ht="15.75" customHeight="1" x14ac:dyDescent="0.25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spans="2:24" ht="15.75" customHeight="1" x14ac:dyDescent="0.25"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spans="2:24" ht="15.75" customHeight="1" x14ac:dyDescent="0.25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spans="2:24" ht="15.75" customHeight="1" x14ac:dyDescent="0.25"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spans="2:24" ht="15.75" customHeight="1" x14ac:dyDescent="0.25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spans="2:24" ht="15.75" customHeight="1" x14ac:dyDescent="0.25"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spans="2:24" ht="15.75" customHeight="1" x14ac:dyDescent="0.25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spans="2:24" ht="15.75" customHeight="1" x14ac:dyDescent="0.25"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spans="2:24" ht="15.75" customHeight="1" x14ac:dyDescent="0.25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spans="2:24" ht="15.75" customHeight="1" x14ac:dyDescent="0.25"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spans="2:24" ht="15.75" customHeight="1" x14ac:dyDescent="0.25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spans="2:24" ht="15.75" customHeight="1" x14ac:dyDescent="0.25"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spans="2:24" ht="15.75" customHeight="1" x14ac:dyDescent="0.25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spans="2:24" ht="15.75" customHeight="1" x14ac:dyDescent="0.25"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spans="2:24" ht="15.75" customHeight="1" x14ac:dyDescent="0.25"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spans="2:24" ht="15.75" customHeight="1" x14ac:dyDescent="0.25"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spans="2:24" ht="15.75" customHeight="1" x14ac:dyDescent="0.25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spans="2:24" ht="15.75" customHeight="1" x14ac:dyDescent="0.25"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spans="2:24" ht="15.75" customHeight="1" x14ac:dyDescent="0.25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spans="2:24" ht="15.75" customHeight="1" x14ac:dyDescent="0.25"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spans="2:24" ht="15.75" customHeight="1" x14ac:dyDescent="0.25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spans="2:24" ht="15.75" customHeight="1" x14ac:dyDescent="0.25"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spans="2:24" ht="15.75" customHeight="1" x14ac:dyDescent="0.25"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spans="2:24" ht="15.75" customHeight="1" x14ac:dyDescent="0.25"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spans="2:24" ht="15.75" customHeight="1" x14ac:dyDescent="0.25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spans="2:24" ht="15.75" customHeight="1" x14ac:dyDescent="0.25"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spans="2:24" ht="15.75" customHeight="1" x14ac:dyDescent="0.25"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spans="2:24" ht="15.75" customHeight="1" x14ac:dyDescent="0.25"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spans="2:24" ht="15.75" customHeight="1" x14ac:dyDescent="0.25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spans="2:24" ht="15.75" customHeight="1" x14ac:dyDescent="0.25"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spans="2:24" ht="15.75" customHeight="1" x14ac:dyDescent="0.25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spans="2:24" ht="15.75" customHeight="1" x14ac:dyDescent="0.25"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spans="2:24" ht="15.75" customHeight="1" x14ac:dyDescent="0.25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spans="2:24" ht="15.75" customHeight="1" x14ac:dyDescent="0.25"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spans="2:24" ht="15.75" customHeight="1" x14ac:dyDescent="0.25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spans="2:24" ht="15.75" customHeight="1" x14ac:dyDescent="0.25"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spans="2:24" ht="15.75" customHeight="1" x14ac:dyDescent="0.25"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spans="2:24" ht="15.75" customHeight="1" x14ac:dyDescent="0.25"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spans="2:24" ht="15.75" customHeight="1" x14ac:dyDescent="0.25"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spans="2:24" ht="15.75" customHeight="1" x14ac:dyDescent="0.25"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spans="2:24" ht="15.75" customHeight="1" x14ac:dyDescent="0.25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spans="2:24" ht="15.75" customHeight="1" x14ac:dyDescent="0.25"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spans="2:24" ht="15.75" customHeight="1" x14ac:dyDescent="0.25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spans="2:24" ht="15.75" customHeight="1" x14ac:dyDescent="0.25"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spans="2:24" ht="15.75" customHeight="1" x14ac:dyDescent="0.25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spans="2:24" ht="15.75" customHeight="1" x14ac:dyDescent="0.25"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spans="2:24" ht="15.75" customHeight="1" x14ac:dyDescent="0.25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spans="2:24" ht="15.75" customHeight="1" x14ac:dyDescent="0.25"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spans="2:24" ht="15.75" customHeight="1" x14ac:dyDescent="0.25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spans="2:24" ht="15.75" customHeight="1" x14ac:dyDescent="0.25"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spans="2:24" ht="15.75" customHeight="1" x14ac:dyDescent="0.25"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spans="2:24" ht="15.75" customHeight="1" x14ac:dyDescent="0.25"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spans="2:24" ht="15.75" customHeight="1" x14ac:dyDescent="0.25"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spans="2:24" ht="15.75" customHeight="1" x14ac:dyDescent="0.25"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spans="2:24" ht="15.75" customHeight="1" x14ac:dyDescent="0.25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spans="2:24" ht="15.75" customHeight="1" x14ac:dyDescent="0.25"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spans="2:24" ht="15.75" customHeight="1" x14ac:dyDescent="0.25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spans="2:24" ht="15.75" customHeight="1" x14ac:dyDescent="0.25"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spans="2:24" ht="15.75" customHeight="1" x14ac:dyDescent="0.25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spans="2:24" ht="15.75" customHeight="1" x14ac:dyDescent="0.25"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spans="2:24" ht="15.75" customHeight="1" x14ac:dyDescent="0.25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spans="2:24" ht="15.75" customHeight="1" x14ac:dyDescent="0.25"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spans="2:24" ht="15.75" customHeight="1" x14ac:dyDescent="0.25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spans="2:24" ht="15.75" customHeight="1" x14ac:dyDescent="0.25"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spans="2:24" ht="15.75" customHeight="1" x14ac:dyDescent="0.25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spans="2:24" ht="15.75" customHeight="1" x14ac:dyDescent="0.25"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spans="2:24" ht="15.75" customHeight="1" x14ac:dyDescent="0.25"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spans="2:24" ht="15.75" customHeight="1" x14ac:dyDescent="0.25"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spans="2:24" ht="15.75" customHeight="1" x14ac:dyDescent="0.25"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spans="2:24" ht="15.75" customHeight="1" x14ac:dyDescent="0.25"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spans="2:24" ht="15.75" customHeight="1" x14ac:dyDescent="0.25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spans="2:24" ht="15.75" customHeight="1" x14ac:dyDescent="0.25"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spans="2:24" ht="15.75" customHeight="1" x14ac:dyDescent="0.25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spans="2:24" ht="15.75" customHeight="1" x14ac:dyDescent="0.25"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spans="2:24" ht="15.75" customHeight="1" x14ac:dyDescent="0.25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spans="2:24" ht="15.75" customHeight="1" x14ac:dyDescent="0.25"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spans="2:24" ht="15.75" customHeight="1" x14ac:dyDescent="0.25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spans="2:24" ht="15.75" customHeight="1" x14ac:dyDescent="0.25"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spans="2:24" ht="15.75" customHeight="1" x14ac:dyDescent="0.25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spans="2:24" ht="15.75" customHeight="1" x14ac:dyDescent="0.25"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spans="2:24" ht="15.75" customHeight="1" x14ac:dyDescent="0.25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spans="2:24" ht="15.75" customHeight="1" x14ac:dyDescent="0.25"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spans="2:24" ht="15.75" customHeight="1" x14ac:dyDescent="0.25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spans="2:24" ht="15.75" customHeight="1" x14ac:dyDescent="0.25"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spans="2:24" ht="15.75" customHeight="1" x14ac:dyDescent="0.25"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spans="2:24" ht="15.75" customHeight="1" x14ac:dyDescent="0.25"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spans="2:24" ht="15.75" customHeight="1" x14ac:dyDescent="0.25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spans="2:24" ht="15.75" customHeight="1" x14ac:dyDescent="0.25"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spans="2:24" ht="15.75" customHeight="1" x14ac:dyDescent="0.25"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spans="2:24" ht="15.75" customHeight="1" x14ac:dyDescent="0.25"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spans="2:24" ht="15.75" customHeight="1" x14ac:dyDescent="0.25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spans="2:24" ht="15.75" customHeight="1" x14ac:dyDescent="0.25"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spans="2:24" ht="15.75" customHeight="1" x14ac:dyDescent="0.25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spans="2:24" ht="15.75" customHeight="1" x14ac:dyDescent="0.25"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spans="2:24" ht="15.75" customHeight="1" x14ac:dyDescent="0.25"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spans="2:24" ht="15.75" customHeight="1" x14ac:dyDescent="0.25"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spans="2:24" ht="15.75" customHeight="1" x14ac:dyDescent="0.25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spans="2:24" ht="15.75" customHeight="1" x14ac:dyDescent="0.25"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spans="2:24" ht="15.75" customHeight="1" x14ac:dyDescent="0.25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spans="2:24" ht="15.75" customHeight="1" x14ac:dyDescent="0.25"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spans="2:24" ht="15.75" customHeight="1" x14ac:dyDescent="0.25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spans="2:24" ht="15.75" customHeight="1" x14ac:dyDescent="0.25"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spans="2:24" ht="15.75" customHeight="1" x14ac:dyDescent="0.25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spans="2:24" ht="15.75" customHeight="1" x14ac:dyDescent="0.25"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spans="2:24" ht="15.75" customHeight="1" x14ac:dyDescent="0.25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spans="2:24" ht="15.75" customHeight="1" x14ac:dyDescent="0.25"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spans="2:24" ht="15.75" customHeight="1" x14ac:dyDescent="0.25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spans="2:24" ht="15.75" customHeight="1" x14ac:dyDescent="0.25"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spans="2:24" ht="15.75" customHeight="1" x14ac:dyDescent="0.25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spans="2:24" ht="15.75" customHeight="1" x14ac:dyDescent="0.25"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spans="2:24" ht="15.75" customHeight="1" x14ac:dyDescent="0.25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spans="2:24" ht="15.75" customHeight="1" x14ac:dyDescent="0.25"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spans="2:24" ht="15.75" customHeight="1" x14ac:dyDescent="0.25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spans="2:24" ht="15.75" customHeight="1" x14ac:dyDescent="0.25"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spans="2:24" ht="15.75" customHeight="1" x14ac:dyDescent="0.25"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spans="2:24" ht="15.75" customHeight="1" x14ac:dyDescent="0.25"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spans="2:24" ht="15.75" customHeight="1" x14ac:dyDescent="0.25"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spans="2:24" ht="15.75" customHeight="1" x14ac:dyDescent="0.25"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spans="2:24" ht="15.75" customHeight="1" x14ac:dyDescent="0.25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spans="2:24" ht="15.75" customHeight="1" x14ac:dyDescent="0.25"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spans="2:24" ht="15.75" customHeight="1" x14ac:dyDescent="0.25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spans="2:24" ht="15.75" customHeight="1" x14ac:dyDescent="0.25"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spans="2:24" ht="15.75" customHeight="1" x14ac:dyDescent="0.25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spans="2:24" ht="15.75" customHeight="1" x14ac:dyDescent="0.25"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spans="2:24" ht="15.75" customHeight="1" x14ac:dyDescent="0.25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spans="2:24" ht="15.75" customHeight="1" x14ac:dyDescent="0.25"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spans="2:24" ht="15.75" customHeight="1" x14ac:dyDescent="0.25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spans="2:24" ht="15.75" customHeight="1" x14ac:dyDescent="0.25"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spans="2:24" ht="15.75" customHeight="1" x14ac:dyDescent="0.25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spans="2:24" ht="15.75" customHeight="1" x14ac:dyDescent="0.25"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spans="2:24" ht="15.75" customHeight="1" x14ac:dyDescent="0.25"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spans="2:24" ht="15.75" customHeight="1" x14ac:dyDescent="0.25"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spans="2:24" ht="15.75" customHeight="1" x14ac:dyDescent="0.25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spans="2:24" ht="15.75" customHeight="1" x14ac:dyDescent="0.25"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spans="2:24" ht="15.75" customHeight="1" x14ac:dyDescent="0.25"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spans="2:24" ht="15.75" customHeight="1" x14ac:dyDescent="0.25"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spans="2:24" ht="15.75" customHeight="1" x14ac:dyDescent="0.25"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spans="2:24" ht="15.75" customHeight="1" x14ac:dyDescent="0.25"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spans="2:24" ht="15.75" customHeight="1" x14ac:dyDescent="0.25"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spans="2:24" ht="15.75" customHeight="1" x14ac:dyDescent="0.25"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spans="2:24" ht="15.75" customHeight="1" x14ac:dyDescent="0.25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spans="2:24" ht="15.75" customHeight="1" x14ac:dyDescent="0.25"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spans="2:24" ht="15.75" customHeight="1" x14ac:dyDescent="0.25"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spans="2:24" ht="15.75" customHeight="1" x14ac:dyDescent="0.25"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spans="2:24" ht="15.75" customHeight="1" x14ac:dyDescent="0.25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spans="2:24" ht="15.75" customHeight="1" x14ac:dyDescent="0.25"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spans="2:24" ht="15.75" customHeight="1" x14ac:dyDescent="0.25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spans="2:24" ht="15.75" customHeight="1" x14ac:dyDescent="0.25"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spans="2:24" ht="15.75" customHeight="1" x14ac:dyDescent="0.25"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spans="2:24" ht="15.75" customHeight="1" x14ac:dyDescent="0.25"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spans="2:24" ht="15.75" customHeight="1" x14ac:dyDescent="0.25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spans="2:24" ht="15.75" customHeight="1" x14ac:dyDescent="0.25"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spans="2:24" ht="15.75" customHeight="1" x14ac:dyDescent="0.25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spans="2:24" ht="15.75" customHeight="1" x14ac:dyDescent="0.25"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spans="2:24" ht="15.75" customHeight="1" x14ac:dyDescent="0.25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spans="2:24" ht="15.75" customHeight="1" x14ac:dyDescent="0.25"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spans="2:24" ht="15.75" customHeight="1" x14ac:dyDescent="0.25"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spans="2:24" ht="15.75" customHeight="1" x14ac:dyDescent="0.25"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spans="2:24" ht="15.75" customHeight="1" x14ac:dyDescent="0.25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spans="2:24" ht="15.75" customHeight="1" x14ac:dyDescent="0.25"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spans="2:24" ht="15.75" customHeight="1" x14ac:dyDescent="0.25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spans="2:24" ht="15.75" customHeight="1" x14ac:dyDescent="0.25"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spans="2:24" ht="15.75" customHeight="1" x14ac:dyDescent="0.25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spans="2:24" ht="15.75" customHeight="1" x14ac:dyDescent="0.25"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spans="2:24" ht="15.75" customHeight="1" x14ac:dyDescent="0.25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spans="2:24" ht="15.75" customHeight="1" x14ac:dyDescent="0.25"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spans="2:24" ht="15.75" customHeight="1" x14ac:dyDescent="0.25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spans="2:24" ht="15.75" customHeight="1" x14ac:dyDescent="0.25"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spans="2:24" ht="15.75" customHeight="1" x14ac:dyDescent="0.25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spans="2:24" ht="15.75" customHeight="1" x14ac:dyDescent="0.25"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spans="2:24" ht="15.75" customHeight="1" x14ac:dyDescent="0.25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spans="2:24" ht="15.75" customHeight="1" x14ac:dyDescent="0.25"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spans="2:24" ht="15.75" customHeight="1" x14ac:dyDescent="0.25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spans="2:24" ht="15.75" customHeight="1" x14ac:dyDescent="0.25"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spans="2:24" ht="15.75" customHeight="1" x14ac:dyDescent="0.25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spans="2:24" ht="15.75" customHeight="1" x14ac:dyDescent="0.25"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spans="2:24" ht="15.75" customHeight="1" x14ac:dyDescent="0.25"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spans="2:24" ht="15.75" customHeight="1" x14ac:dyDescent="0.25"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spans="2:24" ht="15.75" customHeight="1" x14ac:dyDescent="0.25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spans="2:24" ht="15.75" customHeight="1" x14ac:dyDescent="0.25"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spans="2:24" ht="15.75" customHeight="1" x14ac:dyDescent="0.25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spans="2:24" ht="15.75" customHeight="1" x14ac:dyDescent="0.25"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spans="2:24" ht="15.75" customHeight="1" x14ac:dyDescent="0.25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spans="2:24" ht="15.75" customHeight="1" x14ac:dyDescent="0.25"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spans="2:24" ht="15.75" customHeight="1" x14ac:dyDescent="0.25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spans="2:24" ht="15.75" customHeight="1" x14ac:dyDescent="0.25"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spans="2:24" ht="15.75" customHeight="1" x14ac:dyDescent="0.25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spans="2:24" ht="15.75" customHeight="1" x14ac:dyDescent="0.25"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spans="2:24" ht="15.75" customHeight="1" x14ac:dyDescent="0.25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spans="2:24" ht="15.75" customHeight="1" x14ac:dyDescent="0.25"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spans="2:24" ht="15.75" customHeight="1" x14ac:dyDescent="0.25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spans="2:24" ht="15.75" customHeight="1" x14ac:dyDescent="0.25"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spans="2:24" ht="15.75" customHeight="1" x14ac:dyDescent="0.25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spans="2:24" ht="15.75" customHeight="1" x14ac:dyDescent="0.25"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spans="2:24" ht="15.75" customHeight="1" x14ac:dyDescent="0.25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spans="2:24" ht="15.75" customHeight="1" x14ac:dyDescent="0.25"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spans="2:24" ht="15.75" customHeight="1" x14ac:dyDescent="0.25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spans="2:24" ht="15.75" customHeight="1" x14ac:dyDescent="0.25"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spans="2:24" ht="15.75" customHeight="1" x14ac:dyDescent="0.25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spans="2:24" ht="15.75" customHeight="1" x14ac:dyDescent="0.25"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spans="2:24" ht="15.75" customHeight="1" x14ac:dyDescent="0.25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spans="2:24" ht="15.75" customHeight="1" x14ac:dyDescent="0.25"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spans="2:24" ht="15.75" customHeight="1" x14ac:dyDescent="0.25"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spans="2:24" ht="15.75" customHeight="1" x14ac:dyDescent="0.25"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spans="2:24" ht="15.75" customHeight="1" x14ac:dyDescent="0.25"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spans="2:24" ht="15.75" customHeight="1" x14ac:dyDescent="0.25"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 spans="2:24" ht="15.75" customHeight="1" x14ac:dyDescent="0.25"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 spans="2:24" ht="15.75" customHeight="1" x14ac:dyDescent="0.25"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 spans="2:24" ht="15.75" customHeight="1" x14ac:dyDescent="0.25"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 spans="2:24" ht="15.75" customHeight="1" x14ac:dyDescent="0.25"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 spans="2:24" ht="15.75" customHeight="1" x14ac:dyDescent="0.25"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 spans="2:24" ht="15.75" customHeight="1" x14ac:dyDescent="0.25"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 spans="2:24" ht="15.75" customHeight="1" x14ac:dyDescent="0.25"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 spans="2:24" ht="15.75" customHeight="1" x14ac:dyDescent="0.25"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 spans="2:24" ht="15.75" customHeight="1" x14ac:dyDescent="0.25"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 spans="2:24" ht="15.75" customHeight="1" x14ac:dyDescent="0.25"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</sheetData>
  <mergeCells count="3">
    <mergeCell ref="B7:H7"/>
    <mergeCell ref="K8:X8"/>
    <mergeCell ref="K30:K3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OP</vt:lpstr>
      <vt:lpstr>EST</vt:lpstr>
      <vt:lpstr>ARQ</vt:lpstr>
      <vt:lpstr>AC</vt:lpstr>
      <vt:lpstr>IIEE</vt:lpstr>
      <vt:lpstr>IISS</vt:lpstr>
      <vt:lpstr>GAS</vt:lpstr>
      <vt:lpstr>EQ</vt:lpstr>
      <vt:lpstr>OEX</vt:lpstr>
      <vt:lpstr>GG</vt:lpstr>
      <vt:lpstr>AC!Print_Area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Guevara</dc:creator>
  <cp:lastModifiedBy>Edwid Pinto</cp:lastModifiedBy>
  <cp:lastPrinted>2024-10-04T21:55:26Z</cp:lastPrinted>
  <dcterms:created xsi:type="dcterms:W3CDTF">2024-04-01T23:54:02Z</dcterms:created>
  <dcterms:modified xsi:type="dcterms:W3CDTF">2026-10-04T22:41:31Z</dcterms:modified>
</cp:coreProperties>
</file>